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Raw_Data" sheetId="1" state="visible" r:id="rId1"/>
    <sheet xmlns:r="http://schemas.openxmlformats.org/officeDocument/2006/relationships" name="Genre_Data" sheetId="2" state="visible" r:id="rId2"/>
    <sheet xmlns:r="http://schemas.openxmlformats.org/officeDocument/2006/relationships" name="Theme_Data" sheetId="3" state="visible" r:id="rId3"/>
    <sheet xmlns:r="http://schemas.openxmlformats.org/officeDocument/2006/relationships" name="Pivot_Tables" sheetId="4" state="visible" r:id="rId4"/>
    <sheet xmlns:r="http://schemas.openxmlformats.org/officeDocument/2006/relationships" name="Chart_Source" sheetId="5" state="hidden" r:id="rId5"/>
    <sheet xmlns:r="http://schemas.openxmlformats.org/officeDocument/2006/relationships" name="Dashboard" sheetId="6" state="visible" r:id="rId6"/>
  </sheets>
  <definedNames>
    <definedName name="GenreFilter" hidden="0" function="0" vbProcedure="0">Dashboard!$E$7</definedName>
    <definedName name="RatingFilter" hidden="0" function="0" vbProcedure="0">Dashboard!$H$7</definedName>
    <definedName name="TypeFilter" hidden="0" function="0" vbProcedure="0">Dashboard!$K$7</definedName>
    <definedName name="YearFilter" hidden="0" function="0" vbProcedure="0">Dashboard!$B$7</definedName>
    <definedName name="_xlnm.Print_Area" localSheetId="3">'Pivot_Tables'!$A$1:$H$40</definedName>
    <definedName name="_xlnm.Print_Area" localSheetId="5">'Dashboard'!$A$1:$L$82</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Segoe UI"/>
      <charset val="1"/>
      <family val="0"/>
      <b val="1"/>
      <color rgb="FFFFFFFF"/>
      <sz val="11"/>
    </font>
    <font>
      <name val="Segoe UI"/>
      <charset val="1"/>
      <family val="0"/>
      <b val="1"/>
      <color rgb="FFFFFFFF"/>
      <sz val="12"/>
    </font>
    <font>
      <name val="Segoe UI"/>
      <charset val="1"/>
      <family val="0"/>
      <color rgb="FF000000"/>
      <sz val="10"/>
    </font>
    <font>
      <name val="Segoe UI"/>
      <charset val="1"/>
      <family val="0"/>
      <i val="1"/>
      <color rgb="FF6B7280"/>
      <sz val="9"/>
    </font>
    <font>
      <name val="Segoe UI"/>
      <charset val="1"/>
      <family val="0"/>
      <b val="1"/>
      <color rgb="FFE50914"/>
      <sz val="24"/>
    </font>
    <font>
      <name val="Segoe UI"/>
      <charset val="1"/>
      <family val="0"/>
      <i val="1"/>
      <color rgb="FF1F2937"/>
      <sz val="12"/>
    </font>
    <font>
      <name val="Segoe UI"/>
      <charset val="1"/>
      <family val="0"/>
      <color rgb="FF6B7280"/>
      <sz val="10"/>
    </font>
    <font>
      <name val="Segoe UI"/>
      <charset val="1"/>
      <family val="0"/>
      <b val="1"/>
      <color rgb="FF000000"/>
      <sz val="10"/>
    </font>
    <font>
      <name val="Segoe UI"/>
      <charset val="1"/>
      <family val="0"/>
      <color rgb="FFFFFFFF"/>
      <sz val="20"/>
    </font>
    <font>
      <name val="Segoe UI"/>
      <charset val="1"/>
      <family val="0"/>
      <b val="1"/>
      <color rgb="FFE50914"/>
      <sz val="20"/>
    </font>
    <font>
      <name val="Segoe UI"/>
      <charset val="1"/>
      <family val="0"/>
      <b val="1"/>
      <color rgb="FFD1D5DB"/>
      <sz val="10"/>
    </font>
    <font>
      <name val="Segoe UI"/>
      <charset val="1"/>
      <family val="0"/>
      <b val="1"/>
      <color rgb="FFFFFFFF"/>
      <sz val="13"/>
    </font>
    <font>
      <name val="Segoe UI"/>
      <charset val="1"/>
      <family val="0"/>
      <color rgb="FF000000"/>
      <sz val="10.5"/>
    </font>
    <font>
      <name val="Calibri"/>
      <family val="2"/>
      <b val="1"/>
      <color rgb="FF000000"/>
      <sz val="18"/>
    </font>
    <font>
      <name val="Calibri"/>
      <family val="2"/>
      <color rgb="FF000000"/>
      <sz val="10"/>
    </font>
  </fonts>
  <fills count="6">
    <fill>
      <patternFill/>
    </fill>
    <fill>
      <patternFill patternType="gray125"/>
    </fill>
    <fill>
      <patternFill patternType="solid">
        <fgColor rgb="FF141414"/>
        <bgColor rgb="FF000000"/>
      </patternFill>
    </fill>
    <fill>
      <patternFill patternType="solid">
        <fgColor rgb="FFE50914"/>
        <bgColor rgb="FF993300"/>
      </patternFill>
    </fill>
    <fill>
      <patternFill patternType="solid">
        <fgColor rgb="FF1F2937"/>
        <bgColor rgb="FF141414"/>
      </patternFill>
    </fill>
    <fill>
      <patternFill patternType="solid">
        <fgColor rgb="FFF9FAFB"/>
        <bgColor rgb="FFFFFFFF"/>
      </patternFill>
    </fill>
  </fills>
  <borders count="16">
    <border>
      <left/>
      <right/>
      <top/>
      <bottom/>
      <diagonal/>
    </border>
    <border>
      <left style="thin">
        <color rgb="FFD1D5DB"/>
      </left>
      <right style="thin">
        <color rgb="FFD1D5DB"/>
      </right>
      <top style="thin">
        <color rgb="FFD1D5DB"/>
      </top>
      <bottom style="thin">
        <color rgb="FFD1D5DB"/>
      </bottom>
      <diagonal/>
    </border>
    <border>
      <left style="thin">
        <color rgb="FF141414"/>
      </left>
      <right style="thin">
        <color rgb="FF141414"/>
      </right>
      <top style="thin">
        <color rgb="FF141414"/>
      </top>
      <bottom style="thin">
        <color rgb="FF141414"/>
      </bottom>
      <diagonal/>
    </border>
    <border>
      <left/>
      <right/>
      <top style="thin">
        <color rgb="FF141414"/>
      </top>
      <bottom/>
      <diagonal/>
    </border>
    <border>
      <left style="thin">
        <color rgb="FF141414"/>
      </left>
      <right/>
      <top/>
      <bottom/>
      <diagonal/>
    </border>
    <border>
      <left/>
      <right style="thin">
        <color rgb="FF141414"/>
      </right>
      <top style="thin">
        <color rgb="FF141414"/>
      </top>
      <bottom/>
      <diagonal/>
    </border>
    <border>
      <left/>
      <right style="thin">
        <color rgb="FF141414"/>
      </right>
      <top/>
      <bottom/>
      <diagonal/>
    </border>
    <border>
      <left style="thin">
        <color rgb="FF141414"/>
      </left>
      <right/>
      <top/>
      <bottom style="thin">
        <color rgb="FF141414"/>
      </bottom>
      <diagonal/>
    </border>
    <border>
      <left/>
      <right/>
      <top/>
      <bottom style="thin">
        <color rgb="FF141414"/>
      </bottom>
      <diagonal/>
    </border>
    <border>
      <left/>
      <right style="thin">
        <color rgb="FF141414"/>
      </right>
      <top/>
      <bottom style="thin">
        <color rgb="FF141414"/>
      </bottom>
      <diagonal/>
    </border>
    <border>
      <left/>
      <right/>
      <top style="thin">
        <color rgb="FF141414"/>
      </top>
      <bottom style="thin">
        <color rgb="FF141414"/>
      </bottom>
      <diagonal/>
    </border>
    <border>
      <left/>
      <right style="thin">
        <color rgb="FF141414"/>
      </right>
      <top style="thin">
        <color rgb="FF141414"/>
      </top>
      <bottom style="thin">
        <color rgb="FF141414"/>
      </bottom>
      <diagonal/>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5" fillId="3" borderId="0" applyAlignment="1" pivotButton="0" quotePrefix="0" xfId="0">
      <alignment horizontal="general" vertical="bottom"/>
    </xf>
    <xf numFmtId="0" fontId="4" fillId="2" borderId="1" applyAlignment="1" pivotButton="0" quotePrefix="0" xfId="0">
      <alignment horizontal="center" vertical="bottom"/>
    </xf>
    <xf numFmtId="0" fontId="6" fillId="0" borderId="1" applyAlignment="1" pivotButton="0" quotePrefix="0" xfId="0">
      <alignment horizontal="general" vertical="bottom"/>
    </xf>
    <xf numFmtId="0" fontId="6" fillId="0" borderId="1"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9" fillId="0" borderId="0" applyAlignment="1" pivotButton="0" quotePrefix="0" xfId="0">
      <alignment horizontal="left" vertical="center"/>
    </xf>
    <xf numFmtId="0" fontId="10" fillId="0" borderId="0" applyAlignment="1" pivotButton="0" quotePrefix="0" xfId="0">
      <alignment horizontal="right" vertical="center"/>
    </xf>
    <xf numFmtId="0" fontId="4" fillId="3" borderId="0" applyAlignment="1" pivotButton="0" quotePrefix="0" xfId="0">
      <alignment horizontal="left" vertical="center" indent="1"/>
    </xf>
    <xf numFmtId="0" fontId="11" fillId="0" borderId="0" applyAlignment="1" pivotButton="0" quotePrefix="0" xfId="0">
      <alignment horizontal="right" vertical="center" indent="1"/>
    </xf>
    <xf numFmtId="0" fontId="4" fillId="4" borderId="0" applyAlignment="1" pivotButton="0" quotePrefix="0" xfId="0">
      <alignment horizontal="center" vertical="center"/>
    </xf>
    <xf numFmtId="0" fontId="12" fillId="4" borderId="2" applyAlignment="1" pivotButton="0" quotePrefix="0" xfId="0">
      <alignment horizontal="center" vertical="center"/>
    </xf>
    <xf numFmtId="0" fontId="13" fillId="4" borderId="2" applyAlignment="1" pivotButton="0" quotePrefix="0" xfId="0">
      <alignment horizontal="center" vertical="center"/>
    </xf>
    <xf numFmtId="0" fontId="14" fillId="4" borderId="2" applyAlignment="1" pivotButton="0" quotePrefix="0" xfId="0">
      <alignment horizontal="center" vertical="center"/>
    </xf>
    <xf numFmtId="0" fontId="15" fillId="3" borderId="1" applyAlignment="1" pivotButton="0" quotePrefix="0" xfId="0">
      <alignment horizontal="left" vertical="center" indent="1"/>
    </xf>
    <xf numFmtId="0" fontId="15" fillId="2" borderId="1" applyAlignment="1" pivotButton="0" quotePrefix="0" xfId="0">
      <alignment horizontal="left" vertical="center" indent="1"/>
    </xf>
    <xf numFmtId="0" fontId="16" fillId="5" borderId="1" applyAlignment="1" pivotButton="0" quotePrefix="0" xfId="0">
      <alignment horizontal="left" vertical="center" wrapText="1" inden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5" fillId="3" borderId="0" applyAlignment="1" pivotButton="0" quotePrefix="0" xfId="0">
      <alignment horizontal="general" vertical="bottom"/>
    </xf>
    <xf numFmtId="0" fontId="4" fillId="2" borderId="1" applyAlignment="1" pivotButton="0" quotePrefix="0" xfId="0">
      <alignment horizontal="center" vertical="bottom"/>
    </xf>
    <xf numFmtId="0" fontId="6" fillId="0" borderId="1"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9" fillId="0" borderId="0" applyAlignment="1" pivotButton="0" quotePrefix="0" xfId="0">
      <alignment horizontal="left" vertical="center"/>
    </xf>
    <xf numFmtId="0" fontId="10" fillId="0" borderId="0" applyAlignment="1" pivotButton="0" quotePrefix="0" xfId="0">
      <alignment horizontal="right" vertical="center"/>
    </xf>
    <xf numFmtId="0" fontId="4" fillId="3" borderId="0" applyAlignment="1" pivotButton="0" quotePrefix="0" xfId="0">
      <alignment horizontal="left" vertical="center" indent="1"/>
    </xf>
    <xf numFmtId="0" fontId="11" fillId="0" borderId="0" applyAlignment="1" pivotButton="0" quotePrefix="0" xfId="0">
      <alignment horizontal="right" vertical="center" indent="1"/>
    </xf>
    <xf numFmtId="0" fontId="4" fillId="4" borderId="0" applyAlignment="1" pivotButton="0" quotePrefix="0" xfId="0">
      <alignment horizontal="center" vertical="center"/>
    </xf>
    <xf numFmtId="0" fontId="12" fillId="4" borderId="2" applyAlignment="1" pivotButton="0" quotePrefix="0" xfId="0">
      <alignment horizontal="center" vertical="center"/>
    </xf>
    <xf numFmtId="0" fontId="0" fillId="0" borderId="3"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13" fillId="4" borderId="2" applyAlignment="1" pivotButton="0" quotePrefix="0" xfId="0">
      <alignment horizontal="center" vertical="center"/>
    </xf>
    <xf numFmtId="0" fontId="0" fillId="0" borderId="4" pivotButton="0" quotePrefix="0" xfId="0"/>
    <xf numFmtId="0" fontId="0" fillId="0" borderId="6" pivotButton="0" quotePrefix="0" xfId="0"/>
    <xf numFmtId="0" fontId="14" fillId="4" borderId="2" applyAlignment="1" pivotButton="0" quotePrefix="0" xfId="0">
      <alignment horizontal="center" vertical="center"/>
    </xf>
    <xf numFmtId="0" fontId="0" fillId="0" borderId="10" pivotButton="0" quotePrefix="0" xfId="0"/>
    <xf numFmtId="0" fontId="0" fillId="0" borderId="11" pivotButton="0" quotePrefix="0" xfId="0"/>
    <xf numFmtId="0" fontId="15" fillId="3" borderId="1" applyAlignment="1" pivotButton="0" quotePrefix="0" xfId="0">
      <alignment horizontal="left" vertical="center" indent="1"/>
    </xf>
    <xf numFmtId="0" fontId="0" fillId="0" borderId="14" pivotButton="0" quotePrefix="0" xfId="0"/>
    <xf numFmtId="0" fontId="0" fillId="0" borderId="15" pivotButton="0" quotePrefix="0" xfId="0"/>
    <xf numFmtId="0" fontId="15" fillId="2" borderId="1" applyAlignment="1" pivotButton="0" quotePrefix="0" xfId="0">
      <alignment horizontal="left" vertical="center" indent="1"/>
    </xf>
    <xf numFmtId="0" fontId="16" fillId="5" borderId="1" applyAlignment="1" pivotButton="0" quotePrefix="0" xfId="0">
      <alignment horizontal="left" vertical="center" wrapText="1" inden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4141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E50914"/>
      <rgbColor rgb="FF00FF00"/>
      <rgbColor rgb="FF0000FF"/>
      <rgbColor rgb="FFFFFF00"/>
      <rgbColor rgb="FFFF00FF"/>
      <rgbColor rgb="FF00FFFF"/>
      <rgbColor rgb="FF800000"/>
      <rgbColor rgb="FF008000"/>
      <rgbColor rgb="FF000080"/>
      <rgbColor rgb="FF6B7280"/>
      <rgbColor rgb="FF800080"/>
      <rgbColor rgb="FF4F81BD"/>
      <rgbColor rgb="FFD9D9D9"/>
      <rgbColor rgb="FF878787"/>
      <rgbColor rgb="FF93A9CE"/>
      <rgbColor rgb="FFAB4744"/>
      <rgbColor rgb="FFF9FAFB"/>
      <rgbColor rgb="FFCCFFFF"/>
      <rgbColor rgb="FF660066"/>
      <rgbColor rgb="FFDC853E"/>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672A8"/>
      <rgbColor rgb="FF33CCCC"/>
      <rgbColor rgb="FF99CC00"/>
      <rgbColor rgb="FFFFCC00"/>
      <rgbColor rgb="FFFF9900"/>
      <rgbColor rgb="FFFF6600"/>
      <rgbColor rgb="FF725990"/>
      <rgbColor rgb="FF8AA64F"/>
      <rgbColor rgb="FF003366"/>
      <rgbColor rgb="FF4299B0"/>
      <rgbColor rgb="FF141414"/>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Indian Content Added by Year</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Chart_Source!E1</f>
              <strCache>
                <ptCount val="1"/>
                <pt idx="0">
                  <v>Count</v>
                </pt>
              </strCache>
            </strRef>
          </tx>
          <spPr>
            <a:solidFill xmlns:a="http://schemas.openxmlformats.org/drawingml/2006/main">
              <a:srgbClr val="e50914"/>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Chart_Source!$D$2:$D$7</f>
              <strCache>
                <ptCount val="6"/>
                <pt idx="0">
                  <v>2016</v>
                </pt>
                <pt idx="1">
                  <v>2017</v>
                </pt>
                <pt idx="2">
                  <v>2018</v>
                </pt>
                <pt idx="3">
                  <v>2019</v>
                </pt>
                <pt idx="4">
                  <v>2020</v>
                </pt>
                <pt idx="5">
                  <v>2021</v>
                </pt>
              </strCache>
            </strRef>
          </cat>
          <val>
            <numRef>
              <f>Chart_Source!$E$2:$E$7</f>
              <numCache>
                <formatCode>General</formatCode>
                <ptCount val="6"/>
                <pt idx="0">
                  <v>13</v>
                </pt>
                <pt idx="1">
                  <v>162</v>
                </pt>
                <pt idx="2">
                  <v>349</v>
                </pt>
                <pt idx="3">
                  <v>218</v>
                </pt>
                <pt idx="4">
                  <v>199</v>
                </pt>
                <pt idx="5">
                  <v>105</v>
                </pt>
              </numCache>
            </numRef>
          </val>
        </ser>
        <gapWidth val="60"/>
        <overlap val="0"/>
        <axId val="44801880"/>
        <axId val="87071048"/>
      </barChart>
      <catAx>
        <axId val="44801880"/>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7071048"/>
        <crosses val="autoZero"/>
        <auto val="1"/>
        <lblAlgn val="ctr"/>
        <lblOffset val="100"/>
        <noMultiLvlLbl val="0"/>
      </catAx>
      <valAx>
        <axId val="87071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480188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Movies vs TV Shows</a:t>
            </a:r>
          </a:p>
        </rich>
      </tx>
      <overlay val="0"/>
      <spPr>
        <a:noFill xmlns:a="http://schemas.openxmlformats.org/drawingml/2006/main"/>
        <a:ln xmlns:a="http://schemas.openxmlformats.org/drawingml/2006/main" w="0">
          <a:noFill/>
          <a:prstDash val="solid"/>
        </a:ln>
      </spPr>
    </title>
    <plotArea>
      <doughnutChart>
        <varyColors val="1"/>
        <ser>
          <idx val="0"/>
          <order val="0"/>
          <tx>
            <strRef>
              <f>Chart_Source!B1</f>
              <strCache>
                <ptCount val="1"/>
                <pt idx="0">
                  <v>Count</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e50914"/>
              </a:solidFill>
              <a:ln xmlns:a="http://schemas.openxmlformats.org/drawingml/2006/main" w="0">
                <a:noFill/>
                <a:prstDash val="solid"/>
              </a:ln>
            </spPr>
          </dPt>
          <dPt>
            <idx val="1"/>
            <spPr>
              <a:solidFill xmlns:a="http://schemas.openxmlformats.org/drawingml/2006/main">
                <a:srgbClr val="d1d5db"/>
              </a:solidFill>
              <a:ln xmlns:a="http://schemas.openxmlformats.org/drawingml/2006/main" w="0">
                <a:noFill/>
                <a:prstDash val="solid"/>
              </a:ln>
            </spPr>
          </dPt>
          <dLbls>
            <dLbl>
              <idx val="0"/>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dLbl>
              <idx val="1"/>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Chart_Source!$A$2:$A$3</f>
              <strCache>
                <ptCount val="2"/>
                <pt idx="0">
                  <v>Movie</v>
                </pt>
                <pt idx="1">
                  <v>TV Show</v>
                </pt>
              </strCache>
            </strRef>
          </cat>
          <val>
            <numRef>
              <f>Chart_Source!$B$2:$B$3</f>
              <numCache>
                <formatCode>General</formatCode>
                <ptCount val="2"/>
                <pt idx="0">
                  <v>962</v>
                </pt>
                <pt idx="1">
                  <v>84</v>
                </pt>
              </numCache>
            </numRef>
          </val>
        </ser>
        <firstSliceAng val="0"/>
        <holeSize val="50"/>
      </doughnut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Top 10 Directors — Selected Genre</a:t>
            </a:r>
          </a:p>
        </rich>
      </tx>
    </title>
    <plotArea>
      <barChart>
        <barDir val="bar"/>
        <grouping val="clustered"/>
        <varyColors val="0"/>
        <ser>
          <idx val="0"/>
          <order val="0"/>
          <tx>
            <strRef>
              <f>Chart_Source!H1</f>
              <strCache>
                <ptCount val="1"/>
                <pt idx="0">
                  <v>Count</v>
                </pt>
              </strCache>
            </strRef>
          </tx>
          <spPr>
            <a:solidFill xmlns:a="http://schemas.openxmlformats.org/drawingml/2006/main">
              <a:srgbClr val="e50914"/>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Chart_Source!$G$2:$G$11</f>
              <strCache>
                <ptCount val="10"/>
                <pt idx="0">
                  <v>David Dhawan</v>
                </pt>
                <pt idx="1">
                  <v>Ram Gopal Varma</v>
                </pt>
                <pt idx="2">
                  <v>Ashutosh Gowariker</v>
                </pt>
                <pt idx="3">
                  <v>Rajkumar Santoshi</v>
                </pt>
                <pt idx="4">
                  <v>Imtiaz Ali</v>
                </pt>
                <pt idx="5">
                  <v>Anees Bazmee</v>
                </pt>
                <pt idx="6">
                  <v>Sooraj R. Barjatya</v>
                </pt>
                <pt idx="7">
                  <v>Milan Luthria</v>
                </pt>
                <pt idx="8">
                  <v>Rohit Shetty</v>
                </pt>
                <pt idx="9">
                  <v>Prakash Jha</v>
                </pt>
              </strCache>
            </strRef>
          </cat>
          <val>
            <numRef>
              <f>Chart_Source!$H$2:$H$11</f>
              <numCache>
                <formatCode>General</formatCode>
                <ptCount val="10"/>
                <pt idx="0">
                  <v>9</v>
                </pt>
                <pt idx="1">
                  <v>7</v>
                </pt>
                <pt idx="2">
                  <v>6</v>
                </pt>
                <pt idx="3">
                  <v>6</v>
                </pt>
                <pt idx="4">
                  <v>6</v>
                </pt>
                <pt idx="5">
                  <v>6</v>
                </pt>
                <pt idx="6">
                  <v>6</v>
                </pt>
                <pt idx="7">
                  <v>5</v>
                </pt>
                <pt idx="8">
                  <v>5</v>
                </pt>
                <pt idx="9">
                  <v>5</v>
                </pt>
              </numCache>
            </numRef>
          </val>
        </ser>
        <gapWidth val="60"/>
        <overlap val="0"/>
        <axId val="85829671"/>
        <axId val="97152413"/>
      </barChart>
      <catAx>
        <axId val="8582967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7152413"/>
        <crosses val="autoZero"/>
        <auto val="1"/>
        <lblAlgn val="ctr"/>
        <lblOffset val="100"/>
        <noMultiLvlLbl val="0"/>
      </catAx>
      <valAx>
        <axId val="97152413"/>
        <scaling>
          <orientation val="maxMin"/>
        </scaling>
        <delete val="0"/>
        <axPos val="l"/>
        <majorGridlines>
          <spPr>
            <a:ln xmlns:a="http://schemas.openxmlformats.org/drawingml/2006/main" w="9360">
              <a:solidFill>
                <a:srgbClr val="878787"/>
              </a:solidFill>
              <a:prstDash val="solid"/>
              <a:round/>
            </a:ln>
          </spPr>
        </majorGridlines>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582967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Genre Distribution (Top 12)</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Chart_Source!K1</f>
              <strCache>
                <ptCount val="1"/>
                <pt idx="0">
                  <v>Count</v>
                </pt>
              </strCache>
            </strRef>
          </tx>
          <spPr>
            <a:solidFill xmlns:a="http://schemas.openxmlformats.org/drawingml/2006/main">
              <a:srgbClr val="141414"/>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Chart_Source!$J$2:$J$13</f>
              <strCache>
                <ptCount val="12"/>
                <pt idx="0">
                  <v>International Movies</v>
                </pt>
                <pt idx="1">
                  <v>Dramas</v>
                </pt>
                <pt idx="2">
                  <v>Comedies</v>
                </pt>
                <pt idx="3">
                  <v>Independent Movies</v>
                </pt>
                <pt idx="4">
                  <v>Action &amp; Adventure</v>
                </pt>
                <pt idx="5">
                  <v>Romantic Movies</v>
                </pt>
                <pt idx="6">
                  <v>Music &amp; Musicals</v>
                </pt>
                <pt idx="7">
                  <v>Thrillers</v>
                </pt>
                <pt idx="8">
                  <v>International TV Shows</v>
                </pt>
                <pt idx="9">
                  <v>Horror Movies</v>
                </pt>
                <pt idx="10">
                  <v>TV Dramas</v>
                </pt>
                <pt idx="11">
                  <v>Documentaries</v>
                </pt>
              </strCache>
            </strRef>
          </cat>
          <val>
            <numRef>
              <f>Chart_Source!$K$2:$K$13</f>
              <numCache>
                <formatCode>General</formatCode>
                <ptCount val="12"/>
                <pt idx="0">
                  <v>864</v>
                </pt>
                <pt idx="1">
                  <v>662</v>
                </pt>
                <pt idx="2">
                  <v>323</v>
                </pt>
                <pt idx="3">
                  <v>167</v>
                </pt>
                <pt idx="4">
                  <v>137</v>
                </pt>
                <pt idx="5">
                  <v>120</v>
                </pt>
                <pt idx="6">
                  <v>96</v>
                </pt>
                <pt idx="7">
                  <v>92</v>
                </pt>
                <pt idx="8">
                  <v>66</v>
                </pt>
                <pt idx="9">
                  <v>35</v>
                </pt>
                <pt idx="10">
                  <v>28</v>
                </pt>
                <pt idx="11">
                  <v>27</v>
                </pt>
              </numCache>
            </numRef>
          </val>
        </ser>
        <gapWidth val="60"/>
        <overlap val="0"/>
        <axId val="68901774"/>
        <axId val="68425892"/>
      </barChart>
      <catAx>
        <axId val="68901774"/>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8425892"/>
        <crosses val="autoZero"/>
        <auto val="1"/>
        <lblAlgn val="ctr"/>
        <lblOffset val="100"/>
        <noMultiLvlLbl val="0"/>
      </catAx>
      <valAx>
        <axId val="68425892"/>
        <scaling>
          <orientation val="maxMin"/>
        </scaling>
        <delete val="0"/>
        <axPos val="l"/>
        <majorGridlines>
          <spPr>
            <a:ln xmlns:a="http://schemas.openxmlformats.org/drawingml/2006/main" w="9360">
              <a:solidFill>
                <a:srgbClr val="878787"/>
              </a:solidFill>
              <a:prstDash val="solid"/>
              <a:round/>
            </a:ln>
          </spPr>
        </majorGridlines>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890177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Rating Breakdown</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Chart_Source!N1</f>
              <strCache>
                <ptCount val="1"/>
                <pt idx="0">
                  <v>Count</v>
                </pt>
              </strCache>
            </strRef>
          </tx>
          <spPr>
            <a:solidFill xmlns:a="http://schemas.openxmlformats.org/drawingml/2006/main">
              <a:srgbClr val="e50914"/>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Chart_Source!$M$2:$M$12</f>
              <strCache>
                <ptCount val="11"/>
                <pt idx="0">
                  <v>TV-14</v>
                </pt>
                <pt idx="1">
                  <v>TV-MA</v>
                </pt>
                <pt idx="2">
                  <v>TV-PG</v>
                </pt>
                <pt idx="3">
                  <v>TV-Y7</v>
                </pt>
                <pt idx="4">
                  <v>PG-13</v>
                </pt>
                <pt idx="5">
                  <v>TV-G</v>
                </pt>
                <pt idx="6">
                  <v>PG</v>
                </pt>
                <pt idx="7">
                  <v>NR</v>
                </pt>
                <pt idx="8">
                  <v>TV-Y</v>
                </pt>
                <pt idx="9">
                  <v>R</v>
                </pt>
                <pt idx="10">
                  <v>TV-Y7-FV</v>
                </pt>
              </strCache>
            </strRef>
          </cat>
          <val>
            <numRef>
              <f>Chart_Source!$N$2:$N$12</f>
              <numCache>
                <formatCode>General</formatCode>
                <ptCount val="11"/>
                <pt idx="0">
                  <v>572</v>
                </pt>
                <pt idx="1">
                  <v>266</v>
                </pt>
                <pt idx="2">
                  <v>144</v>
                </pt>
                <pt idx="3">
                  <v>17</v>
                </pt>
                <pt idx="4">
                  <v>11</v>
                </pt>
                <pt idx="5">
                  <v>10</v>
                </pt>
                <pt idx="6">
                  <v>7</v>
                </pt>
                <pt idx="7">
                  <v>7</v>
                </pt>
                <pt idx="8">
                  <v>6</v>
                </pt>
                <pt idx="9">
                  <v>5</v>
                </pt>
                <pt idx="10">
                  <v>1</v>
                </pt>
              </numCache>
            </numRef>
          </val>
        </ser>
        <gapWidth val="60"/>
        <overlap val="0"/>
        <axId val="69814868"/>
        <axId val="60445687"/>
      </barChart>
      <catAx>
        <axId val="69814868"/>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0445687"/>
        <crosses val="autoZero"/>
        <auto val="1"/>
        <lblAlgn val="ctr"/>
        <lblOffset val="100"/>
        <noMultiLvlLbl val="0"/>
      </catAx>
      <valAx>
        <axId val="60445687"/>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981486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AI Theme Distribution</a:t>
            </a:r>
          </a:p>
        </rich>
      </tx>
      <overlay val="0"/>
      <spPr>
        <a:noFill xmlns:a="http://schemas.openxmlformats.org/drawingml/2006/main"/>
        <a:ln xmlns:a="http://schemas.openxmlformats.org/drawingml/2006/main" w="0">
          <a:noFill/>
          <a:prstDash val="solid"/>
        </a:ln>
      </spPr>
    </title>
    <plotArea>
      <doughnutChart>
        <varyColors val="1"/>
        <ser>
          <idx val="0"/>
          <order val="0"/>
          <tx>
            <strRef>
              <f>Chart_Source!Q1</f>
              <strCache>
                <ptCount val="1"/>
                <pt idx="0">
                  <v>Count</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4672a8"/>
              </a:solidFill>
              <a:ln xmlns:a="http://schemas.openxmlformats.org/drawingml/2006/main" w="0">
                <a:noFill/>
                <a:prstDash val="solid"/>
              </a:ln>
            </spPr>
          </dPt>
          <dPt>
            <idx val="1"/>
            <spPr>
              <a:solidFill xmlns:a="http://schemas.openxmlformats.org/drawingml/2006/main">
                <a:srgbClr val="ab4744"/>
              </a:solidFill>
              <a:ln xmlns:a="http://schemas.openxmlformats.org/drawingml/2006/main" w="0">
                <a:noFill/>
                <a:prstDash val="solid"/>
              </a:ln>
            </spPr>
          </dPt>
          <dPt>
            <idx val="2"/>
            <spPr>
              <a:solidFill xmlns:a="http://schemas.openxmlformats.org/drawingml/2006/main">
                <a:srgbClr val="8aa64f"/>
              </a:solidFill>
              <a:ln xmlns:a="http://schemas.openxmlformats.org/drawingml/2006/main" w="0">
                <a:noFill/>
                <a:prstDash val="solid"/>
              </a:ln>
            </spPr>
          </dPt>
          <dPt>
            <idx val="3"/>
            <spPr>
              <a:solidFill xmlns:a="http://schemas.openxmlformats.org/drawingml/2006/main">
                <a:srgbClr val="725990"/>
              </a:solidFill>
              <a:ln xmlns:a="http://schemas.openxmlformats.org/drawingml/2006/main" w="0">
                <a:noFill/>
                <a:prstDash val="solid"/>
              </a:ln>
            </spPr>
          </dPt>
          <dPt>
            <idx val="4"/>
            <spPr>
              <a:solidFill xmlns:a="http://schemas.openxmlformats.org/drawingml/2006/main">
                <a:srgbClr val="4299b0"/>
              </a:solidFill>
              <a:ln xmlns:a="http://schemas.openxmlformats.org/drawingml/2006/main" w="0">
                <a:noFill/>
                <a:prstDash val="solid"/>
              </a:ln>
            </spPr>
          </dPt>
          <dPt>
            <idx val="5"/>
            <spPr>
              <a:solidFill xmlns:a="http://schemas.openxmlformats.org/drawingml/2006/main">
                <a:srgbClr val="dc853e"/>
              </a:solidFill>
              <a:ln xmlns:a="http://schemas.openxmlformats.org/drawingml/2006/main" w="0">
                <a:noFill/>
                <a:prstDash val="solid"/>
              </a:ln>
            </spPr>
          </dPt>
          <dPt>
            <idx val="6"/>
            <spPr>
              <a:solidFill xmlns:a="http://schemas.openxmlformats.org/drawingml/2006/main">
                <a:srgbClr val="93a9ce"/>
              </a:solidFill>
              <a:ln xmlns:a="http://schemas.openxmlformats.org/drawingml/2006/main" w="0">
                <a:noFill/>
                <a:prstDash val="solid"/>
              </a:ln>
            </spPr>
          </dPt>
          <dLbls>
            <dLbl>
              <idx val="0"/>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dLbl>
              <idx val="1"/>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dLbl>
              <idx val="2"/>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dLbl>
              <idx val="3"/>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dLbl>
              <idx val="4"/>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dLbl>
              <idx val="5"/>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dLbl>
              <idx val="6"/>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dLbl>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Chart_Source!$P$2:$P$8</f>
              <strCache>
                <ptCount val="7"/>
                <pt idx="0">
                  <v>Crime &amp; Thriller</v>
                </pt>
                <pt idx="1">
                  <v>Family &amp; Children</v>
                </pt>
                <pt idx="2">
                  <v>Romance</v>
                </pt>
                <pt idx="3">
                  <v>Historical &amp; Cultural</v>
                </pt>
                <pt idx="4">
                  <v>Education &amp; Youth</v>
                </pt>
                <pt idx="5">
                  <v>Other</v>
                </pt>
                <pt idx="6">
                  <v>Comedy</v>
                </pt>
              </strCache>
            </strRef>
          </cat>
          <val>
            <numRef>
              <f>Chart_Source!$Q$2:$Q$8</f>
              <numCache>
                <formatCode>General</formatCode>
                <ptCount val="7"/>
                <pt idx="0">
                  <v>6</v>
                </pt>
                <pt idx="1">
                  <v>4</v>
                </pt>
                <pt idx="2">
                  <v>3</v>
                </pt>
                <pt idx="3">
                  <v>3</v>
                </pt>
                <pt idx="4">
                  <v>2</v>
                </pt>
                <pt idx="5">
                  <v>1</v>
                </pt>
                <pt idx="6">
                  <v>1</v>
                </pt>
              </numCache>
            </numRef>
          </val>
        </ser>
        <firstSliceAng val="0"/>
        <holeSize val="50"/>
      </doughnut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twoCellAnchor editAs="oneCell">
    <from>
      <col>0</col>
      <colOff>0</colOff>
      <row>22</row>
      <rowOff>0</rowOff>
    </from>
    <to>
      <col>5</col>
      <colOff>501840</colOff>
      <row>37</row>
      <rowOff>21960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22</row>
      <rowOff>0</rowOff>
    </from>
    <to>
      <col>11</col>
      <colOff>501840</colOff>
      <row>37</row>
      <rowOff>21960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39</row>
      <rowOff>0</rowOff>
    </from>
    <to>
      <col>5</col>
      <colOff>501840</colOff>
      <row>54</row>
      <rowOff>21960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6</col>
      <colOff>0</colOff>
      <row>39</row>
      <rowOff>0</rowOff>
    </from>
    <to>
      <col>11</col>
      <colOff>501840</colOff>
      <row>54</row>
      <rowOff>21960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0</col>
      <colOff>0</colOff>
      <row>56</row>
      <rowOff>0</rowOff>
    </from>
    <to>
      <col>5</col>
      <colOff>501840</colOff>
      <row>71</row>
      <rowOff>21960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editAs="oneCell">
    <from>
      <col>6</col>
      <colOff>0</colOff>
      <row>56</row>
      <rowOff>0</rowOff>
    </from>
    <to>
      <col>11</col>
      <colOff>501840</colOff>
      <row>71</row>
      <rowOff>21960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tables/table1.xml><?xml version="1.0" encoding="utf-8"?>
<table xmlns="http://schemas.openxmlformats.org/spreadsheetml/2006/main" id="1" name="tblNetflix" displayName="tblNetflix" ref="A1:N1047" headerRowCount="1" totalsRowCount="0" totalsRowShown="0">
  <autoFilter ref="A1:N1047"/>
  <tableColumns count="14">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listed_in"/>
    <tableColumn id="12" name="description"/>
    <tableColumn id="13" name="year_added"/>
    <tableColumn id="14" name="IncludeRow"/>
  </tableColumns>
</table>
</file>

<file path=xl/tables/table2.xml><?xml version="1.0" encoding="utf-8"?>
<table xmlns="http://schemas.openxmlformats.org/spreadsheetml/2006/main" id="2" name="tblGenre" displayName="tblGenre" ref="A1:F2805" headerRowCount="1" totalsRowCount="0" totalsRowShown="0">
  <autoFilter ref="A1:F2805"/>
  <tableColumns count="6">
    <tableColumn id="1" name="show_id"/>
    <tableColumn id="2" name="Genre"/>
    <tableColumn id="3" name="Type_lookup"/>
    <tableColumn id="4" name="Rating_lookup"/>
    <tableColumn id="5" name="YearAdded_lookup"/>
    <tableColumn id="6" name="IncludeRow_NoGenre"/>
  </tableColumns>
</table>
</file>

<file path=xl/tables/table3.xml><?xml version="1.0" encoding="utf-8"?>
<table xmlns="http://schemas.openxmlformats.org/spreadsheetml/2006/main" id="3" name="tblTheme" displayName="tblTheme" ref="A1:G21" headerRowCount="1" totalsRowCount="0" totalsRowShown="0">
  <autoFilter ref="A1:G21"/>
  <tableColumns count="7">
    <tableColumn id="1" name="title"/>
    <tableColumn id="2" name="description"/>
    <tableColumn id="3" name="Theme"/>
    <tableColumn id="4" name="Type_lookup"/>
    <tableColumn id="5" name="Rating_lookup"/>
    <tableColumn id="6" name="YearAdded_lookup"/>
    <tableColumn id="7" name="IncludeRow"/>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N10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9" min="1" max="1"/>
    <col width="9" customWidth="1" style="19" min="2" max="2"/>
    <col width="30" customWidth="1" style="19" min="3" max="3"/>
    <col width="20" customWidth="1" style="19" min="4" max="4"/>
    <col width="34" customWidth="1" style="19" min="5" max="5"/>
    <col width="12" customWidth="1" style="19" min="6" max="7"/>
    <col width="11" customWidth="1" style="19" min="8" max="8"/>
    <col width="8" customWidth="1" style="19" min="9" max="9"/>
    <col width="10" customWidth="1" style="19" min="10" max="10"/>
    <col width="26" customWidth="1" style="19" min="11" max="11"/>
    <col width="46" customWidth="1" style="19" min="12" max="12"/>
    <col width="10" customWidth="1" style="19" min="13" max="14"/>
  </cols>
  <sheetData>
    <row r="1" ht="15" customHeight="1" s="20">
      <c r="A1" s="21" t="inlineStr">
        <is>
          <t>show_id</t>
        </is>
      </c>
      <c r="B1" s="21" t="inlineStr">
        <is>
          <t>type</t>
        </is>
      </c>
      <c r="C1" s="21" t="inlineStr">
        <is>
          <t>title</t>
        </is>
      </c>
      <c r="D1" s="21" t="inlineStr">
        <is>
          <t>director</t>
        </is>
      </c>
      <c r="E1" s="21" t="inlineStr">
        <is>
          <t>cast</t>
        </is>
      </c>
      <c r="F1" s="21" t="inlineStr">
        <is>
          <t>country</t>
        </is>
      </c>
      <c r="G1" s="21" t="inlineStr">
        <is>
          <t>date_added</t>
        </is>
      </c>
      <c r="H1" s="21" t="inlineStr">
        <is>
          <t>release_year</t>
        </is>
      </c>
      <c r="I1" s="21" t="inlineStr">
        <is>
          <t>rating</t>
        </is>
      </c>
      <c r="J1" s="21" t="inlineStr">
        <is>
          <t>duration</t>
        </is>
      </c>
      <c r="K1" s="21" t="inlineStr">
        <is>
          <t>listed_in</t>
        </is>
      </c>
      <c r="L1" s="21" t="inlineStr">
        <is>
          <t>description</t>
        </is>
      </c>
      <c r="M1" s="21" t="inlineStr">
        <is>
          <t>year_added</t>
        </is>
      </c>
      <c r="N1" s="21" t="inlineStr">
        <is>
          <t>IncludeRow</t>
        </is>
      </c>
    </row>
    <row r="2" ht="15" customHeight="1" s="20">
      <c r="A2" s="19" t="inlineStr">
        <is>
          <t>s5</t>
        </is>
      </c>
      <c r="B2" s="19" t="inlineStr">
        <is>
          <t>TV Show</t>
        </is>
      </c>
      <c r="C2" s="19" t="inlineStr">
        <is>
          <t>Kota Factory</t>
        </is>
      </c>
      <c r="E2" s="19" t="inlineStr">
        <is>
          <t>Mayur More, Jitendra Kumar, Ranjan Raj, Alam Khan, Ahsaas Channa, Revathi Pillai, Urvi Singh, Arun Kumar</t>
        </is>
      </c>
      <c r="F2" s="19" t="inlineStr">
        <is>
          <t>India</t>
        </is>
      </c>
      <c r="G2" s="19" t="inlineStr">
        <is>
          <t>2021-09-24</t>
        </is>
      </c>
      <c r="H2" s="19" t="n">
        <v>2021</v>
      </c>
      <c r="I2" s="19" t="inlineStr">
        <is>
          <t>TV-MA</t>
        </is>
      </c>
      <c r="J2" s="19" t="inlineStr">
        <is>
          <t>2 Seasons</t>
        </is>
      </c>
      <c r="K2" s="19" t="inlineStr">
        <is>
          <t>International TV Shows, Romantic TV Shows, TV Comedies</t>
        </is>
      </c>
      <c r="L2" s="19" t="inlineStr">
        <is>
          <t>In a city of coaching centers known to train India’s finest collegiate minds, an earnest but unexceptional student and his friends navigate campus life.</t>
        </is>
      </c>
      <c r="M2" s="19" t="n">
        <v>2021</v>
      </c>
      <c r="N2" s="19">
        <f>IF(AND(OR(YearFilter="All",$M2=YearFilter),OR(RatingFilter="All",$I2=RatingFilter),OR(TypeFilter="All",$B2=TypeFilter),OR(GenreFilter="All",COUNTIFS(tblGenre[show_id],$A2,tblGenre[Genre],GenreFilter)&gt;0)),1,0)</f>
        <v/>
      </c>
    </row>
    <row r="3" ht="15" customHeight="1" s="20">
      <c r="A3" s="19" t="inlineStr">
        <is>
          <t>s25</t>
        </is>
      </c>
      <c r="B3" s="19" t="inlineStr">
        <is>
          <t>Movie</t>
        </is>
      </c>
      <c r="C3" s="19" t="inlineStr">
        <is>
          <t>Jeans</t>
        </is>
      </c>
      <c r="D3" s="19" t="inlineStr">
        <is>
          <t>S. Shankar</t>
        </is>
      </c>
      <c r="E3" s="19" t="inlineStr">
        <is>
          <t>Prashanth, Aishwarya Rai Bachchan, Sri Lakshmi, Nassar</t>
        </is>
      </c>
      <c r="F3" s="19" t="inlineStr">
        <is>
          <t>India</t>
        </is>
      </c>
      <c r="G3" s="19" t="inlineStr">
        <is>
          <t>2021-09-21</t>
        </is>
      </c>
      <c r="H3" s="19" t="n">
        <v>1998</v>
      </c>
      <c r="I3" s="19" t="inlineStr">
        <is>
          <t>TV-14</t>
        </is>
      </c>
      <c r="J3" s="19" t="inlineStr">
        <is>
          <t>166 min</t>
        </is>
      </c>
      <c r="K3" s="19" t="inlineStr">
        <is>
          <t>Comedies, International Movies, Romantic Movies</t>
        </is>
      </c>
      <c r="L3" s="19" t="inlineStr">
        <is>
          <t>When the father of the man she loves insists that his twin sons marry twin sisters, a woman creates an alter ego that might be a bit too convincing.</t>
        </is>
      </c>
      <c r="M3" s="19" t="n">
        <v>2021</v>
      </c>
      <c r="N3" s="19">
        <f>IF(AND(OR(YearFilter="All",$M3=YearFilter),OR(RatingFilter="All",$I3=RatingFilter),OR(TypeFilter="All",$B3=TypeFilter),OR(GenreFilter="All",COUNTIFS(tblGenre[show_id],$A3,tblGenre[Genre],GenreFilter)&gt;0)),1,0)</f>
        <v/>
      </c>
    </row>
    <row r="4" ht="15" customHeight="1" s="20">
      <c r="A4" s="19" t="inlineStr">
        <is>
          <t>s30</t>
        </is>
      </c>
      <c r="B4" s="19" t="inlineStr">
        <is>
          <t>Movie</t>
        </is>
      </c>
      <c r="C4" s="19" t="inlineStr">
        <is>
          <t>Paranoia</t>
        </is>
      </c>
      <c r="D4" s="19" t="inlineStr">
        <is>
          <t>Robert Luketic</t>
        </is>
      </c>
      <c r="E4" s="19" t="inlineStr">
        <is>
          <t>Liam Hemsworth, Gary Oldman, Amber Heard, Harrison Ford, Lucas Till, Embeth Davidtz, Julian McMahon, Josh Holloway, Richard Dreyfuss, Angela Sarafyan</t>
        </is>
      </c>
      <c r="F4" s="19" t="inlineStr">
        <is>
          <t>United States, India, France</t>
        </is>
      </c>
      <c r="G4" s="19" t="inlineStr">
        <is>
          <t>2021-09-19</t>
        </is>
      </c>
      <c r="H4" s="19" t="n">
        <v>2013</v>
      </c>
      <c r="I4" s="19" t="inlineStr">
        <is>
          <t>PG-13</t>
        </is>
      </c>
      <c r="J4" s="19" t="inlineStr">
        <is>
          <t>106 min</t>
        </is>
      </c>
      <c r="K4" s="19" t="inlineStr">
        <is>
          <t>Thrillers</t>
        </is>
      </c>
      <c r="L4" s="19" t="inlineStr">
        <is>
          <t>Blackmailed by his company's CEO, a low-level employee finds himself forced to spy on the boss's rival and former mentor.</t>
        </is>
      </c>
      <c r="M4" s="19" t="n">
        <v>2021</v>
      </c>
      <c r="N4" s="19">
        <f>IF(AND(OR(YearFilter="All",$M4=YearFilter),OR(RatingFilter="All",$I4=RatingFilter),OR(TypeFilter="All",$B4=TypeFilter),OR(GenreFilter="All",COUNTIFS(tblGenre[show_id],$A4,tblGenre[Genre],GenreFilter)&gt;0)),1,0)</f>
        <v/>
      </c>
    </row>
    <row r="5" ht="15" customHeight="1" s="20">
      <c r="A5" s="19" t="inlineStr">
        <is>
          <t>s40</t>
        </is>
      </c>
      <c r="B5" s="19" t="inlineStr">
        <is>
          <t>TV Show</t>
        </is>
      </c>
      <c r="C5" s="19" t="inlineStr">
        <is>
          <t>Chhota Bheem</t>
        </is>
      </c>
      <c r="E5" s="19" t="inlineStr">
        <is>
          <t>Vatsal Dubey, Julie Tejwani, Rupa Bhimani, Jigna Bhardwaj, Rajesh Kava, Mousam, Swapnil</t>
        </is>
      </c>
      <c r="F5" s="19" t="inlineStr">
        <is>
          <t>India</t>
        </is>
      </c>
      <c r="G5" s="19" t="inlineStr">
        <is>
          <t>2021-09-16</t>
        </is>
      </c>
      <c r="H5" s="19" t="n">
        <v>2021</v>
      </c>
      <c r="I5" s="19" t="inlineStr">
        <is>
          <t>TV-Y7</t>
        </is>
      </c>
      <c r="J5" s="19" t="inlineStr">
        <is>
          <t>3 Seasons</t>
        </is>
      </c>
      <c r="K5" s="19" t="inlineStr">
        <is>
          <t>Kids' TV</t>
        </is>
      </c>
      <c r="L5" s="19" t="inlineStr">
        <is>
          <t>A brave, energetic little boy with superhuman powers leads his friends on exciting adventures to guard their fellow Dholakpur villagers from evil.</t>
        </is>
      </c>
      <c r="M5" s="19" t="n">
        <v>2021</v>
      </c>
      <c r="N5" s="19">
        <f>IF(AND(OR(YearFilter="All",$M5=YearFilter),OR(RatingFilter="All",$I5=RatingFilter),OR(TypeFilter="All",$B5=TypeFilter),OR(GenreFilter="All",COUNTIFS(tblGenre[show_id],$A5,tblGenre[Genre],GenreFilter)&gt;0)),1,0)</f>
        <v/>
      </c>
    </row>
    <row r="6" ht="15" customHeight="1" s="20">
      <c r="A6" s="19" t="inlineStr">
        <is>
          <t>s51</t>
        </is>
      </c>
      <c r="B6" s="19" t="inlineStr">
        <is>
          <t>TV Show</t>
        </is>
      </c>
      <c r="C6" s="19" t="inlineStr">
        <is>
          <t>Dharmakshetra</t>
        </is>
      </c>
      <c r="E6" s="19" t="inlineStr">
        <is>
          <t>Kashmira Irani, Chandan Anand, Dinesh Mehta, Ankit Arora, Pushkar Goggiaa, Anjali Rana, Aarya DharmChand Kumar, Amit Behl, Maleeka Ghai</t>
        </is>
      </c>
      <c r="F6" s="19" t="inlineStr">
        <is>
          <t>India</t>
        </is>
      </c>
      <c r="G6" s="19" t="inlineStr">
        <is>
          <t>2021-09-15</t>
        </is>
      </c>
      <c r="H6" s="19" t="n">
        <v>2014</v>
      </c>
      <c r="I6" s="19" t="inlineStr">
        <is>
          <t>TV-PG</t>
        </is>
      </c>
      <c r="J6" s="19" t="inlineStr">
        <is>
          <t>1 Season</t>
        </is>
      </c>
      <c r="K6" s="19" t="inlineStr">
        <is>
          <t>International TV Shows, TV Dramas, TV Sci-Fi &amp; Fantasy</t>
        </is>
      </c>
      <c r="L6" s="19" t="inlineStr">
        <is>
          <t>After the ancient Great War, the god Chitragupta oversees a trial to determine who were the battle's true heroes and villains.</t>
        </is>
      </c>
      <c r="M6" s="19" t="n">
        <v>2021</v>
      </c>
      <c r="N6" s="19">
        <f>IF(AND(OR(YearFilter="All",$M6=YearFilter),OR(RatingFilter="All",$I6=RatingFilter),OR(TypeFilter="All",$B6=TypeFilter),OR(GenreFilter="All",COUNTIFS(tblGenre[show_id],$A6,tblGenre[Genre],GenreFilter)&gt;0)),1,0)</f>
        <v/>
      </c>
    </row>
    <row r="7" ht="15" customHeight="1" s="20">
      <c r="A7" s="19" t="inlineStr">
        <is>
          <t>s67</t>
        </is>
      </c>
      <c r="B7" s="19" t="inlineStr">
        <is>
          <t>TV Show</t>
        </is>
      </c>
      <c r="C7" s="19" t="inlineStr">
        <is>
          <t>Raja Rasoi Aur Anya Kahaniyan</t>
        </is>
      </c>
      <c r="F7" s="19" t="inlineStr">
        <is>
          <t>India</t>
        </is>
      </c>
      <c r="G7" s="19" t="inlineStr">
        <is>
          <t>2021-09-15</t>
        </is>
      </c>
      <c r="H7" s="19" t="n">
        <v>2014</v>
      </c>
      <c r="I7" s="19" t="inlineStr">
        <is>
          <t>TV-G</t>
        </is>
      </c>
      <c r="J7" s="19" t="inlineStr">
        <is>
          <t>1 Season</t>
        </is>
      </c>
      <c r="K7" s="19" t="inlineStr">
        <is>
          <t>Docuseries, International TV Shows</t>
        </is>
      </c>
      <c r="L7" s="19" t="inlineStr">
        <is>
          <t>Explore the history and flavors of regional Indian cuisine, from traditional Kashmiri feasts to the vegetarian dishes of Gujarat.</t>
        </is>
      </c>
      <c r="M7" s="19" t="n">
        <v>2021</v>
      </c>
      <c r="N7" s="19">
        <f>IF(AND(OR(YearFilter="All",$M7=YearFilter),OR(RatingFilter="All",$I7=RatingFilter),OR(TypeFilter="All",$B7=TypeFilter),OR(GenreFilter="All",COUNTIFS(tblGenre[show_id],$A7,tblGenre[Genre],GenreFilter)&gt;0)),1,0)</f>
        <v/>
      </c>
    </row>
    <row r="8" ht="15" customHeight="1" s="20">
      <c r="A8" s="19" t="inlineStr">
        <is>
          <t>s70</t>
        </is>
      </c>
      <c r="B8" s="19" t="inlineStr">
        <is>
          <t>TV Show</t>
        </is>
      </c>
      <c r="C8" s="19" t="inlineStr">
        <is>
          <t>Stories by Rabindranath Tagore</t>
        </is>
      </c>
      <c r="F8" s="19" t="inlineStr">
        <is>
          <t>India</t>
        </is>
      </c>
      <c r="G8" s="19" t="inlineStr">
        <is>
          <t>2021-09-15</t>
        </is>
      </c>
      <c r="H8" s="19" t="n">
        <v>2015</v>
      </c>
      <c r="I8" s="19" t="inlineStr">
        <is>
          <t>TV-PG</t>
        </is>
      </c>
      <c r="J8" s="19" t="inlineStr">
        <is>
          <t>1 Season</t>
        </is>
      </c>
      <c r="K8" s="19" t="inlineStr">
        <is>
          <t>International TV Shows, TV Dramas</t>
        </is>
      </c>
      <c r="L8" s="19" t="inlineStr">
        <is>
          <t>The writings of Nobel Prize winner Rabindranath Tagore come to life in this collection of tales set in early-20th-century Bengal.</t>
        </is>
      </c>
      <c r="M8" s="19" t="n">
        <v>2021</v>
      </c>
      <c r="N8" s="19">
        <f>IF(AND(OR(YearFilter="All",$M8=YearFilter),OR(RatingFilter="All",$I8=RatingFilter),OR(TypeFilter="All",$B8=TypeFilter),OR(GenreFilter="All",COUNTIFS(tblGenre[show_id],$A8,tblGenre[Genre],GenreFilter)&gt;0)),1,0)</f>
        <v/>
      </c>
    </row>
    <row r="9" ht="15" customHeight="1" s="20">
      <c r="A9" s="19" t="inlineStr">
        <is>
          <t>s106</t>
        </is>
      </c>
      <c r="B9" s="19" t="inlineStr">
        <is>
          <t>Movie</t>
        </is>
      </c>
      <c r="C9" s="19" t="inlineStr">
        <is>
          <t>Angamaly Diaries</t>
        </is>
      </c>
      <c r="D9" s="19" t="inlineStr">
        <is>
          <t>Lijo Jose Pellissery</t>
        </is>
      </c>
      <c r="E9" s="19" t="inlineStr">
        <is>
          <t>Antony Varghese, Reshma Rajan, Binny Rinky Benjamin, Vineeth Vishwam, Kichu Tellus, Sreekanth Dasan, Sarath Kumar, Tito Wilson, Anandhu, Bitto Davis, Sinoj Varghese</t>
        </is>
      </c>
      <c r="F9" s="19" t="inlineStr">
        <is>
          <t>India</t>
        </is>
      </c>
      <c r="G9" s="19" t="inlineStr">
        <is>
          <t>2021-09-05</t>
        </is>
      </c>
      <c r="H9" s="19" t="n">
        <v>2017</v>
      </c>
      <c r="I9" s="19" t="inlineStr">
        <is>
          <t>TV-14</t>
        </is>
      </c>
      <c r="J9" s="19" t="inlineStr">
        <is>
          <t>128 min</t>
        </is>
      </c>
      <c r="K9" s="19" t="inlineStr">
        <is>
          <t>Action &amp; Adventure, Comedies, Dramas</t>
        </is>
      </c>
      <c r="L9" s="19" t="inlineStr">
        <is>
          <t>After growing up amidst the gang wars of his hometown, Vincent forms an entrepreneurial squad of his own and ends up on the wrong side of the law.</t>
        </is>
      </c>
      <c r="M9" s="19" t="n">
        <v>2021</v>
      </c>
      <c r="N9" s="19">
        <f>IF(AND(OR(YearFilter="All",$M9=YearFilter),OR(RatingFilter="All",$I9=RatingFilter),OR(TypeFilter="All",$B9=TypeFilter),OR(GenreFilter="All",COUNTIFS(tblGenre[show_id],$A9,tblGenre[Genre],GenreFilter)&gt;0)),1,0)</f>
        <v/>
      </c>
    </row>
    <row r="10" ht="15" customHeight="1" s="20">
      <c r="A10" s="19" t="inlineStr">
        <is>
          <t>s115</t>
        </is>
      </c>
      <c r="B10" s="19" t="inlineStr">
        <is>
          <t>Movie</t>
        </is>
      </c>
      <c r="C10" s="19" t="inlineStr">
        <is>
          <t>Anjaam</t>
        </is>
      </c>
      <c r="D10" s="19" t="inlineStr">
        <is>
          <t>Rahul Rawail</t>
        </is>
      </c>
      <c r="E10" s="19" t="inlineStr">
        <is>
          <t>Madhuri Dixit, Shah Rukh Khan, Tinnu Anand, Johny Lever, Kalpana Iyer, Himani Shivpuri, Sudha Chandran, Beena, Kiran Kumar</t>
        </is>
      </c>
      <c r="F10" s="19" t="inlineStr">
        <is>
          <t>India</t>
        </is>
      </c>
      <c r="G10" s="19" t="inlineStr">
        <is>
          <t>2021-09-02</t>
        </is>
      </c>
      <c r="H10" s="19" t="n">
        <v>1994</v>
      </c>
      <c r="I10" s="19" t="inlineStr">
        <is>
          <t>TV-14</t>
        </is>
      </c>
      <c r="J10" s="19" t="inlineStr">
        <is>
          <t>143 min</t>
        </is>
      </c>
      <c r="K10" s="19" t="inlineStr">
        <is>
          <t>Dramas, International Movies, Thrillers</t>
        </is>
      </c>
      <c r="L10" s="19" t="inlineStr">
        <is>
          <t>A wealthy industrialist’s dangerous obsession with a flight attendant destroys her world, until she takes matters into her own hands to exact revenge.</t>
        </is>
      </c>
      <c r="M10" s="19" t="n">
        <v>2021</v>
      </c>
      <c r="N10" s="19">
        <f>IF(AND(OR(YearFilter="All",$M10=YearFilter),OR(RatingFilter="All",$I10=RatingFilter),OR(TypeFilter="All",$B10=TypeFilter),OR(GenreFilter="All",COUNTIFS(tblGenre[show_id],$A10,tblGenre[Genre],GenreFilter)&gt;0)),1,0)</f>
        <v/>
      </c>
    </row>
    <row r="11" ht="15" customHeight="1" s="20">
      <c r="A11" s="19" t="inlineStr">
        <is>
          <t>s117</t>
        </is>
      </c>
      <c r="B11" s="19" t="inlineStr">
        <is>
          <t>Movie</t>
        </is>
      </c>
      <c r="C11" s="19" t="inlineStr">
        <is>
          <t>Dhanak</t>
        </is>
      </c>
      <c r="D11" s="19" t="inlineStr">
        <is>
          <t>Nagesh Kukunoor</t>
        </is>
      </c>
      <c r="E11" s="19" t="inlineStr">
        <is>
          <t>Krrish Chhabria, Hetal Gada, Vipin Sharma, Gulfam Khan, Suresh Menon, Vijay Maurya, Rajiv Lakshman, Ninad Kamat</t>
        </is>
      </c>
      <c r="F11" s="19" t="inlineStr">
        <is>
          <t>India</t>
        </is>
      </c>
      <c r="G11" s="19" t="inlineStr">
        <is>
          <t>2021-09-02</t>
        </is>
      </c>
      <c r="H11" s="19" t="n">
        <v>2015</v>
      </c>
      <c r="I11" s="19" t="inlineStr">
        <is>
          <t>TV-PG</t>
        </is>
      </c>
      <c r="J11" s="19" t="inlineStr">
        <is>
          <t>114 min</t>
        </is>
      </c>
      <c r="K11" s="19" t="inlineStr">
        <is>
          <t>Comedies, Dramas, Independent Movies</t>
        </is>
      </c>
      <c r="L11" s="19" t="inlineStr">
        <is>
          <t>A movie-loving 10-year-old and her blind little brother trek to meet Indian superstar Shah Rukh Khan for help in getting the boy an eye operation.</t>
        </is>
      </c>
      <c r="M11" s="19" t="n">
        <v>2021</v>
      </c>
      <c r="N11" s="19">
        <f>IF(AND(OR(YearFilter="All",$M11=YearFilter),OR(RatingFilter="All",$I11=RatingFilter),OR(TypeFilter="All",$B11=TypeFilter),OR(GenreFilter="All",COUNTIFS(tblGenre[show_id],$A11,tblGenre[Genre],GenreFilter)&gt;0)),1,0)</f>
        <v/>
      </c>
    </row>
    <row r="12" ht="15" customHeight="1" s="20">
      <c r="A12" s="19" t="inlineStr">
        <is>
          <t>s119</t>
        </is>
      </c>
      <c r="B12" s="19" t="inlineStr">
        <is>
          <t>Movie</t>
        </is>
      </c>
      <c r="C12" s="19" t="inlineStr">
        <is>
          <t>Gurgaon</t>
        </is>
      </c>
      <c r="D12" s="19" t="inlineStr">
        <is>
          <t>Shanker Raman</t>
        </is>
      </c>
      <c r="E12" s="19" t="inlineStr">
        <is>
          <t>Akshay Oberoi, Pankaj Tripathi, Ragini Khanna, Aamir Bashir, Shalini Vatsa, Ashish Verma</t>
        </is>
      </c>
      <c r="F12" s="19" t="inlineStr">
        <is>
          <t>India</t>
        </is>
      </c>
      <c r="G12" s="19" t="inlineStr">
        <is>
          <t>2021-09-02</t>
        </is>
      </c>
      <c r="H12" s="19" t="n">
        <v>2017</v>
      </c>
      <c r="I12" s="19" t="inlineStr">
        <is>
          <t>TV-14</t>
        </is>
      </c>
      <c r="J12" s="19" t="inlineStr">
        <is>
          <t>106 min</t>
        </is>
      </c>
      <c r="K12" s="19" t="inlineStr">
        <is>
          <t>Dramas, International Movies, Thrillers</t>
        </is>
      </c>
      <c r="L12" s="19" t="inlineStr">
        <is>
          <t>When the daughter of a wealthy family returns from college, she gets a frosty welcome from her brother, who has problems – and plans – of his own.</t>
        </is>
      </c>
      <c r="M12" s="19" t="n">
        <v>2021</v>
      </c>
      <c r="N12" s="19">
        <f>IF(AND(OR(YearFilter="All",$M12=YearFilter),OR(RatingFilter="All",$I12=RatingFilter),OR(TypeFilter="All",$B12=TypeFilter),OR(GenreFilter="All",COUNTIFS(tblGenre[show_id],$A12,tblGenre[Genre],GenreFilter)&gt;0)),1,0)</f>
        <v/>
      </c>
    </row>
    <row r="13" ht="15" customHeight="1" s="20">
      <c r="A13" s="19" t="inlineStr">
        <is>
          <t>s127</t>
        </is>
      </c>
      <c r="B13" s="19" t="inlineStr">
        <is>
          <t>Movie</t>
        </is>
      </c>
      <c r="C13" s="19" t="inlineStr">
        <is>
          <t>Shikara</t>
        </is>
      </c>
      <c r="D13" s="19" t="inlineStr">
        <is>
          <t>Vidhu Vinod Chopra</t>
        </is>
      </c>
      <c r="E13" s="19" t="inlineStr">
        <is>
          <t>Aadil Khan, Sadia Khateeb, Zain Khan Durrani, Priyanshu Chatterjee, Bhavna Chauhan, Ashwin Dhar, Farid Azad Khan, Saghar Sehrai</t>
        </is>
      </c>
      <c r="F13" s="19" t="inlineStr">
        <is>
          <t>India</t>
        </is>
      </c>
      <c r="G13" s="19" t="inlineStr">
        <is>
          <t>2021-09-02</t>
        </is>
      </c>
      <c r="H13" s="19" t="n">
        <v>2020</v>
      </c>
      <c r="I13" s="19" t="inlineStr">
        <is>
          <t>TV-14</t>
        </is>
      </c>
      <c r="J13" s="19" t="inlineStr">
        <is>
          <t>115 min</t>
        </is>
      </c>
      <c r="K13" s="19" t="inlineStr">
        <is>
          <t>Dramas, International Movies, Romantic Movies</t>
        </is>
      </c>
      <c r="L13" s="19" t="inlineStr">
        <is>
          <t>A couple must strive to remain resilient after regional hostilities drive them from their beloved home into a refugee camp.</t>
        </is>
      </c>
      <c r="M13" s="19" t="n">
        <v>2021</v>
      </c>
      <c r="N13" s="19">
        <f>IF(AND(OR(YearFilter="All",$M13=YearFilter),OR(RatingFilter="All",$I13=RatingFilter),OR(TypeFilter="All",$B13=TypeFilter),OR(GenreFilter="All",COUNTIFS(tblGenre[show_id],$A13,tblGenre[Genre],GenreFilter)&gt;0)),1,0)</f>
        <v/>
      </c>
    </row>
    <row r="14" ht="15" customHeight="1" s="20">
      <c r="A14" s="19" t="inlineStr">
        <is>
          <t>s191</t>
        </is>
      </c>
      <c r="B14" s="19" t="inlineStr">
        <is>
          <t>Movie</t>
        </is>
      </c>
      <c r="C14" s="19" t="inlineStr">
        <is>
          <t>Thimmarusu</t>
        </is>
      </c>
      <c r="D14" s="19" t="inlineStr">
        <is>
          <t>Sharan Koppisetty</t>
        </is>
      </c>
      <c r="E14" s="19" t="inlineStr">
        <is>
          <t>Satya Dev, Priyanka Jawalkar, Brahmaji</t>
        </is>
      </c>
      <c r="F14" s="19" t="inlineStr">
        <is>
          <t>India</t>
        </is>
      </c>
      <c r="G14" s="19" t="inlineStr">
        <is>
          <t>2021-08-28</t>
        </is>
      </c>
      <c r="H14" s="19" t="n">
        <v>2021</v>
      </c>
      <c r="I14" s="19" t="inlineStr">
        <is>
          <t>TV-14</t>
        </is>
      </c>
      <c r="J14" s="19" t="inlineStr">
        <is>
          <t>125 min</t>
        </is>
      </c>
      <c r="K14" s="19" t="inlineStr">
        <is>
          <t>Dramas, International Movies</t>
        </is>
      </c>
      <c r="L14" s="19" t="inlineStr">
        <is>
          <t>Eight years after a young man is framed for murder, an up-and-coming lawyer re-opens the case, beginning a tricky mission to find the real culprit.</t>
        </is>
      </c>
      <c r="M14" s="19" t="n">
        <v>2021</v>
      </c>
      <c r="N14" s="19">
        <f>IF(AND(OR(YearFilter="All",$M14=YearFilter),OR(RatingFilter="All",$I14=RatingFilter),OR(TypeFilter="All",$B14=TypeFilter),OR(GenreFilter="All",COUNTIFS(tblGenre[show_id],$A14,tblGenre[Genre],GenreFilter)&gt;0)),1,0)</f>
        <v/>
      </c>
    </row>
    <row r="15" ht="15" customHeight="1" s="20">
      <c r="A15" s="19" t="inlineStr">
        <is>
          <t>s193</t>
        </is>
      </c>
      <c r="B15" s="19" t="inlineStr">
        <is>
          <t>Movie</t>
        </is>
      </c>
      <c r="C15" s="19" t="inlineStr">
        <is>
          <t>C Kkompany</t>
        </is>
      </c>
      <c r="D15" s="19" t="inlineStr">
        <is>
          <t>Sachin Yardi</t>
        </is>
      </c>
      <c r="E15" s="19" t="inlineStr">
        <is>
          <t>Mithun Chakraborty, Tusshar Kapoor, Anupam Kher, Rajpal Yadav, Raima Sen, Dilip Prabhavalkar, Sanjay Mishra</t>
        </is>
      </c>
      <c r="F15" s="19" t="inlineStr">
        <is>
          <t>India</t>
        </is>
      </c>
      <c r="G15" s="19" t="inlineStr">
        <is>
          <t>2021-08-27</t>
        </is>
      </c>
      <c r="H15" s="19" t="n">
        <v>2008</v>
      </c>
      <c r="I15" s="19" t="inlineStr">
        <is>
          <t>TV-14</t>
        </is>
      </c>
      <c r="J15" s="19" t="inlineStr">
        <is>
          <t>127 min</t>
        </is>
      </c>
      <c r="K15" s="19" t="inlineStr">
        <is>
          <t>Action &amp; Adventure, Comedies, International Movies</t>
        </is>
      </c>
      <c r="L15" s="19" t="inlineStr">
        <is>
          <t>Three broke friends pose as an underworld gang for extortion, but their plan takes on a life of its own when their phony company becomes famous.</t>
        </is>
      </c>
      <c r="M15" s="19" t="n">
        <v>2021</v>
      </c>
      <c r="N15" s="19">
        <f>IF(AND(OR(YearFilter="All",$M15=YearFilter),OR(RatingFilter="All",$I15=RatingFilter),OR(TypeFilter="All",$B15=TypeFilter),OR(GenreFilter="All",COUNTIFS(tblGenre[show_id],$A15,tblGenre[Genre],GenreFilter)&gt;0)),1,0)</f>
        <v/>
      </c>
    </row>
    <row r="16" ht="15" customHeight="1" s="20">
      <c r="A16" s="19" t="inlineStr">
        <is>
          <t>s196</t>
        </is>
      </c>
      <c r="B16" s="19" t="inlineStr">
        <is>
          <t>Movie</t>
        </is>
      </c>
      <c r="C16" s="19" t="inlineStr">
        <is>
          <t>EMI: Liya Hai To Chukana Padega</t>
        </is>
      </c>
      <c r="D16" s="19" t="inlineStr">
        <is>
          <t>Saurabh Kabra</t>
        </is>
      </c>
      <c r="E16" s="19" t="inlineStr">
        <is>
          <t>Sanjay Dutt, Arjun Rampal, Malaika Arora, Aashish Chaudhary, Neha Uberoi, Urmila Matondkar, Manoj Joshi, Daya Shankar Pandey, Pushkar Jog, Kulbhushan Kharbanda</t>
        </is>
      </c>
      <c r="F16" s="19" t="inlineStr">
        <is>
          <t>India</t>
        </is>
      </c>
      <c r="G16" s="19" t="inlineStr">
        <is>
          <t>2021-08-27</t>
        </is>
      </c>
      <c r="H16" s="19" t="n">
        <v>2008</v>
      </c>
      <c r="I16" s="19" t="inlineStr">
        <is>
          <t>TV-14</t>
        </is>
      </c>
      <c r="J16" s="19" t="inlineStr">
        <is>
          <t>128 min</t>
        </is>
      </c>
      <c r="K16" s="19" t="inlineStr">
        <is>
          <t>Comedies, Dramas, International Movies</t>
        </is>
      </c>
      <c r="L16" s="19" t="inlineStr">
        <is>
          <t>A bank hires an enigmatic and unorthodox debt collector to recover money from four borrowers who are unable to pay their loans.</t>
        </is>
      </c>
      <c r="M16" s="19" t="n">
        <v>2021</v>
      </c>
      <c r="N16" s="19">
        <f>IF(AND(OR(YearFilter="All",$M16=YearFilter),OR(RatingFilter="All",$I16=RatingFilter),OR(TypeFilter="All",$B16=TypeFilter),OR(GenreFilter="All",COUNTIFS(tblGenre[show_id],$A16,tblGenre[Genre],GenreFilter)&gt;0)),1,0)</f>
        <v/>
      </c>
    </row>
    <row r="17" ht="15" customHeight="1" s="20">
      <c r="A17" s="19" t="inlineStr">
        <is>
          <t>s200</t>
        </is>
      </c>
      <c r="B17" s="19" t="inlineStr">
        <is>
          <t>Movie</t>
        </is>
      </c>
      <c r="C17" s="19" t="inlineStr">
        <is>
          <t>Koi Aap Sa</t>
        </is>
      </c>
      <c r="D17" s="19" t="inlineStr">
        <is>
          <t>Partho Mitra</t>
        </is>
      </c>
      <c r="E17" s="19" t="inlineStr">
        <is>
          <t>Aftab Shivdasani, Natassha, Dipannita Sharma, Himanshu Mallik, Vaidya Advai, Pushy Anand, Shama Deshpande, Rajendra Gupta</t>
        </is>
      </c>
      <c r="F17" s="19" t="inlineStr">
        <is>
          <t>India</t>
        </is>
      </c>
      <c r="G17" s="19" t="inlineStr">
        <is>
          <t>2021-08-27</t>
        </is>
      </c>
      <c r="H17" s="19" t="n">
        <v>2006</v>
      </c>
      <c r="I17" s="19" t="inlineStr">
        <is>
          <t>TV-14</t>
        </is>
      </c>
      <c r="J17" s="19" t="inlineStr">
        <is>
          <t>135 min</t>
        </is>
      </c>
      <c r="K17" s="19" t="inlineStr">
        <is>
          <t>Comedies, Dramas, International Movies</t>
        </is>
      </c>
      <c r="L17" s="19" t="inlineStr">
        <is>
          <t>Star athlete Rohan has his eye on a beautiful art student. But when his best friend Simran experiences a crisis, he drops everything to help her.</t>
        </is>
      </c>
      <c r="M17" s="19" t="n">
        <v>2021</v>
      </c>
      <c r="N17" s="19">
        <f>IF(AND(OR(YearFilter="All",$M17=YearFilter),OR(RatingFilter="All",$I17=RatingFilter),OR(TypeFilter="All",$B17=TypeFilter),OR(GenreFilter="All",COUNTIFS(tblGenre[show_id],$A17,tblGenre[Genre],GenreFilter)&gt;0)),1,0)</f>
        <v/>
      </c>
    </row>
    <row r="18" ht="15" customHeight="1" s="20">
      <c r="A18" s="19" t="inlineStr">
        <is>
          <t>s201</t>
        </is>
      </c>
      <c r="B18" s="19" t="inlineStr">
        <is>
          <t>Movie</t>
        </is>
      </c>
      <c r="C18" s="19" t="inlineStr">
        <is>
          <t>Krishna Cottage</t>
        </is>
      </c>
      <c r="D18" s="19" t="inlineStr">
        <is>
          <t>Santram Varma</t>
        </is>
      </c>
      <c r="E18" s="19" t="inlineStr">
        <is>
          <t>Sohail Khan, Isha Koppikar, Natassha, Rati Agnihotri, Vrajesh Hirjee, Divya Palat, Hiten Tejwani, Rajendranath Zutshi</t>
        </is>
      </c>
      <c r="F18" s="19" t="inlineStr">
        <is>
          <t>India</t>
        </is>
      </c>
      <c r="G18" s="19" t="inlineStr">
        <is>
          <t>2021-08-27</t>
        </is>
      </c>
      <c r="H18" s="19" t="n">
        <v>2004</v>
      </c>
      <c r="I18" s="19" t="inlineStr">
        <is>
          <t>TV-14</t>
        </is>
      </c>
      <c r="J18" s="19" t="inlineStr">
        <is>
          <t>124 min</t>
        </is>
      </c>
      <c r="K18" s="19" t="inlineStr">
        <is>
          <t>Action &amp; Adventure, Horror Movies, International Movies</t>
        </is>
      </c>
      <c r="L18" s="19" t="inlineStr">
        <is>
          <t>True love is put to the test when another woman comes between a pair of star-crossed young lovers in this thriller.</t>
        </is>
      </c>
      <c r="M18" s="19" t="n">
        <v>2021</v>
      </c>
      <c r="N18" s="19">
        <f>IF(AND(OR(YearFilter="All",$M18=YearFilter),OR(RatingFilter="All",$I18=RatingFilter),OR(TypeFilter="All",$B18=TypeFilter),OR(GenreFilter="All",COUNTIFS(tblGenre[show_id],$A18,tblGenre[Genre],GenreFilter)&gt;0)),1,0)</f>
        <v/>
      </c>
    </row>
    <row r="19" ht="15" customHeight="1" s="20">
      <c r="A19" s="19" t="inlineStr">
        <is>
          <t>s202</t>
        </is>
      </c>
      <c r="B19" s="19" t="inlineStr">
        <is>
          <t>Movie</t>
        </is>
      </c>
      <c r="C19" s="19" t="inlineStr">
        <is>
          <t>Kucch To Hai</t>
        </is>
      </c>
      <c r="D19" s="19" t="inlineStr">
        <is>
          <t>Anil V. Kumar, Anurag Basu</t>
        </is>
      </c>
      <c r="E19" s="19" t="inlineStr">
        <is>
          <t>Tusshar Kapoor, Esha Deol, Natassha, Vrajesh Hirjee, Kusumit Sana, Rishi Kapoor, Moon Moon Sen, Johny Lever, Ashay Chitre, Jeetendra</t>
        </is>
      </c>
      <c r="F19" s="19" t="inlineStr">
        <is>
          <t>India</t>
        </is>
      </c>
      <c r="G19" s="19" t="inlineStr">
        <is>
          <t>2021-08-27</t>
        </is>
      </c>
      <c r="H19" s="19" t="n">
        <v>2003</v>
      </c>
      <c r="I19" s="19" t="inlineStr">
        <is>
          <t>TV-14</t>
        </is>
      </c>
      <c r="J19" s="19" t="inlineStr">
        <is>
          <t>136 min</t>
        </is>
      </c>
      <c r="K19" s="19" t="inlineStr">
        <is>
          <t>Dramas, International Movies, Thrillers</t>
        </is>
      </c>
      <c r="L19" s="19" t="inlineStr">
        <is>
          <t>A student tries to steal a test from a teacher's home, leaving him for dead after an accident. A string of murders may be the professor's revenge.</t>
        </is>
      </c>
      <c r="M19" s="19" t="n">
        <v>2021</v>
      </c>
      <c r="N19" s="19">
        <f>IF(AND(OR(YearFilter="All",$M19=YearFilter),OR(RatingFilter="All",$I19=RatingFilter),OR(TypeFilter="All",$B19=TypeFilter),OR(GenreFilter="All",COUNTIFS(tblGenre[show_id],$A19,tblGenre[Genre],GenreFilter)&gt;0)),1,0)</f>
        <v/>
      </c>
    </row>
    <row r="20" ht="15" customHeight="1" s="20">
      <c r="A20" s="19" t="inlineStr">
        <is>
          <t>s203</t>
        </is>
      </c>
      <c r="B20" s="19" t="inlineStr">
        <is>
          <t>Movie</t>
        </is>
      </c>
      <c r="C20" s="19" t="inlineStr">
        <is>
          <t>Kyaa Kool Hai Hum</t>
        </is>
      </c>
      <c r="D20" s="19" t="inlineStr">
        <is>
          <t>Sangeeth Sivan</t>
        </is>
      </c>
      <c r="E20" s="19" t="inlineStr">
        <is>
          <t>Tusshar Kapoor, Riteish Deshmukh, Isha Koppikar, Neha Dhupia, Anupam Kher, Jay Sean</t>
        </is>
      </c>
      <c r="F20" s="19" t="inlineStr">
        <is>
          <t>India</t>
        </is>
      </c>
      <c r="G20" s="19" t="inlineStr">
        <is>
          <t>2021-08-27</t>
        </is>
      </c>
      <c r="H20" s="19" t="n">
        <v>2005</v>
      </c>
      <c r="I20" s="19" t="inlineStr">
        <is>
          <t>TV-MA</t>
        </is>
      </c>
      <c r="J20" s="19" t="inlineStr">
        <is>
          <t>165 min</t>
        </is>
      </c>
      <c r="K20" s="19" t="inlineStr">
        <is>
          <t>Comedies, International Movies, Music &amp; Musicals</t>
        </is>
      </c>
      <c r="L20" s="19" t="inlineStr">
        <is>
          <t>Longtime friends Rahul and Karan head to Mumbai intent on making their dreams come true, but both men are suddenly saddled with bad luck.</t>
        </is>
      </c>
      <c r="M20" s="19" t="n">
        <v>2021</v>
      </c>
      <c r="N20" s="19">
        <f>IF(AND(OR(YearFilter="All",$M20=YearFilter),OR(RatingFilter="All",$I20=RatingFilter),OR(TypeFilter="All",$B20=TypeFilter),OR(GenreFilter="All",COUNTIFS(tblGenre[show_id],$A20,tblGenre[Genre],GenreFilter)&gt;0)),1,0)</f>
        <v/>
      </c>
    </row>
    <row r="21" ht="15" customHeight="1" s="20">
      <c r="A21" s="19" t="inlineStr">
        <is>
          <t>s204</t>
        </is>
      </c>
      <c r="B21" s="19" t="inlineStr">
        <is>
          <t>Movie</t>
        </is>
      </c>
      <c r="C21" s="19" t="inlineStr">
        <is>
          <t>Kyaa Kool Hain Hum 3</t>
        </is>
      </c>
      <c r="D21" s="19" t="inlineStr">
        <is>
          <t>Umesh Ghadge</t>
        </is>
      </c>
      <c r="E21" s="19" t="inlineStr">
        <is>
          <t>Tusshar Kapoor, Aftab Shivdasani, Krishna Abhishek, Mandana Karimi, Shakti Kapoor, Darshan Jariwala, Sushmita Mukherjee, Meghna Naidu, Anand Kumar, Claudia Ciesla</t>
        </is>
      </c>
      <c r="F21" s="19" t="inlineStr">
        <is>
          <t>India</t>
        </is>
      </c>
      <c r="G21" s="19" t="inlineStr">
        <is>
          <t>2021-08-27</t>
        </is>
      </c>
      <c r="H21" s="19" t="n">
        <v>2016</v>
      </c>
      <c r="I21" s="19" t="inlineStr">
        <is>
          <t>TV-MA</t>
        </is>
      </c>
      <c r="J21" s="19" t="inlineStr">
        <is>
          <t>124 min</t>
        </is>
      </c>
      <c r="K21" s="19" t="inlineStr">
        <is>
          <t>Comedies, International Movies</t>
        </is>
      </c>
      <c r="L21" s="19" t="inlineStr">
        <is>
          <t>When an unlikely porn actor falls for a woman outside the industry, he employs his co-stars as a stand-in traditional family to impress her father.</t>
        </is>
      </c>
      <c r="M21" s="19" t="n">
        <v>2021</v>
      </c>
      <c r="N21" s="19">
        <f>IF(AND(OR(YearFilter="All",$M21=YearFilter),OR(RatingFilter="All",$I21=RatingFilter),OR(TypeFilter="All",$B21=TypeFilter),OR(GenreFilter="All",COUNTIFS(tblGenre[show_id],$A21,tblGenre[Genre],GenreFilter)&gt;0)),1,0)</f>
        <v/>
      </c>
    </row>
    <row r="22" ht="15" customHeight="1" s="20">
      <c r="A22" s="19" t="inlineStr">
        <is>
          <t>s205</t>
        </is>
      </c>
      <c r="B22" s="19" t="inlineStr">
        <is>
          <t>Movie</t>
        </is>
      </c>
      <c r="C22" s="19" t="inlineStr">
        <is>
          <t>Kyaa Super Kool Hain Hum</t>
        </is>
      </c>
      <c r="D22" s="19" t="inlineStr">
        <is>
          <t>Sachin Yardi</t>
        </is>
      </c>
      <c r="E22" s="19" t="inlineStr">
        <is>
          <t>Tusshar Kapoor, Riteish Deshmukh, Anupam Kher, Rohit Shetty, Neha Sharma, Chunky Pandey, Sarah-Jane Dias, Razak Khan, Kavin Dave</t>
        </is>
      </c>
      <c r="F22" s="19" t="inlineStr">
        <is>
          <t>India</t>
        </is>
      </c>
      <c r="G22" s="19" t="inlineStr">
        <is>
          <t>2021-08-27</t>
        </is>
      </c>
      <c r="H22" s="19" t="n">
        <v>2012</v>
      </c>
      <c r="I22" s="19" t="inlineStr">
        <is>
          <t>TV-MA</t>
        </is>
      </c>
      <c r="J22" s="19" t="inlineStr">
        <is>
          <t>136 min</t>
        </is>
      </c>
      <c r="K22" s="19" t="inlineStr">
        <is>
          <t>Comedies, International Movies</t>
        </is>
      </c>
      <c r="L22" s="19" t="inlineStr">
        <is>
          <t>An aspiring actor and a struggling DJ team up to pursue the ladies they love and a diamond that rightfully belongs to their oversexed dog.</t>
        </is>
      </c>
      <c r="M22" s="19" t="n">
        <v>2021</v>
      </c>
      <c r="N22" s="19">
        <f>IF(AND(OR(YearFilter="All",$M22=YearFilter),OR(RatingFilter="All",$I22=RatingFilter),OR(TypeFilter="All",$B22=TypeFilter),OR(GenreFilter="All",COUNTIFS(tblGenre[show_id],$A22,tblGenre[Genre],GenreFilter)&gt;0)),1,0)</f>
        <v/>
      </c>
    </row>
    <row r="23" ht="15" customHeight="1" s="20">
      <c r="A23" s="19" t="inlineStr">
        <is>
          <t>s206</t>
        </is>
      </c>
      <c r="B23" s="19" t="inlineStr">
        <is>
          <t>Movie</t>
        </is>
      </c>
      <c r="C23" s="19" t="inlineStr">
        <is>
          <t>Kyo Kii... Main Jhuth Nahin Bolta</t>
        </is>
      </c>
      <c r="D23" s="19" t="inlineStr">
        <is>
          <t>David Dhawan</t>
        </is>
      </c>
      <c r="E23" s="19" t="inlineStr">
        <is>
          <t>Govinda, Sushmita Sen, Rambha, Anupam Kher, Satish Kaushik, Sharad Kapoor, Kiran Kumar, Mohnish Bahl</t>
        </is>
      </c>
      <c r="F23" s="19" t="inlineStr">
        <is>
          <t>India</t>
        </is>
      </c>
      <c r="G23" s="19" t="inlineStr">
        <is>
          <t>2021-08-27</t>
        </is>
      </c>
      <c r="H23" s="19" t="n">
        <v>2001</v>
      </c>
      <c r="I23" s="19" t="inlineStr">
        <is>
          <t>TV-14</t>
        </is>
      </c>
      <c r="J23" s="19" t="inlineStr">
        <is>
          <t>150 min</t>
        </is>
      </c>
      <c r="K23" s="19" t="inlineStr">
        <is>
          <t>Comedies, International Movies, Sci-Fi &amp; Fantasy</t>
        </is>
      </c>
      <c r="L23" s="19" t="inlineStr">
        <is>
          <t>The life and career of a lawyer are thrown into chaos when his son's wish magically renders him incapable of telling a lie.</t>
        </is>
      </c>
      <c r="M23" s="19" t="n">
        <v>2021</v>
      </c>
      <c r="N23" s="19">
        <f>IF(AND(OR(YearFilter="All",$M23=YearFilter),OR(RatingFilter="All",$I23=RatingFilter),OR(TypeFilter="All",$B23=TypeFilter),OR(GenreFilter="All",COUNTIFS(tblGenre[show_id],$A23,tblGenre[Genre],GenreFilter)&gt;0)),1,0)</f>
        <v/>
      </c>
    </row>
    <row r="24" ht="15" customHeight="1" s="20">
      <c r="A24" s="19" t="inlineStr">
        <is>
          <t>s207</t>
        </is>
      </c>
      <c r="B24" s="19" t="inlineStr">
        <is>
          <t>Movie</t>
        </is>
      </c>
      <c r="C24" s="19" t="inlineStr">
        <is>
          <t>LSD: Love, Sex Aur Dhokha</t>
        </is>
      </c>
      <c r="D24" s="19" t="inlineStr">
        <is>
          <t>Dibakar Banerjee</t>
        </is>
      </c>
      <c r="E24" s="19" t="inlineStr">
        <is>
          <t>Nushrat Bharucha, Anshuman Jha, Neha Chauhan, Rajkummar Rao, Arya Banerjee, Amit Sial, Herry Tangri</t>
        </is>
      </c>
      <c r="F24" s="19" t="inlineStr">
        <is>
          <t>India</t>
        </is>
      </c>
      <c r="G24" s="19" t="inlineStr">
        <is>
          <t>2021-08-27</t>
        </is>
      </c>
      <c r="H24" s="19" t="n">
        <v>2010</v>
      </c>
      <c r="I24" s="19" t="inlineStr">
        <is>
          <t>TV-MA</t>
        </is>
      </c>
      <c r="J24" s="19" t="inlineStr">
        <is>
          <t>112 min</t>
        </is>
      </c>
      <c r="K24" s="19" t="inlineStr">
        <is>
          <t>Dramas, Independent Movies, International Movies</t>
        </is>
      </c>
      <c r="L24" s="19" t="inlineStr">
        <is>
          <t>This provocative drama examines how the voyeuristic nature of modern society affects three unusual couples in Northern India.</t>
        </is>
      </c>
      <c r="M24" s="19" t="n">
        <v>2021</v>
      </c>
      <c r="N24" s="19">
        <f>IF(AND(OR(YearFilter="All",$M24=YearFilter),OR(RatingFilter="All",$I24=RatingFilter),OR(TypeFilter="All",$B24=TypeFilter),OR(GenreFilter="All",COUNTIFS(tblGenre[show_id],$A24,tblGenre[Genre],GenreFilter)&gt;0)),1,0)</f>
        <v/>
      </c>
    </row>
    <row r="25" ht="15" customHeight="1" s="20">
      <c r="A25" s="19" t="inlineStr">
        <is>
          <t>s208</t>
        </is>
      </c>
      <c r="B25" s="19" t="inlineStr">
        <is>
          <t>Movie</t>
        </is>
      </c>
      <c r="C25" s="19" t="inlineStr">
        <is>
          <t>Mission Istaanbul: Darr Ke Aagey Jeet Hai</t>
        </is>
      </c>
      <c r="D25" s="19" t="inlineStr">
        <is>
          <t>Apoorva Lakhia</t>
        </is>
      </c>
      <c r="E25" s="19" t="inlineStr">
        <is>
          <t>Vivek Oberoi, Zayed Khan, Shriya Saran, Nikitin Dheer, Shabbir Ahluwalia, Sunil Shetty, Shweta Bhardwaj</t>
        </is>
      </c>
      <c r="F25" s="19" t="inlineStr">
        <is>
          <t>India</t>
        </is>
      </c>
      <c r="G25" s="19" t="inlineStr">
        <is>
          <t>2021-08-27</t>
        </is>
      </c>
      <c r="H25" s="19" t="n">
        <v>2008</v>
      </c>
      <c r="I25" s="19" t="inlineStr">
        <is>
          <t>TV-14</t>
        </is>
      </c>
      <c r="J25" s="19" t="inlineStr">
        <is>
          <t>119 min</t>
        </is>
      </c>
      <c r="K25" s="19" t="inlineStr">
        <is>
          <t>Action &amp; Adventure, International Movies, Music &amp; Musicals</t>
        </is>
      </c>
      <c r="L25" s="19" t="inlineStr">
        <is>
          <t>A television journalist makes a risky career move by accepting a job offer from a controversial Istanbul television station.</t>
        </is>
      </c>
      <c r="M25" s="19" t="n">
        <v>2021</v>
      </c>
      <c r="N25" s="19">
        <f>IF(AND(OR(YearFilter="All",$M25=YearFilter),OR(RatingFilter="All",$I25=RatingFilter),OR(TypeFilter="All",$B25=TypeFilter),OR(GenreFilter="All",COUNTIFS(tblGenre[show_id],$A25,tblGenre[Genre],GenreFilter)&gt;0)),1,0)</f>
        <v/>
      </c>
    </row>
    <row r="26" ht="15" customHeight="1" s="20">
      <c r="A26" s="19" t="inlineStr">
        <is>
          <t>s209</t>
        </is>
      </c>
      <c r="B26" s="19" t="inlineStr">
        <is>
          <t>Movie</t>
        </is>
      </c>
      <c r="C26" s="19" t="inlineStr">
        <is>
          <t>Once Upon a Time in Mumbaai</t>
        </is>
      </c>
      <c r="D26" s="19" t="inlineStr">
        <is>
          <t>Milan Luthria</t>
        </is>
      </c>
      <c r="E26" s="19" t="inlineStr">
        <is>
          <t>Ajay Devgn, Emraan Hashmi, Kangana Ranaut, Prachi Desai, Randeep Hooda, Naved Aslam, Asif Basra, Avtar Gill</t>
        </is>
      </c>
      <c r="F26" s="19" t="inlineStr">
        <is>
          <t>India</t>
        </is>
      </c>
      <c r="G26" s="19" t="inlineStr">
        <is>
          <t>2021-08-27</t>
        </is>
      </c>
      <c r="H26" s="19" t="n">
        <v>2010</v>
      </c>
      <c r="I26" s="19" t="inlineStr">
        <is>
          <t>TV-14</t>
        </is>
      </c>
      <c r="J26" s="19" t="inlineStr">
        <is>
          <t>133 min</t>
        </is>
      </c>
      <c r="K26" s="19" t="inlineStr">
        <is>
          <t>Dramas, International Movies, Music &amp; Musicals</t>
        </is>
      </c>
      <c r="L26" s="19" t="inlineStr">
        <is>
          <t>Mumbai's top mob boss rules the underworld with honor and compassion, but his power-hungry protégé will shake up the world of organized crime.</t>
        </is>
      </c>
      <c r="M26" s="19" t="n">
        <v>2021</v>
      </c>
      <c r="N26" s="19">
        <f>IF(AND(OR(YearFilter="All",$M26=YearFilter),OR(RatingFilter="All",$I26=RatingFilter),OR(TypeFilter="All",$B26=TypeFilter),OR(GenreFilter="All",COUNTIFS(tblGenre[show_id],$A26,tblGenre[Genre],GenreFilter)&gt;0)),1,0)</f>
        <v/>
      </c>
    </row>
    <row r="27" ht="15" customHeight="1" s="20">
      <c r="A27" s="19" t="inlineStr">
        <is>
          <t>s210</t>
        </is>
      </c>
      <c r="B27" s="19" t="inlineStr">
        <is>
          <t>Movie</t>
        </is>
      </c>
      <c r="C27" s="19" t="inlineStr">
        <is>
          <t>Once Upon a Time in Mumbai Dobaara!</t>
        </is>
      </c>
      <c r="D27" s="19" t="inlineStr">
        <is>
          <t>Milan Luthria</t>
        </is>
      </c>
      <c r="E27" s="19" t="inlineStr">
        <is>
          <t>Akshay Kumar, Imran Khan, Sonakshi Sinha, Sonali Bendre, Sarfaraz Khan, Mahesh Manjrekar, Abhimanyu Singh, Kurush Deboo, Pitobash, Chetan Hansraj</t>
        </is>
      </c>
      <c r="F27" s="19" t="inlineStr">
        <is>
          <t>India</t>
        </is>
      </c>
      <c r="G27" s="19" t="inlineStr">
        <is>
          <t>2021-08-27</t>
        </is>
      </c>
      <c r="H27" s="19" t="n">
        <v>2013</v>
      </c>
      <c r="I27" s="19" t="inlineStr">
        <is>
          <t>TV-14</t>
        </is>
      </c>
      <c r="J27" s="19" t="inlineStr">
        <is>
          <t>142 min</t>
        </is>
      </c>
      <c r="K27" s="19" t="inlineStr">
        <is>
          <t>Dramas, International Movies, Music &amp; Musicals</t>
        </is>
      </c>
      <c r="L27" s="19" t="inlineStr">
        <is>
          <t>This turbulent sequel to Once Upon a Time in Mumbai carries on the saga of the gangland don Shoaib Khan, who continues pressing for more control.</t>
        </is>
      </c>
      <c r="M27" s="19" t="n">
        <v>2021</v>
      </c>
      <c r="N27" s="19">
        <f>IF(AND(OR(YearFilter="All",$M27=YearFilter),OR(RatingFilter="All",$I27=RatingFilter),OR(TypeFilter="All",$B27=TypeFilter),OR(GenreFilter="All",COUNTIFS(tblGenre[show_id],$A27,tblGenre[Genre],GenreFilter)&gt;0)),1,0)</f>
        <v/>
      </c>
    </row>
    <row r="28" ht="15" customHeight="1" s="20">
      <c r="A28" s="19" t="inlineStr">
        <is>
          <t>s211</t>
        </is>
      </c>
      <c r="B28" s="19" t="inlineStr">
        <is>
          <t>Movie</t>
        </is>
      </c>
      <c r="C28" s="19" t="inlineStr">
        <is>
          <t>Ragini MMS</t>
        </is>
      </c>
      <c r="D28" s="19" t="inlineStr">
        <is>
          <t>Pawan Kripalani</t>
        </is>
      </c>
      <c r="E28" s="19" t="inlineStr">
        <is>
          <t>Kainaz Motivala, Rajkummar Rao, Rajat Kaul, Janice, Shernaza, Mangala Ahire, Vinod Rawat</t>
        </is>
      </c>
      <c r="F28" s="19" t="inlineStr">
        <is>
          <t>India</t>
        </is>
      </c>
      <c r="G28" s="19" t="inlineStr">
        <is>
          <t>2021-08-27</t>
        </is>
      </c>
      <c r="H28" s="19" t="n">
        <v>2011</v>
      </c>
      <c r="I28" s="19" t="inlineStr">
        <is>
          <t>TV-MA</t>
        </is>
      </c>
      <c r="J28" s="19" t="inlineStr">
        <is>
          <t>93 min</t>
        </is>
      </c>
      <c r="K28" s="19" t="inlineStr">
        <is>
          <t>Horror Movies, International Movies</t>
        </is>
      </c>
      <c r="L28" s="19" t="inlineStr">
        <is>
          <t>A couple out to have a sensuous weekend at a house outside of Mumbai finds it rigged with surveillance cameras and occupied by an evil entity.</t>
        </is>
      </c>
      <c r="M28" s="19" t="n">
        <v>2021</v>
      </c>
      <c r="N28" s="19">
        <f>IF(AND(OR(YearFilter="All",$M28=YearFilter),OR(RatingFilter="All",$I28=RatingFilter),OR(TypeFilter="All",$B28=TypeFilter),OR(GenreFilter="All",COUNTIFS(tblGenre[show_id],$A28,tblGenre[Genre],GenreFilter)&gt;0)),1,0)</f>
        <v/>
      </c>
    </row>
    <row r="29" ht="15" customHeight="1" s="20">
      <c r="A29" s="19" t="inlineStr">
        <is>
          <t>s212</t>
        </is>
      </c>
      <c r="B29" s="19" t="inlineStr">
        <is>
          <t>Movie</t>
        </is>
      </c>
      <c r="C29" s="19" t="inlineStr">
        <is>
          <t>Ragini MMS 2</t>
        </is>
      </c>
      <c r="D29" s="19" t="inlineStr">
        <is>
          <t>Bhushan Patel</t>
        </is>
      </c>
      <c r="E29" s="19" t="inlineStr">
        <is>
          <t>Sunny Leone, Saahil Prem, Parvin Dabas, Sandhya Mridul, Divya Dutta, Soniya Mehra, Kainaz Motivala, Karan Mehra</t>
        </is>
      </c>
      <c r="F29" s="19" t="inlineStr">
        <is>
          <t>India</t>
        </is>
      </c>
      <c r="G29" s="19" t="inlineStr">
        <is>
          <t>2021-08-27</t>
        </is>
      </c>
      <c r="H29" s="19" t="n">
        <v>2014</v>
      </c>
      <c r="I29" s="19" t="inlineStr">
        <is>
          <t>TV-MA</t>
        </is>
      </c>
      <c r="J29" s="19" t="inlineStr">
        <is>
          <t>113 min</t>
        </is>
      </c>
      <c r="K29" s="19" t="inlineStr">
        <is>
          <t>Horror Movies, International Movies</t>
        </is>
      </c>
      <c r="L29" s="19" t="inlineStr">
        <is>
          <t>The horror continues when Ragini's video goes viral and a sleazy director decides to make a movie about the incident in the original house.</t>
        </is>
      </c>
      <c r="M29" s="19" t="n">
        <v>2021</v>
      </c>
      <c r="N29" s="19">
        <f>IF(AND(OR(YearFilter="All",$M29=YearFilter),OR(RatingFilter="All",$I29=RatingFilter),OR(TypeFilter="All",$B29=TypeFilter),OR(GenreFilter="All",COUNTIFS(tblGenre[show_id],$A29,tblGenre[Genre],GenreFilter)&gt;0)),1,0)</f>
        <v/>
      </c>
    </row>
    <row r="30" ht="15" customHeight="1" s="20">
      <c r="A30" s="19" t="inlineStr">
        <is>
          <t>s216</t>
        </is>
      </c>
      <c r="B30" s="19" t="inlineStr">
        <is>
          <t>Movie</t>
        </is>
      </c>
      <c r="C30" s="19" t="inlineStr">
        <is>
          <t>Shootout at Lokhandwala</t>
        </is>
      </c>
      <c r="D30" s="19" t="inlineStr">
        <is>
          <t>Apoorva Lakhia</t>
        </is>
      </c>
      <c r="E30" s="19" t="inlineStr">
        <is>
          <t>Amitabh Bachchan, Sanjay Dutt, Sunil Shetty, Arbaaz Khan, Abhishek Bachchan, Vivek Oberoi, Tusshar Kapoor, Rohit Roy, Shabbir Ahluwalia, Dia Mirza, Amrita Singh, Neha Dhupia</t>
        </is>
      </c>
      <c r="F30" s="19" t="inlineStr">
        <is>
          <t>India</t>
        </is>
      </c>
      <c r="G30" s="19" t="inlineStr">
        <is>
          <t>2021-08-27</t>
        </is>
      </c>
      <c r="H30" s="19" t="n">
        <v>2007</v>
      </c>
      <c r="I30" s="19" t="inlineStr">
        <is>
          <t>TV-MA</t>
        </is>
      </c>
      <c r="J30" s="19" t="inlineStr">
        <is>
          <t>116 min</t>
        </is>
      </c>
      <c r="K30" s="19" t="inlineStr">
        <is>
          <t>Action &amp; Adventure, Dramas, International Movies</t>
        </is>
      </c>
      <c r="L30" s="19" t="inlineStr">
        <is>
          <t>Based on a true story, this action film follows an incident that stunned a nation in the early 1990s. In Mumbai, India, the notorious gangster Maya holds off veteran cop Khan and a force of more than 200 policemen in a six-hour bloody gunfight.</t>
        </is>
      </c>
      <c r="M30" s="19" t="n">
        <v>2021</v>
      </c>
      <c r="N30" s="19">
        <f>IF(AND(OR(YearFilter="All",$M30=YearFilter),OR(RatingFilter="All",$I30=RatingFilter),OR(TypeFilter="All",$B30=TypeFilter),OR(GenreFilter="All",COUNTIFS(tblGenre[show_id],$A30,tblGenre[Genre],GenreFilter)&gt;0)),1,0)</f>
        <v/>
      </c>
    </row>
    <row r="31" ht="15" customHeight="1" s="20">
      <c r="A31" s="19" t="inlineStr">
        <is>
          <t>s217</t>
        </is>
      </c>
      <c r="B31" s="19" t="inlineStr">
        <is>
          <t>Movie</t>
        </is>
      </c>
      <c r="C31" s="19" t="inlineStr">
        <is>
          <t>Shor In the City</t>
        </is>
      </c>
      <c r="D31" s="19" t="inlineStr">
        <is>
          <t>Raj Nidimoru, Krishna D.K.</t>
        </is>
      </c>
      <c r="E31" s="19" t="inlineStr">
        <is>
          <t>Sendhil Ramamurthy, Tusshar Kapoor, Nikhil Dwivedi, Preeti Desai, Sundeep Kishan, Radhika Apte, Pitobash, Girija Oak, Alok Chaturvedi, Sudhir Chowdhary</t>
        </is>
      </c>
      <c r="F31" s="19" t="inlineStr">
        <is>
          <t>India</t>
        </is>
      </c>
      <c r="G31" s="19" t="inlineStr">
        <is>
          <t>2021-08-27</t>
        </is>
      </c>
      <c r="H31" s="19" t="n">
        <v>2011</v>
      </c>
      <c r="I31" s="19" t="inlineStr">
        <is>
          <t>TV-14</t>
        </is>
      </c>
      <c r="J31" s="19" t="inlineStr">
        <is>
          <t>106 min</t>
        </is>
      </c>
      <c r="K31" s="19" t="inlineStr">
        <is>
          <t>Comedies, Dramas, Independent Movies</t>
        </is>
      </c>
      <c r="L31" s="19" t="inlineStr">
        <is>
          <t>When three small-time Mumbai crooks steal a bag on a train, they find that it's filled with weapons and realize that their lives may be in danger.</t>
        </is>
      </c>
      <c r="M31" s="19" t="n">
        <v>2021</v>
      </c>
      <c r="N31" s="19">
        <f>IF(AND(OR(YearFilter="All",$M31=YearFilter),OR(RatingFilter="All",$I31=RatingFilter),OR(TypeFilter="All",$B31=TypeFilter),OR(GenreFilter="All",COUNTIFS(tblGenre[show_id],$A31,tblGenre[Genre],GenreFilter)&gt;0)),1,0)</f>
        <v/>
      </c>
    </row>
    <row r="32" ht="15" customHeight="1" s="20">
      <c r="A32" s="19" t="inlineStr">
        <is>
          <t>s218</t>
        </is>
      </c>
      <c r="B32" s="19" t="inlineStr">
        <is>
          <t>Movie</t>
        </is>
      </c>
      <c r="C32" s="19" t="inlineStr">
        <is>
          <t>The Dirty Picture</t>
        </is>
      </c>
      <c r="D32" s="19" t="inlineStr">
        <is>
          <t>Milan Luthria</t>
        </is>
      </c>
      <c r="E32" s="19" t="inlineStr">
        <is>
          <t>Vidya Balan, Emraan Hashmi, Tusshar Kapoor, Naseeruddin Shah, Rajesh Sharma, Imran Hasnee, Anju Mahendru</t>
        </is>
      </c>
      <c r="F32" s="19" t="inlineStr">
        <is>
          <t>India</t>
        </is>
      </c>
      <c r="G32" s="19" t="inlineStr">
        <is>
          <t>2021-08-27</t>
        </is>
      </c>
      <c r="H32" s="19" t="n">
        <v>2011</v>
      </c>
      <c r="I32" s="19" t="inlineStr">
        <is>
          <t>TV-14</t>
        </is>
      </c>
      <c r="J32" s="19" t="inlineStr">
        <is>
          <t>145 min</t>
        </is>
      </c>
      <c r="K32" s="19" t="inlineStr">
        <is>
          <t>Comedies, Dramas, International Movies</t>
        </is>
      </c>
      <c r="L32" s="19" t="inlineStr">
        <is>
          <t>After running away from home in search of movie stardom, a village girl rises to become a prominent sex symbol.</t>
        </is>
      </c>
      <c r="M32" s="19" t="n">
        <v>2021</v>
      </c>
      <c r="N32" s="19">
        <f>IF(AND(OR(YearFilter="All",$M32=YearFilter),OR(RatingFilter="All",$I32=RatingFilter),OR(TypeFilter="All",$B32=TypeFilter),OR(GenreFilter="All",COUNTIFS(tblGenre[show_id],$A32,tblGenre[Genre],GenreFilter)&gt;0)),1,0)</f>
        <v/>
      </c>
    </row>
    <row r="33" ht="15" customHeight="1" s="20">
      <c r="A33" s="19" t="inlineStr">
        <is>
          <t>s254</t>
        </is>
      </c>
      <c r="B33" s="19" t="inlineStr">
        <is>
          <t>Movie</t>
        </is>
      </c>
      <c r="C33" s="19" t="inlineStr">
        <is>
          <t>Bombay</t>
        </is>
      </c>
      <c r="D33" s="19" t="inlineStr">
        <is>
          <t>Mani Ratnam</t>
        </is>
      </c>
      <c r="E33" s="19" t="inlineStr">
        <is>
          <t>Arvind Swamy, Manisha Koirala, Nasser, Raja Krishnamoorthy</t>
        </is>
      </c>
      <c r="F33" s="19" t="inlineStr">
        <is>
          <t>India</t>
        </is>
      </c>
      <c r="G33" s="19" t="inlineStr">
        <is>
          <t>2021-08-18</t>
        </is>
      </c>
      <c r="H33" s="19" t="n">
        <v>1995</v>
      </c>
      <c r="I33" s="19" t="inlineStr">
        <is>
          <t>TV-14</t>
        </is>
      </c>
      <c r="J33" s="19" t="inlineStr">
        <is>
          <t>135 min</t>
        </is>
      </c>
      <c r="K33" s="19" t="inlineStr">
        <is>
          <t>Dramas, International Movies, Romantic Movies</t>
        </is>
      </c>
      <c r="L33" s="19" t="inlineStr">
        <is>
          <t>Years after they elope against their family’s wishes, a couple and their sons become caught in the throes of conflict in their city.</t>
        </is>
      </c>
      <c r="M33" s="19" t="n">
        <v>2021</v>
      </c>
      <c r="N33" s="19">
        <f>IF(AND(OR(YearFilter="All",$M33=YearFilter),OR(RatingFilter="All",$I33=RatingFilter),OR(TypeFilter="All",$B33=TypeFilter),OR(GenreFilter="All",COUNTIFS(tblGenre[show_id],$A33,tblGenre[Genre],GenreFilter)&gt;0)),1,0)</f>
        <v/>
      </c>
    </row>
    <row r="34" ht="15" customHeight="1" s="20">
      <c r="A34" s="19" t="inlineStr">
        <is>
          <t>s260</t>
        </is>
      </c>
      <c r="B34" s="19" t="inlineStr">
        <is>
          <t>Movie</t>
        </is>
      </c>
      <c r="C34" s="19" t="inlineStr">
        <is>
          <t>Pahuna</t>
        </is>
      </c>
      <c r="D34" s="19" t="inlineStr">
        <is>
          <t>Paakhi Tyrewala</t>
        </is>
      </c>
      <c r="E34" s="19" t="inlineStr">
        <is>
          <t>Anmol Limbu, Ishika Gurung, Manju Chettri, Banita Lagun, Binod Pradhan, Mahindra Bajgai, Rupa Tamang, Saran Rai</t>
        </is>
      </c>
      <c r="F34" s="19" t="inlineStr">
        <is>
          <t>India, Nepal</t>
        </is>
      </c>
      <c r="G34" s="19" t="inlineStr">
        <is>
          <t>2021-08-18</t>
        </is>
      </c>
      <c r="H34" s="19" t="n">
        <v>2018</v>
      </c>
      <c r="I34" s="19" t="inlineStr">
        <is>
          <t>TV-PG</t>
        </is>
      </c>
      <c r="J34" s="19" t="inlineStr">
        <is>
          <t>82 min</t>
        </is>
      </c>
      <c r="K34" s="19" t="inlineStr">
        <is>
          <t>Comedies, Dramas, International Movies</t>
        </is>
      </c>
      <c r="L34" s="19" t="inlineStr">
        <is>
          <t>Fleeing unrest in their native Nepal, three young siblings separated from their parents must beat the odds to survive on their own in India.</t>
        </is>
      </c>
      <c r="M34" s="19" t="n">
        <v>2021</v>
      </c>
      <c r="N34" s="19">
        <f>IF(AND(OR(YearFilter="All",$M34=YearFilter),OR(RatingFilter="All",$I34=RatingFilter),OR(TypeFilter="All",$B34=TypeFilter),OR(GenreFilter="All",COUNTIFS(tblGenre[show_id],$A34,tblGenre[Genre],GenreFilter)&gt;0)),1,0)</f>
        <v/>
      </c>
    </row>
    <row r="35" ht="15" customHeight="1" s="20">
      <c r="A35" s="19" t="inlineStr">
        <is>
          <t>s267</t>
        </is>
      </c>
      <c r="B35" s="19" t="inlineStr">
        <is>
          <t>TV Show</t>
        </is>
      </c>
      <c r="C35" s="19" t="inlineStr">
        <is>
          <t>The Creative Indians</t>
        </is>
      </c>
      <c r="F35" s="19" t="inlineStr">
        <is>
          <t>India</t>
        </is>
      </c>
      <c r="G35" s="19" t="inlineStr">
        <is>
          <t>2021-08-15</t>
        </is>
      </c>
      <c r="H35" s="19" t="n">
        <v>2020</v>
      </c>
      <c r="I35" s="19" t="inlineStr">
        <is>
          <t>TV-MA</t>
        </is>
      </c>
      <c r="J35" s="19" t="inlineStr">
        <is>
          <t>1 Season</t>
        </is>
      </c>
      <c r="K35" s="19" t="inlineStr">
        <is>
          <t>Docuseries, International TV Shows</t>
        </is>
      </c>
      <c r="L35" s="19" t="inlineStr">
        <is>
          <t>From chefs and comedians to filmmakers and fashion designers, India’s most notable imaginative minds share their artistic journeys.</t>
        </is>
      </c>
      <c r="M35" s="19" t="n">
        <v>2021</v>
      </c>
      <c r="N35" s="19">
        <f>IF(AND(OR(YearFilter="All",$M35=YearFilter),OR(RatingFilter="All",$I35=RatingFilter),OR(TypeFilter="All",$B35=TypeFilter),OR(GenreFilter="All",COUNTIFS(tblGenre[show_id],$A35,tblGenre[Genre],GenreFilter)&gt;0)),1,0)</f>
        <v/>
      </c>
    </row>
    <row r="36" ht="15" customHeight="1" s="20">
      <c r="A36" s="19" t="inlineStr">
        <is>
          <t>s298</t>
        </is>
      </c>
      <c r="B36" s="19" t="inlineStr">
        <is>
          <t>TV Show</t>
        </is>
      </c>
      <c r="C36" s="19" t="inlineStr">
        <is>
          <t>Navarasa</t>
        </is>
      </c>
      <c r="D36" s="19" t="inlineStr">
        <is>
          <t>Bejoy Nambiar, Priyadarshan, Karthik Narain, Vasanth Sai, Karthik Subbaraj, Arvind Swamy, Rathindran R Prasad, Sarjun, Gautham Vasudev Menon</t>
        </is>
      </c>
      <c r="E36" s="1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36" s="19" t="inlineStr">
        <is>
          <t>India</t>
        </is>
      </c>
      <c r="G36" s="19" t="inlineStr">
        <is>
          <t>2021-08-06</t>
        </is>
      </c>
      <c r="H36" s="19" t="n">
        <v>2021</v>
      </c>
      <c r="I36" s="19" t="inlineStr">
        <is>
          <t>TV-MA</t>
        </is>
      </c>
      <c r="J36" s="19" t="inlineStr">
        <is>
          <t>1 Season</t>
        </is>
      </c>
      <c r="K36" s="19" t="inlineStr">
        <is>
          <t>TV Shows</t>
        </is>
      </c>
      <c r="L36" s="19" t="inlineStr">
        <is>
          <t>From amusement to awe, the nine human emotions of Indian aesthetic theory are explored in this anthology series.</t>
        </is>
      </c>
      <c r="M36" s="19" t="n">
        <v>2021</v>
      </c>
      <c r="N36" s="19">
        <f>IF(AND(OR(YearFilter="All",$M36=YearFilter),OR(RatingFilter="All",$I36=RatingFilter),OR(TypeFilter="All",$B36=TypeFilter),OR(GenreFilter="All",COUNTIFS(tblGenre[show_id],$A36,tblGenre[Genre],GenreFilter)&gt;0)),1,0)</f>
        <v/>
      </c>
    </row>
    <row r="37" ht="15" customHeight="1" s="20">
      <c r="A37" s="19" t="inlineStr">
        <is>
          <t>s302</t>
        </is>
      </c>
      <c r="B37" s="19" t="inlineStr">
        <is>
          <t>Movie</t>
        </is>
      </c>
      <c r="C37" s="19" t="inlineStr">
        <is>
          <t>Chennai Express</t>
        </is>
      </c>
      <c r="D37" s="19" t="inlineStr">
        <is>
          <t>Rohit Shetty</t>
        </is>
      </c>
      <c r="E37" s="19" t="inlineStr">
        <is>
          <t>Shah Rukh Khan, Deepika Padukone, Nikitin Dheer, Satyaraj, Kamini Kaushal, Lekh Tandon, Mukesh Tiwari</t>
        </is>
      </c>
      <c r="F37" s="19" t="inlineStr">
        <is>
          <t>India</t>
        </is>
      </c>
      <c r="G37" s="19" t="inlineStr">
        <is>
          <t>2021-08-05</t>
        </is>
      </c>
      <c r="H37" s="19" t="n">
        <v>2013</v>
      </c>
      <c r="I37" s="19" t="inlineStr">
        <is>
          <t>TV-14</t>
        </is>
      </c>
      <c r="J37" s="19" t="inlineStr">
        <is>
          <t>135 min</t>
        </is>
      </c>
      <c r="K37" s="19" t="inlineStr">
        <is>
          <t>Action &amp; Adventure, Comedies, International Movies</t>
        </is>
      </c>
      <c r="L37" s="19" t="inlineStr">
        <is>
          <t>What could have been a sad journey turns joyful for Rahul when he falls in love with a woman en route to submerging his grandfather's ashes.</t>
        </is>
      </c>
      <c r="M37" s="19" t="n">
        <v>2021</v>
      </c>
      <c r="N37" s="19">
        <f>IF(AND(OR(YearFilter="All",$M37=YearFilter),OR(RatingFilter="All",$I37=RatingFilter),OR(TypeFilter="All",$B37=TypeFilter),OR(GenreFilter="All",COUNTIFS(tblGenre[show_id],$A37,tblGenre[Genre],GenreFilter)&gt;0)),1,0)</f>
        <v/>
      </c>
    </row>
    <row r="38" ht="15" customHeight="1" s="20">
      <c r="A38" s="19" t="inlineStr">
        <is>
          <t>s384</t>
        </is>
      </c>
      <c r="B38" s="19" t="inlineStr">
        <is>
          <t>Movie</t>
        </is>
      </c>
      <c r="C38" s="19" t="inlineStr">
        <is>
          <t>Department</t>
        </is>
      </c>
      <c r="D38" s="19" t="inlineStr">
        <is>
          <t>Ram Gopal Varma</t>
        </is>
      </c>
      <c r="E38" s="19" t="inlineStr">
        <is>
          <t>Amitabh Bachchan, Sanjay Dutt, Rana Daggubati, Vijay Raaz, Abhimanyu Singh, Madhu Shalini, Deepak Tijori, Anjana Sukhani, Manchu Lakshmi</t>
        </is>
      </c>
      <c r="F38" s="19" t="inlineStr">
        <is>
          <t>India</t>
        </is>
      </c>
      <c r="G38" s="19" t="inlineStr">
        <is>
          <t>2021-07-27</t>
        </is>
      </c>
      <c r="H38" s="19" t="n">
        <v>2012</v>
      </c>
      <c r="I38" s="19" t="inlineStr">
        <is>
          <t>TV-MA</t>
        </is>
      </c>
      <c r="J38" s="19" t="inlineStr">
        <is>
          <t>143 min</t>
        </is>
      </c>
      <c r="K38" s="19" t="inlineStr">
        <is>
          <t>Action &amp; Adventure, International Movies</t>
        </is>
      </c>
      <c r="L38" s="19" t="inlineStr">
        <is>
          <t>Two cops form a task force to take down two mobsters, but when a sinister politician enters the picture, dubious loyalties and motives come to light.</t>
        </is>
      </c>
      <c r="M38" s="19" t="n">
        <v>2021</v>
      </c>
      <c r="N38" s="19">
        <f>IF(AND(OR(YearFilter="All",$M38=YearFilter),OR(RatingFilter="All",$I38=RatingFilter),OR(TypeFilter="All",$B38=TypeFilter),OR(GenreFilter="All",COUNTIFS(tblGenre[show_id],$A38,tblGenre[Genre],GenreFilter)&gt;0)),1,0)</f>
        <v/>
      </c>
    </row>
    <row r="39" ht="15" customHeight="1" s="20">
      <c r="A39" s="19" t="inlineStr">
        <is>
          <t>s411</t>
        </is>
      </c>
      <c r="B39" s="19" t="inlineStr">
        <is>
          <t>Movie</t>
        </is>
      </c>
      <c r="C39" s="19" t="inlineStr">
        <is>
          <t>Chhota Bheem And The Broken Amulet</t>
        </is>
      </c>
      <c r="D39" s="19" t="inlineStr">
        <is>
          <t>Rajiv Chilaka</t>
        </is>
      </c>
      <c r="E39" s="19" t="inlineStr">
        <is>
          <t>Vatsal Dubey, Julie Tejwani, Rupa Bhimani, Jigna Bhardwaj, Rajesh Kava, Mousam, Swapnil</t>
        </is>
      </c>
      <c r="F39" s="19" t="inlineStr">
        <is>
          <t>India</t>
        </is>
      </c>
      <c r="G39" s="19" t="inlineStr">
        <is>
          <t>2021-07-22</t>
        </is>
      </c>
      <c r="H39" s="19" t="n">
        <v>2013</v>
      </c>
      <c r="I39" s="19" t="inlineStr">
        <is>
          <t>TV-Y7</t>
        </is>
      </c>
      <c r="J39" s="19" t="inlineStr">
        <is>
          <t>64 min</t>
        </is>
      </c>
      <c r="K39" s="19" t="inlineStr">
        <is>
          <t>Children &amp; Family Movies</t>
        </is>
      </c>
      <c r="L39" s="19" t="inlineStr">
        <is>
          <t>When a stranger tries to steal an amulet from the palace, Bheem learns the sad story behind the ornament and heads to Africa to defeat the real villain.</t>
        </is>
      </c>
      <c r="M39" s="19" t="n">
        <v>2021</v>
      </c>
      <c r="N39" s="19">
        <f>IF(AND(OR(YearFilter="All",$M39=YearFilter),OR(RatingFilter="All",$I39=RatingFilter),OR(TypeFilter="All",$B39=TypeFilter),OR(GenreFilter="All",COUNTIFS(tblGenre[show_id],$A39,tblGenre[Genre],GenreFilter)&gt;0)),1,0)</f>
        <v/>
      </c>
    </row>
    <row r="40" ht="15" customHeight="1" s="20">
      <c r="A40" s="19" t="inlineStr">
        <is>
          <t>s416</t>
        </is>
      </c>
      <c r="B40" s="19" t="inlineStr">
        <is>
          <t>Movie</t>
        </is>
      </c>
      <c r="C40" s="19" t="inlineStr">
        <is>
          <t>Chhota Bheem aur Krishna</t>
        </is>
      </c>
      <c r="D40" s="19" t="inlineStr">
        <is>
          <t>Rajiv Chilaka</t>
        </is>
      </c>
      <c r="E40" s="19" t="inlineStr">
        <is>
          <t>Vatsal Dubey, Julie Tejwani, Rupa Bhimani, Jigna Bhardwaj, Rajesh Kava, Arun Shekher, Sanchit Wartak</t>
        </is>
      </c>
      <c r="F40" s="19" t="inlineStr">
        <is>
          <t>India</t>
        </is>
      </c>
      <c r="G40" s="19" t="inlineStr">
        <is>
          <t>2021-07-22</t>
        </is>
      </c>
      <c r="H40" s="19" t="n">
        <v>2009</v>
      </c>
      <c r="I40" s="19" t="inlineStr">
        <is>
          <t>TV-Y7</t>
        </is>
      </c>
      <c r="J40" s="19" t="inlineStr">
        <is>
          <t>68 min</t>
        </is>
      </c>
      <c r="K40" s="19" t="inlineStr">
        <is>
          <t>Children &amp; Family Movies</t>
        </is>
      </c>
      <c r="L40" s="19" t="inlineStr">
        <is>
          <t>Centuries after the end of a conqueror's rule, he is mysteriously back from the dead. It’s up to Bheem to save Dholakpur from being taken over!</t>
        </is>
      </c>
      <c r="M40" s="19" t="n">
        <v>2021</v>
      </c>
      <c r="N40" s="19">
        <f>IF(AND(OR(YearFilter="All",$M40=YearFilter),OR(RatingFilter="All",$I40=RatingFilter),OR(TypeFilter="All",$B40=TypeFilter),OR(GenreFilter="All",COUNTIFS(tblGenre[show_id],$A40,tblGenre[Genre],GenreFilter)&gt;0)),1,0)</f>
        <v/>
      </c>
    </row>
    <row r="41" ht="15" customHeight="1" s="20">
      <c r="A41" s="19" t="inlineStr">
        <is>
          <t>s519</t>
        </is>
      </c>
      <c r="B41" s="19" t="inlineStr">
        <is>
          <t>Movie</t>
        </is>
      </c>
      <c r="C41" s="19" t="inlineStr">
        <is>
          <t>Har Kisse Ke Hisse: Kaamyaab</t>
        </is>
      </c>
      <c r="D41" s="19" t="inlineStr">
        <is>
          <t>Hardik Mehta</t>
        </is>
      </c>
      <c r="E41" s="19" t="inlineStr">
        <is>
          <t>Sanjay Mishra, Deepak Dobriyal, Sarika Singh, Isha Talwar, Avtar Gill, Kaurwakee Vashistha, Amitabh Srivastava, Vikas Verma</t>
        </is>
      </c>
      <c r="F41" s="19" t="inlineStr">
        <is>
          <t>India</t>
        </is>
      </c>
      <c r="G41" s="19" t="inlineStr">
        <is>
          <t>2021-07-06</t>
        </is>
      </c>
      <c r="H41" s="19" t="n">
        <v>2020</v>
      </c>
      <c r="I41" s="19" t="inlineStr">
        <is>
          <t>TV-14</t>
        </is>
      </c>
      <c r="J41" s="19" t="inlineStr">
        <is>
          <t>105 min</t>
        </is>
      </c>
      <c r="K41" s="19" t="inlineStr">
        <is>
          <t>Dramas, International Movies</t>
        </is>
      </c>
      <c r="L41" s="19" t="inlineStr">
        <is>
          <t>After a career of thankless credits, a retired actor returns for a long-awaited leading role but finds he is utterly unprepared for new-age filmmaking.</t>
        </is>
      </c>
      <c r="M41" s="19" t="n">
        <v>2021</v>
      </c>
      <c r="N41" s="19">
        <f>IF(AND(OR(YearFilter="All",$M41=YearFilter),OR(RatingFilter="All",$I41=RatingFilter),OR(TypeFilter="All",$B41=TypeFilter),OR(GenreFilter="All",COUNTIFS(tblGenre[show_id],$A41,tblGenre[Genre],GenreFilter)&gt;0)),1,0)</f>
        <v/>
      </c>
    </row>
    <row r="42" ht="15" customHeight="1" s="20">
      <c r="A42" s="19" t="inlineStr">
        <is>
          <t>s529</t>
        </is>
      </c>
      <c r="B42" s="19" t="inlineStr">
        <is>
          <t>Movie</t>
        </is>
      </c>
      <c r="C42" s="19" t="inlineStr">
        <is>
          <t>Rehmataan</t>
        </is>
      </c>
      <c r="D42" s="19" t="inlineStr">
        <is>
          <t>Rajveer Singh Maan, Harpeet Singh</t>
        </is>
      </c>
      <c r="E42" s="19" t="inlineStr">
        <is>
          <t>Guggu Gill, Sukhjinder Shera, Surinder Shinda, Deep Dhillon, Jasmine Jassi, Gurvinder Brar, Razia Sukhvir, Raj Virk</t>
        </is>
      </c>
      <c r="F42" s="19" t="inlineStr">
        <is>
          <t>India</t>
        </is>
      </c>
      <c r="G42" s="19" t="inlineStr">
        <is>
          <t>2021-07-06</t>
        </is>
      </c>
      <c r="H42" s="19" t="n">
        <v>2012</v>
      </c>
      <c r="I42" s="19" t="inlineStr">
        <is>
          <t>TV-14</t>
        </is>
      </c>
      <c r="J42" s="19" t="inlineStr">
        <is>
          <t>116 min</t>
        </is>
      </c>
      <c r="K42" s="19" t="inlineStr">
        <is>
          <t>Dramas, International Movies, Romantic Movies</t>
        </is>
      </c>
      <c r="L42" s="19" t="inlineStr">
        <is>
          <t>As unemployment, drug addiction and corruption plague a society, this drama depicts the people who believe there’s still good in the world.</t>
        </is>
      </c>
      <c r="M42" s="19" t="n">
        <v>2021</v>
      </c>
      <c r="N42" s="19">
        <f>IF(AND(OR(YearFilter="All",$M42=YearFilter),OR(RatingFilter="All",$I42=RatingFilter),OR(TypeFilter="All",$B42=TypeFilter),OR(GenreFilter="All",COUNTIFS(tblGenre[show_id],$A42,tblGenre[Genre],GenreFilter)&gt;0)),1,0)</f>
        <v/>
      </c>
    </row>
    <row r="43" ht="15" customHeight="1" s="20">
      <c r="A43" s="19" t="inlineStr">
        <is>
          <t>s542</t>
        </is>
      </c>
      <c r="B43" s="19" t="inlineStr">
        <is>
          <t>Movie</t>
        </is>
      </c>
      <c r="C43" s="19" t="inlineStr">
        <is>
          <t>Truckbhar Swapna</t>
        </is>
      </c>
      <c r="D43" s="19" t="inlineStr">
        <is>
          <t>Pramod Pawar</t>
        </is>
      </c>
      <c r="E43" s="19" t="inlineStr">
        <is>
          <t>Makrand Deshpande, Kranti Redkar, Mukesh Rishi, Manoj Joshi, Smita Tambe, Aaditi Pohankar, Sahil Gilbile, Jyoti Joshi</t>
        </is>
      </c>
      <c r="F43" s="19" t="inlineStr">
        <is>
          <t>India</t>
        </is>
      </c>
      <c r="G43" s="19" t="inlineStr">
        <is>
          <t>2021-07-06</t>
        </is>
      </c>
      <c r="H43" s="19" t="n">
        <v>2018</v>
      </c>
      <c r="I43" s="19" t="inlineStr">
        <is>
          <t>TV-14</t>
        </is>
      </c>
      <c r="J43" s="19" t="inlineStr">
        <is>
          <t>128 min</t>
        </is>
      </c>
      <c r="K43" s="19" t="inlineStr">
        <is>
          <t>Comedies, Dramas, International Movies</t>
        </is>
      </c>
      <c r="L43" s="19" t="inlineStr">
        <is>
          <t>A taxi driver living in a Mumbai slum seeks to better his family's life by building an extension of his home while dealing with a lecherous contractor.</t>
        </is>
      </c>
      <c r="M43" s="19" t="n">
        <v>2021</v>
      </c>
      <c r="N43" s="19">
        <f>IF(AND(OR(YearFilter="All",$M43=YearFilter),OR(RatingFilter="All",$I43=RatingFilter),OR(TypeFilter="All",$B43=TypeFilter),OR(GenreFilter="All",COUNTIFS(tblGenre[show_id],$A43,tblGenre[Genre],GenreFilter)&gt;0)),1,0)</f>
        <v/>
      </c>
    </row>
    <row r="44" ht="15" customHeight="1" s="20">
      <c r="A44" s="19" t="inlineStr">
        <is>
          <t>s543</t>
        </is>
      </c>
      <c r="B44" s="19" t="inlineStr">
        <is>
          <t>Movie</t>
        </is>
      </c>
      <c r="C44" s="19" t="inlineStr">
        <is>
          <t>Ujala</t>
        </is>
      </c>
      <c r="D44" s="19" t="inlineStr">
        <is>
          <t>Naresh Saigal</t>
        </is>
      </c>
      <c r="E44" s="19" t="inlineStr">
        <is>
          <t>Mala Sinha, Shammi Kapoor, Raaj Kumar, Leela Chitnis, Dhumal, Kumkum</t>
        </is>
      </c>
      <c r="F44" s="19" t="inlineStr">
        <is>
          <t>India</t>
        </is>
      </c>
      <c r="G44" s="19" t="inlineStr">
        <is>
          <t>2021-07-06</t>
        </is>
      </c>
      <c r="H44" s="19" t="n">
        <v>1959</v>
      </c>
      <c r="I44" s="19" t="inlineStr">
        <is>
          <t>TV-14</t>
        </is>
      </c>
      <c r="J44" s="19" t="inlineStr">
        <is>
          <t>143 min</t>
        </is>
      </c>
      <c r="K44" s="19" t="inlineStr">
        <is>
          <t>Dramas, International Movies</t>
        </is>
      </c>
      <c r="L44" s="19" t="inlineStr">
        <is>
          <t>An honest man dreams of a better life for his family, but a childhood friend leads him into a world of crime that keeps happiness just out of reach.</t>
        </is>
      </c>
      <c r="M44" s="19" t="n">
        <v>2021</v>
      </c>
      <c r="N44" s="19">
        <f>IF(AND(OR(YearFilter="All",$M44=YearFilter),OR(RatingFilter="All",$I44=RatingFilter),OR(TypeFilter="All",$B44=TypeFilter),OR(GenreFilter="All",COUNTIFS(tblGenre[show_id],$A44,tblGenre[Genre],GenreFilter)&gt;0)),1,0)</f>
        <v/>
      </c>
    </row>
    <row r="45" ht="15" customHeight="1" s="20">
      <c r="A45" s="19" t="inlineStr">
        <is>
          <t>s552</t>
        </is>
      </c>
      <c r="B45" s="19" t="inlineStr">
        <is>
          <t>Movie</t>
        </is>
      </c>
      <c r="C45" s="19" t="inlineStr">
        <is>
          <t>Haseen Dillruba</t>
        </is>
      </c>
      <c r="D45" s="19" t="inlineStr">
        <is>
          <t>Vinil Mathew</t>
        </is>
      </c>
      <c r="E45" s="19" t="inlineStr">
        <is>
          <t>Taapsee Pannu, Vikrant Massey, Harshvardhan Rane, Aditya Srivastava, Ashish Verma, Yamini Das, Daya Shankar Pandey</t>
        </is>
      </c>
      <c r="F45" s="19" t="inlineStr">
        <is>
          <t>India</t>
        </is>
      </c>
      <c r="G45" s="19" t="inlineStr">
        <is>
          <t>2021-07-02</t>
        </is>
      </c>
      <c r="H45" s="19" t="n">
        <v>2021</v>
      </c>
      <c r="I45" s="19" t="inlineStr">
        <is>
          <t>TV-MA</t>
        </is>
      </c>
      <c r="J45" s="19" t="inlineStr">
        <is>
          <t>136 min</t>
        </is>
      </c>
      <c r="K45" s="19" t="inlineStr">
        <is>
          <t>International Movies, Romantic Movies, Thrillers</t>
        </is>
      </c>
      <c r="L45" s="19" t="inlineStr">
        <is>
          <t>Under investigation as a suspect in her husband’s murder, a wife reveals details of their thorny marriage that seem to only further blur the truth.</t>
        </is>
      </c>
      <c r="M45" s="19" t="n">
        <v>2021</v>
      </c>
      <c r="N45" s="19">
        <f>IF(AND(OR(YearFilter="All",$M45=YearFilter),OR(RatingFilter="All",$I45=RatingFilter),OR(TypeFilter="All",$B45=TypeFilter),OR(GenreFilter="All",COUNTIFS(tblGenre[show_id],$A45,tblGenre[Genre],GenreFilter)&gt;0)),1,0)</f>
        <v/>
      </c>
    </row>
    <row r="46" ht="15" customHeight="1" s="20">
      <c r="A46" s="19" t="inlineStr">
        <is>
          <t>s736</t>
        </is>
      </c>
      <c r="B46" s="19" t="inlineStr">
        <is>
          <t>Movie</t>
        </is>
      </c>
      <c r="C46" s="19" t="inlineStr">
        <is>
          <t>Sarbath</t>
        </is>
      </c>
      <c r="D46" s="19" t="inlineStr">
        <is>
          <t>Prabhakaran</t>
        </is>
      </c>
      <c r="E46" s="19" t="inlineStr">
        <is>
          <t>Kathir, Soori, Rahasya Gorak, Ashvatt</t>
        </is>
      </c>
      <c r="F46" s="19" t="inlineStr">
        <is>
          <t>India</t>
        </is>
      </c>
      <c r="G46" s="19" t="inlineStr">
        <is>
          <t>2021-06-11</t>
        </is>
      </c>
      <c r="H46" s="19" t="n">
        <v>2021</v>
      </c>
      <c r="I46" s="19" t="inlineStr">
        <is>
          <t>TV-PG</t>
        </is>
      </c>
      <c r="J46" s="19" t="inlineStr">
        <is>
          <t>113 min</t>
        </is>
      </c>
      <c r="K46" s="19" t="inlineStr">
        <is>
          <t>Comedies, Dramas, International Movies</t>
        </is>
      </c>
      <c r="L46" s="19" t="inlineStr">
        <is>
          <t>When a city man returns to his native village for his brother’s wedding, several unforeseen snags make his visit more eventful than anticipated.</t>
        </is>
      </c>
      <c r="M46" s="19" t="n">
        <v>2021</v>
      </c>
      <c r="N46" s="19">
        <f>IF(AND(OR(YearFilter="All",$M46=YearFilter),OR(RatingFilter="All",$I46=RatingFilter),OR(TypeFilter="All",$B46=TypeFilter),OR(GenreFilter="All",COUNTIFS(tblGenre[show_id],$A46,tblGenre[Genre],GenreFilter)&gt;0)),1,0)</f>
        <v/>
      </c>
    </row>
    <row r="47" ht="15" customHeight="1" s="20">
      <c r="A47" s="19" t="inlineStr">
        <is>
          <t>s737</t>
        </is>
      </c>
      <c r="B47" s="19" t="inlineStr">
        <is>
          <t>Movie</t>
        </is>
      </c>
      <c r="C47" s="19" t="inlineStr">
        <is>
          <t>Skater Girl</t>
        </is>
      </c>
      <c r="D47" s="19" t="inlineStr">
        <is>
          <t>Manjari Makijany</t>
        </is>
      </c>
      <c r="E47" s="19" t="inlineStr">
        <is>
          <t>Rachel Saanchita Gupta, Amy Maghera, Shafin Patel, Ambrish Saxena, Swati Das, Jonathan Readwin, Ankit Yadav, Anurag Arora, Vinayak Gupta, Vivek Yadav, Waheeda Rehman</t>
        </is>
      </c>
      <c r="F47" s="19" t="inlineStr">
        <is>
          <t>United States, India</t>
        </is>
      </c>
      <c r="G47" s="19" t="inlineStr">
        <is>
          <t>2021-06-11</t>
        </is>
      </c>
      <c r="H47" s="19" t="n">
        <v>2021</v>
      </c>
      <c r="I47" s="19" t="inlineStr">
        <is>
          <t>PG</t>
        </is>
      </c>
      <c r="J47" s="19" t="inlineStr">
        <is>
          <t>110 min</t>
        </is>
      </c>
      <c r="K47" s="19" t="inlineStr">
        <is>
          <t>Children &amp; Family Movies, Dramas, International Movies</t>
        </is>
      </c>
      <c r="L47" s="19" t="inlineStr">
        <is>
          <t>When a teen in rural India discovers a life-changing passion for skateboarding, she faces a rough road as she follows her dream to compete.</t>
        </is>
      </c>
      <c r="M47" s="19" t="n">
        <v>2021</v>
      </c>
      <c r="N47" s="19">
        <f>IF(AND(OR(YearFilter="All",$M47=YearFilter),OR(RatingFilter="All",$I47=RatingFilter),OR(TypeFilter="All",$B47=TypeFilter),OR(GenreFilter="All",COUNTIFS(tblGenre[show_id],$A47,tblGenre[Genre],GenreFilter)&gt;0)),1,0)</f>
        <v/>
      </c>
    </row>
    <row r="48" ht="15" customHeight="1" s="20">
      <c r="A48" s="19" t="inlineStr">
        <is>
          <t>s851</t>
        </is>
      </c>
      <c r="B48" s="19" t="inlineStr">
        <is>
          <t>Movie</t>
        </is>
      </c>
      <c r="C48" s="19" t="inlineStr">
        <is>
          <t>99 Songs</t>
        </is>
      </c>
      <c r="D48" s="19" t="inlineStr">
        <is>
          <t>Vishwesh Krishnamoorthy</t>
        </is>
      </c>
      <c r="E48" s="19" t="inlineStr">
        <is>
          <t>Ehan Bhat, Edilsy Vargas, Manisha Koirala, Lisa Ray, Tenzin Dalha, Warina Hussain, Ranjit Barot, Neel Tyagi, Rahul Ram, Diwakar Pundir</t>
        </is>
      </c>
      <c r="F48" s="19" t="inlineStr">
        <is>
          <t>India</t>
        </is>
      </c>
      <c r="G48" s="19" t="inlineStr">
        <is>
          <t>2021-05-21</t>
        </is>
      </c>
      <c r="H48" s="19" t="n">
        <v>2021</v>
      </c>
      <c r="I48" s="19" t="inlineStr">
        <is>
          <t>TV-14</t>
        </is>
      </c>
      <c r="J48" s="19" t="inlineStr">
        <is>
          <t>131 min</t>
        </is>
      </c>
      <c r="K48" s="19" t="inlineStr">
        <is>
          <t>Dramas, International Movies, Music &amp; Musicals</t>
        </is>
      </c>
      <c r="L48" s="19" t="inlineStr">
        <is>
          <t>Challenged to compose 100 songs before he can marry the girl he loves, a tortured but passionate singer-songwriter embarks on a poignant musical journey.</t>
        </is>
      </c>
      <c r="M48" s="19" t="n">
        <v>2021</v>
      </c>
      <c r="N48" s="19">
        <f>IF(AND(OR(YearFilter="All",$M48=YearFilter),OR(RatingFilter="All",$I48=RatingFilter),OR(TypeFilter="All",$B48=TypeFilter),OR(GenreFilter="All",COUNTIFS(tblGenre[show_id],$A48,tblGenre[Genre],GenreFilter)&gt;0)),1,0)</f>
        <v/>
      </c>
    </row>
    <row r="49" ht="15" customHeight="1" s="20">
      <c r="A49" s="19" t="inlineStr">
        <is>
          <t>s872</t>
        </is>
      </c>
      <c r="B49" s="19" t="inlineStr">
        <is>
          <t>Movie</t>
        </is>
      </c>
      <c r="C49" s="19" t="inlineStr">
        <is>
          <t>Sardar Ka Grandson</t>
        </is>
      </c>
      <c r="D49" s="19" t="inlineStr">
        <is>
          <t>Kaashvie Nair</t>
        </is>
      </c>
      <c r="E49" s="19" t="inlineStr">
        <is>
          <t>Arjun Kapoor, Neena Gupta, Rakul Preet Singh, Kumud Mishra, Aditi Rao Hydari, John Abraham, Kanwaljeet Singh, Soni Razdan, Masood Akhtar, Divya Seth, Ravjeet Singh, Akashdeep Sabir</t>
        </is>
      </c>
      <c r="F49" s="19" t="inlineStr">
        <is>
          <t>India</t>
        </is>
      </c>
      <c r="G49" s="19" t="inlineStr">
        <is>
          <t>2021-05-18</t>
        </is>
      </c>
      <c r="H49" s="19" t="n">
        <v>2021</v>
      </c>
      <c r="I49" s="19" t="inlineStr">
        <is>
          <t>TV-14</t>
        </is>
      </c>
      <c r="J49" s="19" t="inlineStr">
        <is>
          <t>140 min</t>
        </is>
      </c>
      <c r="K49" s="19" t="inlineStr">
        <is>
          <t>Comedies, Dramas, International Movies</t>
        </is>
      </c>
      <c r="L49" s="19" t="inlineStr">
        <is>
          <t>A devoted grandson’s mission to reunite his ailing grandmother with her ancestral home turns into a complicated, comic cross-border affair.</t>
        </is>
      </c>
      <c r="M49" s="19" t="n">
        <v>2021</v>
      </c>
      <c r="N49" s="19">
        <f>IF(AND(OR(YearFilter="All",$M49=YearFilter),OR(RatingFilter="All",$I49=RatingFilter),OR(TypeFilter="All",$B49=TypeFilter),OR(GenreFilter="All",COUNTIFS(tblGenre[show_id],$A49,tblGenre[Genre],GenreFilter)&gt;0)),1,0)</f>
        <v/>
      </c>
    </row>
    <row r="50" ht="15" customHeight="1" s="20">
      <c r="A50" s="19" t="inlineStr">
        <is>
          <t>s874</t>
        </is>
      </c>
      <c r="B50" s="19" t="inlineStr">
        <is>
          <t>Movie</t>
        </is>
      </c>
      <c r="C50" s="19" t="inlineStr">
        <is>
          <t>Ahaan</t>
        </is>
      </c>
      <c r="D50" s="19" t="inlineStr">
        <is>
          <t>Nikhil Pherwani</t>
        </is>
      </c>
      <c r="E50" s="19" t="inlineStr">
        <is>
          <t>Arif Zakaria, Abuli Mamaji, Niharika Singh, Rajit Kapoor, Plabita Borthakur, Shilpa Mehta, Kaizaad Kotwal, Sonali Sachdev, Haresh Raut</t>
        </is>
      </c>
      <c r="F50" s="19" t="inlineStr">
        <is>
          <t>India</t>
        </is>
      </c>
      <c r="G50" s="19" t="inlineStr">
        <is>
          <t>2021-05-15</t>
        </is>
      </c>
      <c r="H50" s="19" t="n">
        <v>2021</v>
      </c>
      <c r="I50" s="19" t="inlineStr">
        <is>
          <t>TV-MA</t>
        </is>
      </c>
      <c r="J50" s="19" t="inlineStr">
        <is>
          <t>81 min</t>
        </is>
      </c>
      <c r="K50" s="19" t="inlineStr">
        <is>
          <t>Dramas, Independent Movies, International Movies</t>
        </is>
      </c>
      <c r="L50" s="19" t="inlineStr">
        <is>
          <t>Jilted by his wife, a man with OCD finds eye-opening common ground and camaraderie with his neighbor, a young man with Down Syndrome.</t>
        </is>
      </c>
      <c r="M50" s="19" t="n">
        <v>2021</v>
      </c>
      <c r="N50" s="19">
        <f>IF(AND(OR(YearFilter="All",$M50=YearFilter),OR(RatingFilter="All",$I50=RatingFilter),OR(TypeFilter="All",$B50=TypeFilter),OR(GenreFilter="All",COUNTIFS(tblGenre[show_id],$A50,tblGenre[Genre],GenreFilter)&gt;0)),1,0)</f>
        <v/>
      </c>
    </row>
    <row r="51" ht="15" customHeight="1" s="20">
      <c r="A51" s="19" t="inlineStr">
        <is>
          <t>s877</t>
        </is>
      </c>
      <c r="B51" s="19" t="inlineStr">
        <is>
          <t>TV Show</t>
        </is>
      </c>
      <c r="C51" s="19" t="inlineStr">
        <is>
          <t>Alma Matters</t>
        </is>
      </c>
      <c r="F51" s="19" t="inlineStr">
        <is>
          <t>India</t>
        </is>
      </c>
      <c r="G51" s="19" t="inlineStr">
        <is>
          <t>2021-05-14</t>
        </is>
      </c>
      <c r="H51" s="19" t="n">
        <v>2021</v>
      </c>
      <c r="I51" s="19" t="inlineStr">
        <is>
          <t>TV-MA</t>
        </is>
      </c>
      <c r="J51" s="19" t="inlineStr">
        <is>
          <t>1 Season</t>
        </is>
      </c>
      <c r="K51" s="19" t="inlineStr">
        <is>
          <t>Docuseries, International TV Shows</t>
        </is>
      </c>
      <c r="L51" s="19" t="inlineStr">
        <is>
          <t>Alumni of India’s elite academic institutes share the harsh realities, pleasant surprises and transformative journeys of their college experiences.</t>
        </is>
      </c>
      <c r="M51" s="19" t="n">
        <v>2021</v>
      </c>
      <c r="N51" s="19">
        <f>IF(AND(OR(YearFilter="All",$M51=YearFilter),OR(RatingFilter="All",$I51=RatingFilter),OR(TypeFilter="All",$B51=TypeFilter),OR(GenreFilter="All",COUNTIFS(tblGenre[show_id],$A51,tblGenre[Genre],GenreFilter)&gt;0)),1,0)</f>
        <v/>
      </c>
    </row>
    <row r="52" ht="15" customHeight="1" s="20">
      <c r="A52" s="19" t="inlineStr">
        <is>
          <t>s878</t>
        </is>
      </c>
      <c r="B52" s="19" t="inlineStr">
        <is>
          <t>Movie</t>
        </is>
      </c>
      <c r="C52" s="19" t="inlineStr">
        <is>
          <t>Cinema Bandi</t>
        </is>
      </c>
      <c r="D52" s="19" t="inlineStr">
        <is>
          <t>Praveen Kandregula</t>
        </is>
      </c>
      <c r="E52" s="19" t="inlineStr">
        <is>
          <t>Vikas Vasistha, Sandeep Varanasi, Rag Mayur, Trishara, Munivenkatapa, Uma Yg, Sirivennela Yanamandhala, Sindhu Sreenivasa Murthy</t>
        </is>
      </c>
      <c r="F52" s="19" t="inlineStr">
        <is>
          <t>India</t>
        </is>
      </c>
      <c r="G52" s="19" t="inlineStr">
        <is>
          <t>2021-05-14</t>
        </is>
      </c>
      <c r="H52" s="19" t="n">
        <v>2021</v>
      </c>
      <c r="I52" s="19" t="inlineStr">
        <is>
          <t>TV-MA</t>
        </is>
      </c>
      <c r="J52" s="19" t="inlineStr">
        <is>
          <t>99 min</t>
        </is>
      </c>
      <c r="K52" s="19" t="inlineStr">
        <is>
          <t>Comedies, Independent Movies, International Movies</t>
        </is>
      </c>
      <c r="L52" s="19" t="inlineStr">
        <is>
          <t>A struggling rickshaw driver’s life takes a rollicking turn when he comes upon an expensive camera and decides to make a film with his fellow villagers.</t>
        </is>
      </c>
      <c r="M52" s="19" t="n">
        <v>2021</v>
      </c>
      <c r="N52" s="19">
        <f>IF(AND(OR(YearFilter="All",$M52=YearFilter),OR(RatingFilter="All",$I52=RatingFilter),OR(TypeFilter="All",$B52=TypeFilter),OR(GenreFilter="All",COUNTIFS(tblGenre[show_id],$A52,tblGenre[Genre],GenreFilter)&gt;0)),1,0)</f>
        <v/>
      </c>
    </row>
    <row r="53" ht="15" customHeight="1" s="20">
      <c r="A53" s="19" t="inlineStr">
        <is>
          <t>s893</t>
        </is>
      </c>
      <c r="B53" s="19" t="inlineStr">
        <is>
          <t>Movie</t>
        </is>
      </c>
      <c r="C53" s="19" t="inlineStr">
        <is>
          <t>Tottaa Pataaka Item Maal</t>
        </is>
      </c>
      <c r="D53" s="19" t="inlineStr">
        <is>
          <t>Aditya Kripalani</t>
        </is>
      </c>
      <c r="E53" s="19" t="inlineStr">
        <is>
          <t>Shalini Vatsa, Chitrangada Chakraborty, Vinay Sharma, Sonal Joshi, Kritika Pande</t>
        </is>
      </c>
      <c r="F53" s="19" t="inlineStr">
        <is>
          <t>India</t>
        </is>
      </c>
      <c r="G53" s="19" t="inlineStr">
        <is>
          <t>2021-05-13</t>
        </is>
      </c>
      <c r="H53" s="19" t="n">
        <v>2018</v>
      </c>
      <c r="I53" s="19" t="inlineStr">
        <is>
          <t>TV-MA</t>
        </is>
      </c>
      <c r="J53" s="19" t="inlineStr">
        <is>
          <t>107 min</t>
        </is>
      </c>
      <c r="K53" s="19" t="inlineStr">
        <is>
          <t>Dramas, Independent Movies, International Movies</t>
        </is>
      </c>
      <c r="L53" s="19" t="inlineStr">
        <is>
          <t>Exasperated with living in perpetual fear for their safety, four women kidnap a man to show him the realities of being female in Delhi.</t>
        </is>
      </c>
      <c r="M53" s="19" t="n">
        <v>2021</v>
      </c>
      <c r="N53" s="19">
        <f>IF(AND(OR(YearFilter="All",$M53=YearFilter),OR(RatingFilter="All",$I53=RatingFilter),OR(TypeFilter="All",$B53=TypeFilter),OR(GenreFilter="All",COUNTIFS(tblGenre[show_id],$A53,tblGenre[Genre],GenreFilter)&gt;0)),1,0)</f>
        <v/>
      </c>
    </row>
    <row r="54" ht="15" customHeight="1" s="20">
      <c r="A54" s="19" t="inlineStr">
        <is>
          <t>s904</t>
        </is>
      </c>
      <c r="B54" s="19" t="inlineStr">
        <is>
          <t>Movie</t>
        </is>
      </c>
      <c r="C54" s="19" t="inlineStr">
        <is>
          <t>Nayattu</t>
        </is>
      </c>
      <c r="D54" s="19" t="inlineStr">
        <is>
          <t>Martin Prakkat</t>
        </is>
      </c>
      <c r="E54" s="19" t="inlineStr">
        <is>
          <t>Kunchacko Boban, Joju George, Nimisha Sajayan, Jaffer Idukki, Yama Gilgamesh, Anil Nedumangad, Dineesh P, Vinod Sagar</t>
        </is>
      </c>
      <c r="F54" s="19" t="inlineStr">
        <is>
          <t>India</t>
        </is>
      </c>
      <c r="G54" s="19" t="inlineStr">
        <is>
          <t>2021-05-09</t>
        </is>
      </c>
      <c r="H54" s="19" t="n">
        <v>2021</v>
      </c>
      <c r="I54" s="19" t="inlineStr">
        <is>
          <t>TV-MA</t>
        </is>
      </c>
      <c r="J54" s="19" t="inlineStr">
        <is>
          <t>122 min</t>
        </is>
      </c>
      <c r="K54" s="19" t="inlineStr">
        <is>
          <t>Dramas, International Movies, Thrillers</t>
        </is>
      </c>
      <c r="L54" s="19" t="inlineStr">
        <is>
          <t>Three police officers become pawns for unscrupulous lawmakers when they are framed in an incident amid political elections and must flee to evade arrest.</t>
        </is>
      </c>
      <c r="M54" s="19" t="n">
        <v>2021</v>
      </c>
      <c r="N54" s="19">
        <f>IF(AND(OR(YearFilter="All",$M54=YearFilter),OR(RatingFilter="All",$I54=RatingFilter),OR(TypeFilter="All",$B54=TypeFilter),OR(GenreFilter="All",COUNTIFS(tblGenre[show_id],$A54,tblGenre[Genre],GenreFilter)&gt;0)),1,0)</f>
        <v/>
      </c>
    </row>
    <row r="55" ht="15" customHeight="1" s="20">
      <c r="A55" s="19" t="inlineStr">
        <is>
          <t>s910</t>
        </is>
      </c>
      <c r="B55" s="19" t="inlineStr">
        <is>
          <t>Movie</t>
        </is>
      </c>
      <c r="C55" s="19" t="inlineStr">
        <is>
          <t>Milestone</t>
        </is>
      </c>
      <c r="D55" s="19" t="inlineStr">
        <is>
          <t>Ivan Ayr</t>
        </is>
      </c>
      <c r="E55" s="19" t="inlineStr">
        <is>
          <t>Suvinder Vicky, Lakshvir Saran, Mohinder Gujral, Gurinder Makna, Daljeet Singh, Akhilesh Kumar, Gaurika Bhatt, Arun Aseng</t>
        </is>
      </c>
      <c r="F55" s="19" t="inlineStr">
        <is>
          <t>India</t>
        </is>
      </c>
      <c r="G55" s="19" t="inlineStr">
        <is>
          <t>2021-05-07</t>
        </is>
      </c>
      <c r="H55" s="19" t="n">
        <v>2021</v>
      </c>
      <c r="I55" s="19" t="inlineStr">
        <is>
          <t>TV-14</t>
        </is>
      </c>
      <c r="J55" s="19" t="inlineStr">
        <is>
          <t>98 min</t>
        </is>
      </c>
      <c r="K55" s="19" t="inlineStr">
        <is>
          <t>Dramas, Independent Movies, International Movies</t>
        </is>
      </c>
      <c r="L55" s="19" t="inlineStr">
        <is>
          <t>Recently marking 500,000 kilometers on the road, a newly bereaved trucker faces the threat of losing the job that has come to define him to a new intern.</t>
        </is>
      </c>
      <c r="M55" s="19" t="n">
        <v>2021</v>
      </c>
      <c r="N55" s="19">
        <f>IF(AND(OR(YearFilter="All",$M55=YearFilter),OR(RatingFilter="All",$I55=RatingFilter),OR(TypeFilter="All",$B55=TypeFilter),OR(GenreFilter="All",COUNTIFS(tblGenre[show_id],$A55,tblGenre[Genre],GenreFilter)&gt;0)),1,0)</f>
        <v/>
      </c>
    </row>
    <row r="56" ht="15" customHeight="1" s="20">
      <c r="A56" s="19" t="inlineStr">
        <is>
          <t>s912</t>
        </is>
      </c>
      <c r="B56" s="19" t="inlineStr">
        <is>
          <t>TV Show</t>
        </is>
      </c>
      <c r="C56" s="19" t="inlineStr">
        <is>
          <t>Sab Jholmaal Hai</t>
        </is>
      </c>
      <c r="D56" s="19" t="inlineStr">
        <is>
          <t>Vijay Roche</t>
        </is>
      </c>
      <c r="F56" s="19" t="inlineStr">
        <is>
          <t>India</t>
        </is>
      </c>
      <c r="G56" s="19" t="inlineStr">
        <is>
          <t>2021-05-07</t>
        </is>
      </c>
      <c r="H56" s="19" t="n">
        <v>2017</v>
      </c>
      <c r="I56" s="19" t="inlineStr">
        <is>
          <t>TV-Y7</t>
        </is>
      </c>
      <c r="J56" s="19" t="inlineStr">
        <is>
          <t>2 Seasons</t>
        </is>
      </c>
      <c r="K56" s="19" t="inlineStr">
        <is>
          <t>Kids' TV, TV Comedies</t>
        </is>
      </c>
      <c r="L56" s="19" t="inlineStr">
        <is>
          <t>In this madcap comedy, two mischievous cats, a talking parrot and a high-strung dog keep getting into trouble while their human is away.</t>
        </is>
      </c>
      <c r="M56" s="19" t="n">
        <v>2021</v>
      </c>
      <c r="N56" s="19">
        <f>IF(AND(OR(YearFilter="All",$M56=YearFilter),OR(RatingFilter="All",$I56=RatingFilter),OR(TypeFilter="All",$B56=TypeFilter),OR(GenreFilter="All",COUNTIFS(tblGenre[show_id],$A56,tblGenre[Genre],GenreFilter)&gt;0)),1,0)</f>
        <v/>
      </c>
    </row>
    <row r="57" ht="15" customHeight="1" s="20">
      <c r="A57" s="19" t="inlineStr">
        <is>
          <t>s914</t>
        </is>
      </c>
      <c r="B57" s="19" t="inlineStr">
        <is>
          <t>Movie</t>
        </is>
      </c>
      <c r="C57" s="19" t="inlineStr">
        <is>
          <t>Time to Dance</t>
        </is>
      </c>
      <c r="D57" s="19" t="inlineStr">
        <is>
          <t>Stanley Menino D'Costa</t>
        </is>
      </c>
      <c r="E57" s="19" t="inlineStr">
        <is>
          <t>Sooraj Pancholi, Isabelle Kaif, Rajpal Yadav, Waluscha D'Souza, Natasha Powell, Martin Rycroft, Amrit Maghera, Saqib Saleem</t>
        </is>
      </c>
      <c r="F57" s="19" t="inlineStr">
        <is>
          <t>India</t>
        </is>
      </c>
      <c r="G57" s="19" t="inlineStr">
        <is>
          <t>2021-05-07</t>
        </is>
      </c>
      <c r="H57" s="19" t="n">
        <v>2020</v>
      </c>
      <c r="I57" s="19" t="inlineStr">
        <is>
          <t>TV-PG</t>
        </is>
      </c>
      <c r="J57" s="19" t="inlineStr">
        <is>
          <t>107 min</t>
        </is>
      </c>
      <c r="K57" s="19" t="inlineStr">
        <is>
          <t>Dramas, International Movies, Romantic Movies</t>
        </is>
      </c>
      <c r="L57" s="19" t="inlineStr">
        <is>
          <t>When a ballroom dancer’s shot at a crucial tournament is jeopardized, a street dancer must face his own painful past and step up as her new partner.</t>
        </is>
      </c>
      <c r="M57" s="19" t="n">
        <v>2021</v>
      </c>
      <c r="N57" s="19">
        <f>IF(AND(OR(YearFilter="All",$M57=YearFilter),OR(RatingFilter="All",$I57=RatingFilter),OR(TypeFilter="All",$B57=TypeFilter),OR(GenreFilter="All",COUNTIFS(tblGenre[show_id],$A57,tblGenre[Genre],GenreFilter)&gt;0)),1,0)</f>
        <v/>
      </c>
    </row>
    <row r="58" ht="15" customHeight="1" s="20">
      <c r="A58" s="19" t="inlineStr">
        <is>
          <t>s919</t>
        </is>
      </c>
      <c r="B58" s="19" t="inlineStr">
        <is>
          <t>TV Show</t>
        </is>
      </c>
      <c r="C58" s="19" t="inlineStr">
        <is>
          <t>Lava Ka Dhaava</t>
        </is>
      </c>
      <c r="E58" s="19" t="inlineStr">
        <is>
          <t>Jaaved Jaaferi, Rutledge Wood</t>
        </is>
      </c>
      <c r="F58" s="19" t="inlineStr">
        <is>
          <t>India</t>
        </is>
      </c>
      <c r="G58" s="19" t="inlineStr">
        <is>
          <t>2021-05-05</t>
        </is>
      </c>
      <c r="H58" s="19" t="n">
        <v>2021</v>
      </c>
      <c r="I58" s="19" t="inlineStr">
        <is>
          <t>TV-PG</t>
        </is>
      </c>
      <c r="J58" s="19" t="inlineStr">
        <is>
          <t>1 Season</t>
        </is>
      </c>
      <c r="K58" s="19" t="inlineStr">
        <is>
          <t>Reality TV</t>
        </is>
      </c>
      <c r="L58" s="19" t="inlineStr">
        <is>
          <t>Actor Jaaved Jaafferi brings his signature humor to this Hindi dubbing of the show where teams creatively navigate rooms flooded with make-believe lava.</t>
        </is>
      </c>
      <c r="M58" s="19" t="n">
        <v>2021</v>
      </c>
      <c r="N58" s="19">
        <f>IF(AND(OR(YearFilter="All",$M58=YearFilter),OR(RatingFilter="All",$I58=RatingFilter),OR(TypeFilter="All",$B58=TypeFilter),OR(GenreFilter="All",COUNTIFS(tblGenre[show_id],$A58,tblGenre[Genre],GenreFilter)&gt;0)),1,0)</f>
        <v/>
      </c>
    </row>
    <row r="59" ht="15" customHeight="1" s="20">
      <c r="A59" s="19" t="inlineStr">
        <is>
          <t>s960</t>
        </is>
      </c>
      <c r="B59" s="19" t="inlineStr">
        <is>
          <t>Movie</t>
        </is>
      </c>
      <c r="C59" s="19" t="inlineStr">
        <is>
          <t>The Disciple</t>
        </is>
      </c>
      <c r="D59" s="19" t="inlineStr">
        <is>
          <t>Chaitanya Tamhane</t>
        </is>
      </c>
      <c r="E59" s="19" t="inlineStr">
        <is>
          <t>Aditya Modak, Arun Dravid, Sumitra Bhave, Deepika Bhide Bhagwat, Kiran Yadnyopavit, Abhishek Kale, Neela Khedkar, Makarand Mukund, Kristy Banerjee, Prasad Vanarse</t>
        </is>
      </c>
      <c r="F59" s="19" t="inlineStr">
        <is>
          <t>India</t>
        </is>
      </c>
      <c r="G59" s="19" t="inlineStr">
        <is>
          <t>2021-04-30</t>
        </is>
      </c>
      <c r="H59" s="19" t="n">
        <v>2021</v>
      </c>
      <c r="I59" s="19" t="inlineStr">
        <is>
          <t>TV-MA</t>
        </is>
      </c>
      <c r="J59" s="19" t="inlineStr">
        <is>
          <t>128 min</t>
        </is>
      </c>
      <c r="K59" s="19" t="inlineStr">
        <is>
          <t>Dramas, Independent Movies, International Movies</t>
        </is>
      </c>
      <c r="L59" s="19" t="inlineStr">
        <is>
          <t>Self-doubt, sacrifice and struggle converge into an existential crisis for a devoted classical vocalist as the mastery he strives for remains elusive.</t>
        </is>
      </c>
      <c r="M59" s="19" t="n">
        <v>2021</v>
      </c>
      <c r="N59" s="19">
        <f>IF(AND(OR(YearFilter="All",$M59=YearFilter),OR(RatingFilter="All",$I59=RatingFilter),OR(TypeFilter="All",$B59=TypeFilter),OR(GenreFilter="All",COUNTIFS(tblGenre[show_id],$A59,tblGenre[Genre],GenreFilter)&gt;0)),1,0)</f>
        <v/>
      </c>
    </row>
    <row r="60" ht="15" customHeight="1" s="20">
      <c r="A60" s="19" t="inlineStr">
        <is>
          <t>s974</t>
        </is>
      </c>
      <c r="B60" s="19" t="inlineStr">
        <is>
          <t>Movie</t>
        </is>
      </c>
      <c r="C60" s="19" t="inlineStr">
        <is>
          <t>One</t>
        </is>
      </c>
      <c r="D60" s="19" t="inlineStr">
        <is>
          <t>Santhosh Viswanath</t>
        </is>
      </c>
      <c r="E60" s="19" t="inlineStr">
        <is>
          <t>Mammootty, Joju George, Murali Gopy, Mathew Thomas, Nimisha Sajayan, Salim Kumar, Gayathri Arun, Ishaani Krishna</t>
        </is>
      </c>
      <c r="F60" s="19" t="inlineStr">
        <is>
          <t>India</t>
        </is>
      </c>
      <c r="G60" s="19" t="inlineStr">
        <is>
          <t>2021-04-27</t>
        </is>
      </c>
      <c r="H60" s="19" t="n">
        <v>2020</v>
      </c>
      <c r="I60" s="19" t="inlineStr">
        <is>
          <t>TV-PG</t>
        </is>
      </c>
      <c r="J60" s="19" t="inlineStr">
        <is>
          <t>149 min</t>
        </is>
      </c>
      <c r="K60" s="19" t="inlineStr">
        <is>
          <t>Dramas, International Movies</t>
        </is>
      </c>
      <c r="L60" s="19" t="inlineStr">
        <is>
          <t>A formidable Kerala chief minister’s party loyalties and personal principles are tested when a damning social media post sparks a heated power struggle.</t>
        </is>
      </c>
      <c r="M60" s="19" t="n">
        <v>2021</v>
      </c>
      <c r="N60" s="19">
        <f>IF(AND(OR(YearFilter="All",$M60=YearFilter),OR(RatingFilter="All",$I60=RatingFilter),OR(TypeFilter="All",$B60=TypeFilter),OR(GenreFilter="All",COUNTIFS(tblGenre[show_id],$A60,tblGenre[Genre],GenreFilter)&gt;0)),1,0)</f>
        <v/>
      </c>
    </row>
    <row r="61" ht="15" customHeight="1" s="20">
      <c r="A61" s="19" t="inlineStr">
        <is>
          <t>s975</t>
        </is>
      </c>
      <c r="B61" s="19" t="inlineStr">
        <is>
          <t>Movie</t>
        </is>
      </c>
      <c r="C61" s="19" t="inlineStr">
        <is>
          <t>Ram Prasad Ki Tehrvi</t>
        </is>
      </c>
      <c r="D61" s="19" t="inlineStr">
        <is>
          <t>Seema Pahwa</t>
        </is>
      </c>
      <c r="E61" s="19" t="inlineStr">
        <is>
          <t>Supriya Pathak, Parambrata Chatterjee, Konkona Sen Sharma, Vikrant Massey, Manoj Pahwa, Vinay Pathak, Ninad Kamat, Naseeruddin Shah</t>
        </is>
      </c>
      <c r="F61" s="19" t="inlineStr">
        <is>
          <t>India</t>
        </is>
      </c>
      <c r="G61" s="19" t="inlineStr">
        <is>
          <t>2021-04-24</t>
        </is>
      </c>
      <c r="H61" s="19" t="n">
        <v>2019</v>
      </c>
      <c r="I61" s="19" t="inlineStr">
        <is>
          <t>TV-14</t>
        </is>
      </c>
      <c r="J61" s="19" t="inlineStr">
        <is>
          <t>113 min</t>
        </is>
      </c>
      <c r="K61" s="19" t="inlineStr">
        <is>
          <t>Dramas, Independent Movies, International Movies</t>
        </is>
      </c>
      <c r="L61" s="19" t="inlineStr">
        <is>
          <t>Conflicts, complications and confrontations make for an emotional and eventful affair when a multigenerational family reunites in Lucknow.</t>
        </is>
      </c>
      <c r="M61" s="19" t="n">
        <v>2021</v>
      </c>
      <c r="N61" s="19">
        <f>IF(AND(OR(YearFilter="All",$M61=YearFilter),OR(RatingFilter="All",$I61=RatingFilter),OR(TypeFilter="All",$B61=TypeFilter),OR(GenreFilter="All",COUNTIFS(tblGenre[show_id],$A61,tblGenre[Genre],GenreFilter)&gt;0)),1,0)</f>
        <v/>
      </c>
    </row>
    <row r="62" ht="15" customHeight="1" s="20">
      <c r="A62" s="19" t="inlineStr">
        <is>
          <t>s999</t>
        </is>
      </c>
      <c r="B62" s="19" t="inlineStr">
        <is>
          <t>Movie</t>
        </is>
      </c>
      <c r="C62" s="19" t="inlineStr">
        <is>
          <t>Searching For Sheela</t>
        </is>
      </c>
      <c r="E62" s="19" t="inlineStr">
        <is>
          <t>Ma Anand Sheela</t>
        </is>
      </c>
      <c r="F62" s="19" t="inlineStr">
        <is>
          <t>India</t>
        </is>
      </c>
      <c r="G62" s="19" t="inlineStr">
        <is>
          <t>2021-04-22</t>
        </is>
      </c>
      <c r="H62" s="19" t="n">
        <v>2021</v>
      </c>
      <c r="I62" s="19" t="inlineStr">
        <is>
          <t>TV-14</t>
        </is>
      </c>
      <c r="J62" s="19" t="inlineStr">
        <is>
          <t>58 min</t>
        </is>
      </c>
      <c r="K62" s="19" t="inlineStr">
        <is>
          <t>Documentaries, International Movies</t>
        </is>
      </c>
      <c r="L62" s="19" t="inlineStr">
        <is>
          <t>Journalists and fans await Ma Anand Sheela as the infamous former Rajneesh commune’s spokesperson returns to India after decades for an interview tour.</t>
        </is>
      </c>
      <c r="M62" s="19" t="n">
        <v>2021</v>
      </c>
      <c r="N62" s="19">
        <f>IF(AND(OR(YearFilter="All",$M62=YearFilter),OR(RatingFilter="All",$I62=RatingFilter),OR(TypeFilter="All",$B62=TypeFilter),OR(GenreFilter="All",COUNTIFS(tblGenre[show_id],$A62,tblGenre[Genre],GenreFilter)&gt;0)),1,0)</f>
        <v/>
      </c>
    </row>
    <row r="63" ht="15" customHeight="1" s="20">
      <c r="A63" s="19" t="inlineStr">
        <is>
          <t>s1017</t>
        </is>
      </c>
      <c r="B63" s="19" t="inlineStr">
        <is>
          <t>Movie</t>
        </is>
      </c>
      <c r="C63" s="19" t="inlineStr">
        <is>
          <t>Delhi Belly</t>
        </is>
      </c>
      <c r="D63" s="19" t="inlineStr">
        <is>
          <t>Abhinay Deo</t>
        </is>
      </c>
      <c r="E63" s="19" t="inlineStr">
        <is>
          <t>Imran Khan, Vir Das, Kunaal Roy Kapur, Poorna Jagannathan, Shenaz Treasury, Vijay Raaz, Paresh Ganatra, Rahul Singh</t>
        </is>
      </c>
      <c r="F63" s="19" t="inlineStr">
        <is>
          <t>India</t>
        </is>
      </c>
      <c r="G63" s="19" t="inlineStr">
        <is>
          <t>2021-04-17</t>
        </is>
      </c>
      <c r="H63" s="19" t="n">
        <v>2011</v>
      </c>
      <c r="I63" s="19" t="inlineStr">
        <is>
          <t>TV-MA</t>
        </is>
      </c>
      <c r="J63" s="19" t="inlineStr">
        <is>
          <t>101 min</t>
        </is>
      </c>
      <c r="K63" s="19" t="inlineStr">
        <is>
          <t>Action &amp; Adventure, Comedies, International Movies</t>
        </is>
      </c>
      <c r="L63" s="19" t="inlineStr">
        <is>
          <t>Three flatmates get involved in the shady business belonging to one roomie's fiancé, and discover that a global crime syndicate is gunning for them.</t>
        </is>
      </c>
      <c r="M63" s="19" t="n">
        <v>2021</v>
      </c>
      <c r="N63" s="19">
        <f>IF(AND(OR(YearFilter="All",$M63=YearFilter),OR(RatingFilter="All",$I63=RatingFilter),OR(TypeFilter="All",$B63=TypeFilter),OR(GenreFilter="All",COUNTIFS(tblGenre[show_id],$A63,tblGenre[Genre],GenreFilter)&gt;0)),1,0)</f>
        <v/>
      </c>
    </row>
    <row r="64" ht="15" customHeight="1" s="20">
      <c r="A64" s="19" t="inlineStr">
        <is>
          <t>s1018</t>
        </is>
      </c>
      <c r="B64" s="19" t="inlineStr">
        <is>
          <t>Movie</t>
        </is>
      </c>
      <c r="C64" s="19" t="inlineStr">
        <is>
          <t>Dhobi Ghat (Mumbai Diaries)</t>
        </is>
      </c>
      <c r="D64" s="19" t="inlineStr">
        <is>
          <t>Kiran Rao</t>
        </is>
      </c>
      <c r="E64" s="19" t="inlineStr">
        <is>
          <t>Aamir Khan, Monica Dogra, Kriti Malhotra, Prateik Babbar, Aasha Pawar, Jyoti Pawar, Norma Lobo, Kitu Gidwani, Danish Husain, Jehan Manekshaw</t>
        </is>
      </c>
      <c r="F64" s="19" t="inlineStr">
        <is>
          <t>India</t>
        </is>
      </c>
      <c r="G64" s="19" t="inlineStr">
        <is>
          <t>2021-04-17</t>
        </is>
      </c>
      <c r="H64" s="19" t="n">
        <v>2010</v>
      </c>
      <c r="I64" s="19" t="inlineStr">
        <is>
          <t>TV-MA</t>
        </is>
      </c>
      <c r="J64" s="19" t="inlineStr">
        <is>
          <t>102 min</t>
        </is>
      </c>
      <c r="K64" s="19" t="inlineStr">
        <is>
          <t>Dramas, International Movies</t>
        </is>
      </c>
      <c r="L64" s="19" t="inlineStr">
        <is>
          <t>In this intimate drama, circumstances draw together four people from different castes – which would normally preclude them from forming friendships.</t>
        </is>
      </c>
      <c r="M64" s="19" t="n">
        <v>2021</v>
      </c>
      <c r="N64" s="19">
        <f>IF(AND(OR(YearFilter="All",$M64=YearFilter),OR(RatingFilter="All",$I64=RatingFilter),OR(TypeFilter="All",$B64=TypeFilter),OR(GenreFilter="All",COUNTIFS(tblGenre[show_id],$A64,tblGenre[Genre],GenreFilter)&gt;0)),1,0)</f>
        <v/>
      </c>
    </row>
    <row r="65" ht="15" customHeight="1" s="20">
      <c r="A65" s="19" t="inlineStr">
        <is>
          <t>s1019</t>
        </is>
      </c>
      <c r="B65" s="19" t="inlineStr">
        <is>
          <t>Movie</t>
        </is>
      </c>
      <c r="C65" s="19" t="inlineStr">
        <is>
          <t>Jaane Tu... Ya Jaane Na</t>
        </is>
      </c>
      <c r="D65" s="19" t="inlineStr">
        <is>
          <t>Abbas Tyrewala</t>
        </is>
      </c>
      <c r="E65" s="19" t="inlineStr">
        <is>
          <t>Imran Khan, Genelia D'Souza, Manjari Fadnis, Ayaz Khan, Prateik Babbar, Ratna Pathak Shah, Arbaaz Khan, Sohail Khan</t>
        </is>
      </c>
      <c r="F65" s="19" t="inlineStr">
        <is>
          <t>India</t>
        </is>
      </c>
      <c r="G65" s="19" t="inlineStr">
        <is>
          <t>2021-04-17</t>
        </is>
      </c>
      <c r="H65" s="19" t="n">
        <v>2008</v>
      </c>
      <c r="I65" s="19" t="inlineStr">
        <is>
          <t>TV-14</t>
        </is>
      </c>
      <c r="J65" s="19" t="inlineStr">
        <is>
          <t>147 min</t>
        </is>
      </c>
      <c r="K65" s="19" t="inlineStr">
        <is>
          <t>Comedies, International Movies, Music &amp; Musicals</t>
        </is>
      </c>
      <c r="L65" s="19" t="inlineStr">
        <is>
          <t>Soft-spoken Jai and spitfire beauty Aditi couldn't be more different – but their family and friends know that they're a perfect match.</t>
        </is>
      </c>
      <c r="M65" s="19" t="n">
        <v>2021</v>
      </c>
      <c r="N65" s="19">
        <f>IF(AND(OR(YearFilter="All",$M65=YearFilter),OR(RatingFilter="All",$I65=RatingFilter),OR(TypeFilter="All",$B65=TypeFilter),OR(GenreFilter="All",COUNTIFS(tblGenre[show_id],$A65,tblGenre[Genre],GenreFilter)&gt;0)),1,0)</f>
        <v/>
      </c>
    </row>
    <row r="66" ht="15" customHeight="1" s="20">
      <c r="A66" s="19" t="inlineStr">
        <is>
          <t>s1020</t>
        </is>
      </c>
      <c r="B66" s="19" t="inlineStr">
        <is>
          <t>Movie</t>
        </is>
      </c>
      <c r="C66" s="19" t="inlineStr">
        <is>
          <t>Lagaan</t>
        </is>
      </c>
      <c r="D66" s="19" t="inlineStr">
        <is>
          <t>Ashutosh Gowariker</t>
        </is>
      </c>
      <c r="E66" s="19" t="inlineStr">
        <is>
          <t>Aamir Khan, Gracy Singh, Rachel Shelley, Paul Blackthorne, Kulbhushan Kharbanda, Raghuvir Yadav, Yashpal Sharma, Rajendranath Zutshi, Rajesh Vivek, Aditya Lakhia</t>
        </is>
      </c>
      <c r="F66" s="19" t="inlineStr">
        <is>
          <t>India, United Kingdom</t>
        </is>
      </c>
      <c r="G66" s="19" t="inlineStr">
        <is>
          <t>2021-04-17</t>
        </is>
      </c>
      <c r="H66" s="19" t="n">
        <v>2001</v>
      </c>
      <c r="I66" s="19" t="inlineStr">
        <is>
          <t>PG</t>
        </is>
      </c>
      <c r="J66" s="19" t="inlineStr">
        <is>
          <t>224 min</t>
        </is>
      </c>
      <c r="K66" s="19" t="inlineStr">
        <is>
          <t>Dramas, International Movies, Music &amp; Musicals</t>
        </is>
      </c>
      <c r="L66" s="19" t="inlineStr">
        <is>
          <t>In 1890s India, an arrogant British commander challenges the harshly taxed residents of Champaner to a high-stakes cricket match.</t>
        </is>
      </c>
      <c r="M66" s="19" t="n">
        <v>2021</v>
      </c>
      <c r="N66" s="19">
        <f>IF(AND(OR(YearFilter="All",$M66=YearFilter),OR(RatingFilter="All",$I66=RatingFilter),OR(TypeFilter="All",$B66=TypeFilter),OR(GenreFilter="All",COUNTIFS(tblGenre[show_id],$A66,tblGenre[Genre],GenreFilter)&gt;0)),1,0)</f>
        <v/>
      </c>
    </row>
    <row r="67" ht="15" customHeight="1" s="20">
      <c r="A67" s="19" t="inlineStr">
        <is>
          <t>s1021</t>
        </is>
      </c>
      <c r="B67" s="19" t="inlineStr">
        <is>
          <t>Movie</t>
        </is>
      </c>
      <c r="C67" s="19" t="inlineStr">
        <is>
          <t>Madness in the Desert</t>
        </is>
      </c>
      <c r="D67" s="19" t="inlineStr">
        <is>
          <t>Satyajit Bhatkal</t>
        </is>
      </c>
      <c r="E67" s="19" t="inlineStr">
        <is>
          <t>Aamir Khan, Ashutosh Gowariker</t>
        </is>
      </c>
      <c r="F67" s="19" t="inlineStr">
        <is>
          <t>India</t>
        </is>
      </c>
      <c r="G67" s="19" t="inlineStr">
        <is>
          <t>2021-04-17</t>
        </is>
      </c>
      <c r="H67" s="19" t="n">
        <v>2004</v>
      </c>
      <c r="I67" s="19" t="inlineStr">
        <is>
          <t>TV-14</t>
        </is>
      </c>
      <c r="J67" s="19" t="inlineStr">
        <is>
          <t>141 min</t>
        </is>
      </c>
      <c r="K67" s="19" t="inlineStr">
        <is>
          <t>Documentaries, International Movies</t>
        </is>
      </c>
      <c r="L67" s="19" t="inlineStr">
        <is>
          <t>The story of making "Lagaan," one of the millennium's seminal Indian films, is told from the point of view of production team member Satyajit Bhatkal.</t>
        </is>
      </c>
      <c r="M67" s="19" t="n">
        <v>2021</v>
      </c>
      <c r="N67" s="19">
        <f>IF(AND(OR(YearFilter="All",$M67=YearFilter),OR(RatingFilter="All",$I67=RatingFilter),OR(TypeFilter="All",$B67=TypeFilter),OR(GenreFilter="All",COUNTIFS(tblGenre[show_id],$A67,tblGenre[Genre],GenreFilter)&gt;0)),1,0)</f>
        <v/>
      </c>
    </row>
    <row r="68" ht="15" customHeight="1" s="20">
      <c r="A68" s="19" t="inlineStr">
        <is>
          <t>s1022</t>
        </is>
      </c>
      <c r="B68" s="19" t="inlineStr">
        <is>
          <t>Movie</t>
        </is>
      </c>
      <c r="C68" s="19" t="inlineStr">
        <is>
          <t>Peepli Live</t>
        </is>
      </c>
      <c r="D68" s="19" t="inlineStr">
        <is>
          <t>Anusha Rizvi, Mahmood Farooqui</t>
        </is>
      </c>
      <c r="E68" s="19" t="inlineStr">
        <is>
          <t>Omkar Das Manikpuri, Raghuvir Yadav, Malaika Shenoy, Nawazuddin Siddiqui, Naseeruddin Shah, Sitaram Panchal, Shalini Vatsa, Farrukh Jaffar, Aamir Bashir, Vishal Om Prakash</t>
        </is>
      </c>
      <c r="F68" s="19" t="inlineStr">
        <is>
          <t>India</t>
        </is>
      </c>
      <c r="G68" s="19" t="inlineStr">
        <is>
          <t>2021-04-17</t>
        </is>
      </c>
      <c r="H68" s="19" t="n">
        <v>2010</v>
      </c>
      <c r="I68" s="19" t="inlineStr">
        <is>
          <t>TV-MA</t>
        </is>
      </c>
      <c r="J68" s="19" t="inlineStr">
        <is>
          <t>109 min</t>
        </is>
      </c>
      <c r="K68" s="19" t="inlineStr">
        <is>
          <t>Comedies, Dramas, Independent Movies</t>
        </is>
      </c>
      <c r="L68" s="19" t="inlineStr">
        <is>
          <t>Two indigent farmers consider suicide so that their families can collect a government subsidy that's paid to the relatives of deceased farmers.</t>
        </is>
      </c>
      <c r="M68" s="19" t="n">
        <v>2021</v>
      </c>
      <c r="N68" s="19">
        <f>IF(AND(OR(YearFilter="All",$M68=YearFilter),OR(RatingFilter="All",$I68=RatingFilter),OR(TypeFilter="All",$B68=TypeFilter),OR(GenreFilter="All",COUNTIFS(tblGenre[show_id],$A68,tblGenre[Genre],GenreFilter)&gt;0)),1,0)</f>
        <v/>
      </c>
    </row>
    <row r="69" ht="15" customHeight="1" s="20">
      <c r="A69" s="19" t="inlineStr">
        <is>
          <t>s1023</t>
        </is>
      </c>
      <c r="B69" s="19" t="inlineStr">
        <is>
          <t>Movie</t>
        </is>
      </c>
      <c r="C69" s="19" t="inlineStr">
        <is>
          <t>Taare Zameen Par</t>
        </is>
      </c>
      <c r="D69" s="19" t="inlineStr">
        <is>
          <t>Aamir Khan</t>
        </is>
      </c>
      <c r="E69" s="19" t="inlineStr">
        <is>
          <t>Aamir Khan, Darsheel Safary, Tanay Chheda, Tisca Chopra, Vipin Sharma, Girija Oak, M.K. Raina</t>
        </is>
      </c>
      <c r="F69" s="19" t="inlineStr">
        <is>
          <t>India</t>
        </is>
      </c>
      <c r="G69" s="19" t="inlineStr">
        <is>
          <t>2021-04-17</t>
        </is>
      </c>
      <c r="H69" s="19" t="n">
        <v>2007</v>
      </c>
      <c r="I69" s="19" t="inlineStr">
        <is>
          <t>PG</t>
        </is>
      </c>
      <c r="J69" s="19" t="inlineStr">
        <is>
          <t>162 min</t>
        </is>
      </c>
      <c r="K69" s="19" t="inlineStr">
        <is>
          <t>Dramas, International Movies</t>
        </is>
      </c>
      <c r="L69" s="19" t="inlineStr">
        <is>
          <t>When daydreamer Ishaan is sent to boarding school, an unconventional art teacher tries to help the imaginative student discover his true identity.</t>
        </is>
      </c>
      <c r="M69" s="19" t="n">
        <v>2021</v>
      </c>
      <c r="N69" s="19">
        <f>IF(AND(OR(YearFilter="All",$M69=YearFilter),OR(RatingFilter="All",$I69=RatingFilter),OR(TypeFilter="All",$B69=TypeFilter),OR(GenreFilter="All",COUNTIFS(tblGenre[show_id],$A69,tblGenre[Genre],GenreFilter)&gt;0)),1,0)</f>
        <v/>
      </c>
    </row>
    <row r="70" ht="15" customHeight="1" s="20">
      <c r="A70" s="19" t="inlineStr">
        <is>
          <t>s1024</t>
        </is>
      </c>
      <c r="B70" s="19" t="inlineStr">
        <is>
          <t>Movie</t>
        </is>
      </c>
      <c r="C70" s="19" t="inlineStr">
        <is>
          <t>Ajeeb Daastaans</t>
        </is>
      </c>
      <c r="D70" s="19" t="inlineStr">
        <is>
          <t>Shashank Khaitan, Raj Mehta, Neeraj Ghaywan, Kayoze Irani</t>
        </is>
      </c>
      <c r="E70" s="19" t="inlineStr">
        <is>
          <t>Fatima Sana Shaikh, Jaideep Ahlawat, Armaan Ralhan, Nushrat Bharucha, Abhishek Banerjee, Inayat Verma, Konkona Sen Sharma, Aditi Rao Hydari, Shefali Shah, Manav Kaul, Tota Roy Chowdhury</t>
        </is>
      </c>
      <c r="F70" s="19" t="inlineStr">
        <is>
          <t>India</t>
        </is>
      </c>
      <c r="G70" s="19" t="inlineStr">
        <is>
          <t>2021-04-16</t>
        </is>
      </c>
      <c r="H70" s="19" t="n">
        <v>2021</v>
      </c>
      <c r="I70" s="19" t="inlineStr">
        <is>
          <t>TV-MA</t>
        </is>
      </c>
      <c r="J70" s="19" t="inlineStr">
        <is>
          <t>142 min</t>
        </is>
      </c>
      <c r="K70" s="19" t="inlineStr">
        <is>
          <t>Dramas, Independent Movies, International Movies</t>
        </is>
      </c>
      <c r="L70" s="19" t="inlineStr">
        <is>
          <t>Four shorts explore the surprising ways in which unexpected catalysts inflame the uncomfortable emotions simmering under fractured relationships.</t>
        </is>
      </c>
      <c r="M70" s="19" t="n">
        <v>2021</v>
      </c>
      <c r="N70" s="19">
        <f>IF(AND(OR(YearFilter="All",$M70=YearFilter),OR(RatingFilter="All",$I70=RatingFilter),OR(TypeFilter="All",$B70=TypeFilter),OR(GenreFilter="All",COUNTIFS(tblGenre[show_id],$A70,tblGenre[Genre],GenreFilter)&gt;0)),1,0)</f>
        <v/>
      </c>
    </row>
    <row r="71" ht="15" customHeight="1" s="20">
      <c r="A71" s="19" t="inlineStr">
        <is>
          <t>s1038</t>
        </is>
      </c>
      <c r="B71" s="19" t="inlineStr">
        <is>
          <t>Movie</t>
        </is>
      </c>
      <c r="C71" s="19" t="inlineStr">
        <is>
          <t>Tuesdays &amp; Fridays</t>
        </is>
      </c>
      <c r="D71" s="19" t="inlineStr">
        <is>
          <t>Taranveer Singh</t>
        </is>
      </c>
      <c r="E71" s="19" t="inlineStr">
        <is>
          <t>Anmol Thakeria Dhillon, Jhataleka, Niki Walia, Kamini Khanna, Zoa Morani, Nayan Shukla, Eklavyey Kashyap, Reem Shaikh</t>
        </is>
      </c>
      <c r="F71" s="19" t="inlineStr">
        <is>
          <t>India</t>
        </is>
      </c>
      <c r="G71" s="19" t="inlineStr">
        <is>
          <t>2021-04-16</t>
        </is>
      </c>
      <c r="H71" s="19" t="n">
        <v>2021</v>
      </c>
      <c r="I71" s="19" t="inlineStr">
        <is>
          <t>TV-14</t>
        </is>
      </c>
      <c r="J71" s="19" t="inlineStr">
        <is>
          <t>106 min</t>
        </is>
      </c>
      <c r="K71" s="19" t="inlineStr">
        <is>
          <t>Comedies, Dramas, International Movies</t>
        </is>
      </c>
      <c r="L71" s="19" t="inlineStr">
        <is>
          <t>To avoid the burden of commitment, a young lawyer and a writer agree to be romantic partners only two days a week. That won’t get complicated — right?</t>
        </is>
      </c>
      <c r="M71" s="19" t="n">
        <v>2021</v>
      </c>
      <c r="N71" s="19">
        <f>IF(AND(OR(YearFilter="All",$M71=YearFilter),OR(RatingFilter="All",$I71=RatingFilter),OR(TypeFilter="All",$B71=TypeFilter),OR(GenreFilter="All",COUNTIFS(tblGenre[show_id],$A71,tblGenre[Genre],GenreFilter)&gt;0)),1,0)</f>
        <v/>
      </c>
    </row>
    <row r="72" ht="15" customHeight="1" s="20">
      <c r="A72" s="19" t="inlineStr">
        <is>
          <t>s1061</t>
        </is>
      </c>
      <c r="B72" s="19" t="inlineStr">
        <is>
          <t>TV Show</t>
        </is>
      </c>
      <c r="C72" s="19" t="inlineStr">
        <is>
          <t>Indian Matchmaking</t>
        </is>
      </c>
      <c r="F72" s="19" t="inlineStr">
        <is>
          <t>United States, India</t>
        </is>
      </c>
      <c r="G72" s="19" t="inlineStr">
        <is>
          <t>2021-04-14</t>
        </is>
      </c>
      <c r="H72" s="19" t="n">
        <v>2020</v>
      </c>
      <c r="I72" s="19" t="inlineStr">
        <is>
          <t>TV-14</t>
        </is>
      </c>
      <c r="J72" s="19" t="inlineStr">
        <is>
          <t>1 Season</t>
        </is>
      </c>
      <c r="K72" s="19" t="inlineStr">
        <is>
          <t>Reality TV, Romantic TV Shows</t>
        </is>
      </c>
      <c r="L72" s="19" t="inlineStr">
        <is>
          <t>Matchmaker Sima Taparia guides clients in the U.S. and India in the arranged marriage process, offering an inside look at the custom in a modern era.</t>
        </is>
      </c>
      <c r="M72" s="19" t="n">
        <v>2021</v>
      </c>
      <c r="N72" s="19">
        <f>IF(AND(OR(YearFilter="All",$M72=YearFilter),OR(RatingFilter="All",$I72=RatingFilter),OR(TypeFilter="All",$B72=TypeFilter),OR(GenreFilter="All",COUNTIFS(tblGenre[show_id],$A72,tblGenre[Genre],GenreFilter)&gt;0)),1,0)</f>
        <v/>
      </c>
    </row>
    <row r="73" ht="15" customHeight="1" s="20">
      <c r="A73" s="19" t="inlineStr">
        <is>
          <t>s1070</t>
        </is>
      </c>
      <c r="B73" s="19" t="inlineStr">
        <is>
          <t>Movie</t>
        </is>
      </c>
      <c r="C73" s="19" t="inlineStr">
        <is>
          <t>Uppena</t>
        </is>
      </c>
      <c r="D73" s="19" t="inlineStr">
        <is>
          <t>Buchi Babu Sana</t>
        </is>
      </c>
      <c r="E73" s="19" t="inlineStr">
        <is>
          <t>Panja Vaisshnav Tej, Krithi Shetty, Vijay Sethupathi</t>
        </is>
      </c>
      <c r="F73" s="19" t="inlineStr">
        <is>
          <t>India</t>
        </is>
      </c>
      <c r="G73" s="19" t="inlineStr">
        <is>
          <t>2021-04-14</t>
        </is>
      </c>
      <c r="H73" s="19" t="n">
        <v>2020</v>
      </c>
      <c r="I73" s="19" t="inlineStr">
        <is>
          <t>TV-14</t>
        </is>
      </c>
      <c r="J73" s="19" t="inlineStr">
        <is>
          <t>145 min</t>
        </is>
      </c>
      <c r="K73" s="19" t="inlineStr">
        <is>
          <t>Dramas, International Movies, Romantic Movies</t>
        </is>
      </c>
      <c r="L73" s="19" t="inlineStr">
        <is>
          <t>The son of a fishing community falls for a village head's daughter, but they face violent opposition from the girl’s doggedly old-fashioned father.</t>
        </is>
      </c>
      <c r="M73" s="19" t="n">
        <v>2021</v>
      </c>
      <c r="N73" s="19">
        <f>IF(AND(OR(YearFilter="All",$M73=YearFilter),OR(RatingFilter="All",$I73=RatingFilter),OR(TypeFilter="All",$B73=TypeFilter),OR(GenreFilter="All",COUNTIFS(tblGenre[show_id],$A73,tblGenre[Genre],GenreFilter)&gt;0)),1,0)</f>
        <v/>
      </c>
    </row>
    <row r="74" ht="15" customHeight="1" s="20">
      <c r="A74" s="19" t="inlineStr">
        <is>
          <t>s1076</t>
        </is>
      </c>
      <c r="B74" s="19" t="inlineStr">
        <is>
          <t>TV Show</t>
        </is>
      </c>
      <c r="C74" s="19" t="inlineStr">
        <is>
          <t>My Love: Six Stories of True Love</t>
        </is>
      </c>
      <c r="D74" s="19" t="inlineStr">
        <is>
          <t>Moyoung Jin, Caroline Sá, Deepti Kakkar, Fahad Mustafa, Hikaru Toda, Chico Pereira, Elaine McMillion Sheldon</t>
        </is>
      </c>
      <c r="F74" s="19" t="inlineStr">
        <is>
          <t>United States, Brazil, Japan, Spain, India</t>
        </is>
      </c>
      <c r="G74" s="19" t="inlineStr">
        <is>
          <t>2021-04-13</t>
        </is>
      </c>
      <c r="H74" s="19" t="n">
        <v>2021</v>
      </c>
      <c r="I74" s="19" t="inlineStr">
        <is>
          <t>TV-PG</t>
        </is>
      </c>
      <c r="J74" s="19" t="inlineStr">
        <is>
          <t>1 Season</t>
        </is>
      </c>
      <c r="K74" s="19" t="inlineStr">
        <is>
          <t>Docuseries</t>
        </is>
      </c>
      <c r="L74" s="19" t="inlineStr">
        <is>
          <t>Six longtime couples in different parts of the world share their decades-long love in these tender portraits filmed over the course of one year.</t>
        </is>
      </c>
      <c r="M74" s="19" t="n">
        <v>2021</v>
      </c>
      <c r="N74" s="19">
        <f>IF(AND(OR(YearFilter="All",$M74=YearFilter),OR(RatingFilter="All",$I74=RatingFilter),OR(TypeFilter="All",$B74=TypeFilter),OR(GenreFilter="All",COUNTIFS(tblGenre[show_id],$A74,tblGenre[Genre],GenreFilter)&gt;0)),1,0)</f>
        <v/>
      </c>
    </row>
    <row r="75" ht="15" customHeight="1" s="20">
      <c r="A75" s="19" t="inlineStr">
        <is>
          <t>s1088</t>
        </is>
      </c>
      <c r="B75" s="19" t="inlineStr">
        <is>
          <t>Movie</t>
        </is>
      </c>
      <c r="C75" s="19" t="inlineStr">
        <is>
          <t>Roohi</t>
        </is>
      </c>
      <c r="D75" s="19" t="inlineStr">
        <is>
          <t>Hardik Mehta</t>
        </is>
      </c>
      <c r="E75" s="19" t="inlineStr">
        <is>
          <t>Rajkummar Rao, Varun Sharma, Janhvi Kapoor, Manav Vij, Sarita Joshi, Anuraag Arora, Alexx O'Nell, Rajesh Jais</t>
        </is>
      </c>
      <c r="F75" s="19" t="inlineStr">
        <is>
          <t>India</t>
        </is>
      </c>
      <c r="G75" s="19" t="inlineStr">
        <is>
          <t>2021-04-09</t>
        </is>
      </c>
      <c r="H75" s="19" t="n">
        <v>2021</v>
      </c>
      <c r="I75" s="19" t="inlineStr">
        <is>
          <t>TV-14</t>
        </is>
      </c>
      <c r="J75" s="19" t="inlineStr">
        <is>
          <t>133 min</t>
        </is>
      </c>
      <c r="K75" s="19" t="inlineStr">
        <is>
          <t>Comedies, Horror Movies, International Movies</t>
        </is>
      </c>
      <c r="L75" s="19" t="inlineStr">
        <is>
          <t>Hired to kidnap a bride, two bumbling pals face a wacky predicament when one falls for their abductee — and the other, for the spirit possessing her.</t>
        </is>
      </c>
      <c r="M75" s="19" t="n">
        <v>2021</v>
      </c>
      <c r="N75" s="19">
        <f>IF(AND(OR(YearFilter="All",$M75=YearFilter),OR(RatingFilter="All",$I75=RatingFilter),OR(TypeFilter="All",$B75=TypeFilter),OR(GenreFilter="All",COUNTIFS(tblGenre[show_id],$A75,tblGenre[Genre],GenreFilter)&gt;0)),1,0)</f>
        <v/>
      </c>
    </row>
    <row r="76" ht="15" customHeight="1" s="20">
      <c r="A76" s="19" t="inlineStr">
        <is>
          <t>s1094</t>
        </is>
      </c>
      <c r="B76" s="19" t="inlineStr">
        <is>
          <t>TV Show</t>
        </is>
      </c>
      <c r="C76" s="19" t="inlineStr">
        <is>
          <t>The Big Day</t>
        </is>
      </c>
      <c r="F76" s="19" t="inlineStr">
        <is>
          <t>India</t>
        </is>
      </c>
      <c r="G76" s="19" t="inlineStr">
        <is>
          <t>2021-04-07</t>
        </is>
      </c>
      <c r="H76" s="19" t="n">
        <v>2021</v>
      </c>
      <c r="I76" s="19" t="inlineStr">
        <is>
          <t>TV-14</t>
        </is>
      </c>
      <c r="J76" s="19" t="inlineStr">
        <is>
          <t>2 Seasons</t>
        </is>
      </c>
      <c r="K76" s="19" t="inlineStr">
        <is>
          <t>International TV Shows, Reality TV, Romantic TV Shows</t>
        </is>
      </c>
      <c r="L76" s="19" t="inlineStr">
        <is>
          <t>For six engaged couples, happily ever after begins on a spectacular note in this eye-popping look at India’s multibillion-dollar wedding industry.</t>
        </is>
      </c>
      <c r="M76" s="19" t="n">
        <v>2021</v>
      </c>
      <c r="N76" s="19">
        <f>IF(AND(OR(YearFilter="All",$M76=YearFilter),OR(RatingFilter="All",$I76=RatingFilter),OR(TypeFilter="All",$B76=TypeFilter),OR(GenreFilter="All",COUNTIFS(tblGenre[show_id],$A76,tblGenre[Genre],GenreFilter)&gt;0)),1,0)</f>
        <v/>
      </c>
    </row>
    <row r="77" ht="15" customHeight="1" s="20">
      <c r="A77" s="19" t="inlineStr">
        <is>
          <t>s1099</t>
        </is>
      </c>
      <c r="B77" s="19" t="inlineStr">
        <is>
          <t>Movie</t>
        </is>
      </c>
      <c r="C77" s="19" t="inlineStr">
        <is>
          <t>Mandela</t>
        </is>
      </c>
      <c r="D77" s="19" t="inlineStr">
        <is>
          <t>Madonne Ashwin</t>
        </is>
      </c>
      <c r="E77" s="19" t="inlineStr">
        <is>
          <t>Yogi Babu, Sheela Rajkumar, Sangili Murugan, G. M. Sundhar</t>
        </is>
      </c>
      <c r="F77" s="19" t="inlineStr">
        <is>
          <t>India</t>
        </is>
      </c>
      <c r="G77" s="19" t="inlineStr">
        <is>
          <t>2021-04-05</t>
        </is>
      </c>
      <c r="H77" s="19" t="n">
        <v>2021</v>
      </c>
      <c r="I77" s="19" t="inlineStr">
        <is>
          <t>TV-14</t>
        </is>
      </c>
      <c r="J77" s="19" t="inlineStr">
        <is>
          <t>140 min</t>
        </is>
      </c>
      <c r="K77" s="19" t="inlineStr">
        <is>
          <t>Comedies, Dramas, International Movies</t>
        </is>
      </c>
      <c r="L77" s="19" t="inlineStr">
        <is>
          <t>Amid a local election with two rivals vying to win by any means necessary, a barber lands in a curiously powerful position as the single deciding vote.</t>
        </is>
      </c>
      <c r="M77" s="19" t="n">
        <v>2021</v>
      </c>
      <c r="N77" s="19">
        <f>IF(AND(OR(YearFilter="All",$M77=YearFilter),OR(RatingFilter="All",$I77=RatingFilter),OR(TypeFilter="All",$B77=TypeFilter),OR(GenreFilter="All",COUNTIFS(tblGenre[show_id],$A77,tblGenre[Genre],GenreFilter)&gt;0)),1,0)</f>
        <v/>
      </c>
    </row>
    <row r="78" ht="15" customHeight="1" s="20">
      <c r="A78" s="19" t="inlineStr">
        <is>
          <t>s1109</t>
        </is>
      </c>
      <c r="B78" s="19" t="inlineStr">
        <is>
          <t>Movie</t>
        </is>
      </c>
      <c r="C78" s="19" t="inlineStr">
        <is>
          <t>Irul</t>
        </is>
      </c>
      <c r="D78" s="19" t="inlineStr">
        <is>
          <t>Naseef Yusuf Izuddin</t>
        </is>
      </c>
      <c r="E78" s="19" t="inlineStr">
        <is>
          <t>Fahadh Faasil, Soubin Shahir, Darshana Rajendran</t>
        </is>
      </c>
      <c r="F78" s="19" t="inlineStr">
        <is>
          <t>India</t>
        </is>
      </c>
      <c r="G78" s="19" t="inlineStr">
        <is>
          <t>2021-04-02</t>
        </is>
      </c>
      <c r="H78" s="19" t="n">
        <v>2021</v>
      </c>
      <c r="I78" s="19" t="inlineStr">
        <is>
          <t>TV-MA</t>
        </is>
      </c>
      <c r="J78" s="19" t="inlineStr">
        <is>
          <t>91 min</t>
        </is>
      </c>
      <c r="K78" s="19" t="inlineStr">
        <is>
          <t>International Movies, Thrillers</t>
        </is>
      </c>
      <c r="L78" s="19" t="inlineStr">
        <is>
          <t>When a car breakdown forces a couple to seek shelter in a nearby home, conversations with the stranger inside soon suggest there’s a killer among them.</t>
        </is>
      </c>
      <c r="M78" s="19" t="n">
        <v>2021</v>
      </c>
      <c r="N78" s="19">
        <f>IF(AND(OR(YearFilter="All",$M78=YearFilter),OR(RatingFilter="All",$I78=RatingFilter),OR(TypeFilter="All",$B78=TypeFilter),OR(GenreFilter="All",COUNTIFS(tblGenre[show_id],$A78,tblGenre[Genre],GenreFilter)&gt;0)),1,0)</f>
        <v/>
      </c>
    </row>
    <row r="79" ht="15" customHeight="1" s="20">
      <c r="A79" s="19" t="inlineStr">
        <is>
          <t>s1115</t>
        </is>
      </c>
      <c r="B79" s="19" t="inlineStr">
        <is>
          <t>Movie</t>
        </is>
      </c>
      <c r="C79" s="19" t="inlineStr">
        <is>
          <t>3 Idiots</t>
        </is>
      </c>
      <c r="D79" s="19" t="inlineStr">
        <is>
          <t>Rajkumar Hirani</t>
        </is>
      </c>
      <c r="E79" s="19" t="inlineStr">
        <is>
          <t>Aamir Khan, Kareena Kapoor, Madhavan, Sharman Joshi, Omi Vaidya, Boman Irani, Mona Singh, Javed Jaffrey</t>
        </is>
      </c>
      <c r="F79" s="19" t="inlineStr">
        <is>
          <t>India</t>
        </is>
      </c>
      <c r="G79" s="19" t="inlineStr">
        <is>
          <t>2021-04-01</t>
        </is>
      </c>
      <c r="H79" s="19" t="n">
        <v>2009</v>
      </c>
      <c r="I79" s="19" t="inlineStr">
        <is>
          <t>PG-13</t>
        </is>
      </c>
      <c r="J79" s="19" t="inlineStr">
        <is>
          <t>164 min</t>
        </is>
      </c>
      <c r="K79" s="19" t="inlineStr">
        <is>
          <t>Comedies, Dramas, International Movies</t>
        </is>
      </c>
      <c r="L79" s="19" t="inlineStr">
        <is>
          <t>While attending one of India's premier colleges, three miserable engineering students and best friends struggle to beat the school's draconian system.</t>
        </is>
      </c>
      <c r="M79" s="19" t="n">
        <v>2021</v>
      </c>
      <c r="N79" s="19">
        <f>IF(AND(OR(YearFilter="All",$M79=YearFilter),OR(RatingFilter="All",$I79=RatingFilter),OR(TypeFilter="All",$B79=TypeFilter),OR(GenreFilter="All",COUNTIFS(tblGenre[show_id],$A79,tblGenre[Genre],GenreFilter)&gt;0)),1,0)</f>
        <v/>
      </c>
    </row>
    <row r="80" ht="15" customHeight="1" s="20">
      <c r="A80" s="19" t="inlineStr">
        <is>
          <t>s1116</t>
        </is>
      </c>
      <c r="B80" s="19" t="inlineStr">
        <is>
          <t>Movie</t>
        </is>
      </c>
      <c r="C80" s="19" t="inlineStr">
        <is>
          <t>Ferrari Ki Sawaari</t>
        </is>
      </c>
      <c r="D80" s="19" t="inlineStr">
        <is>
          <t>Rajesh Mapuskar</t>
        </is>
      </c>
      <c r="E80" s="19" t="inlineStr">
        <is>
          <t>Sharman Joshi, Boman Irani, Ritwik Sahore, Paresh Rawal, Deepak Shirke, Satyadeep Misra, Aakash Dabhade, Nilesh Diwekar, Vidya Balan</t>
        </is>
      </c>
      <c r="F80" s="19" t="inlineStr">
        <is>
          <t>India</t>
        </is>
      </c>
      <c r="G80" s="19" t="inlineStr">
        <is>
          <t>2021-04-01</t>
        </is>
      </c>
      <c r="H80" s="19" t="n">
        <v>2012</v>
      </c>
      <c r="I80" s="19" t="inlineStr">
        <is>
          <t>TV-PG</t>
        </is>
      </c>
      <c r="J80" s="19" t="inlineStr">
        <is>
          <t>133 min</t>
        </is>
      </c>
      <c r="K80" s="19" t="inlineStr">
        <is>
          <t>Comedies, International Movies, Sports Movies</t>
        </is>
      </c>
      <c r="L80" s="19" t="inlineStr">
        <is>
          <t>A father winds up involved with a stolen Ferrari as he tries to acquire the money to send his son to the leading cricket academy.</t>
        </is>
      </c>
      <c r="M80" s="19" t="n">
        <v>2021</v>
      </c>
      <c r="N80" s="19">
        <f>IF(AND(OR(YearFilter="All",$M80=YearFilter),OR(RatingFilter="All",$I80=RatingFilter),OR(TypeFilter="All",$B80=TypeFilter),OR(GenreFilter="All",COUNTIFS(tblGenre[show_id],$A80,tblGenre[Genre],GenreFilter)&gt;0)),1,0)</f>
        <v/>
      </c>
    </row>
    <row r="81" ht="15" customHeight="1" s="20">
      <c r="A81" s="19" t="inlineStr">
        <is>
          <t>s1123</t>
        </is>
      </c>
      <c r="B81" s="19" t="inlineStr">
        <is>
          <t>Movie</t>
        </is>
      </c>
      <c r="C81" s="19" t="inlineStr">
        <is>
          <t>Madam Chief Minister</t>
        </is>
      </c>
      <c r="D81" s="19" t="inlineStr">
        <is>
          <t>Subhash Kapoor</t>
        </is>
      </c>
      <c r="E81" s="19" t="inlineStr">
        <is>
          <t>Richa Chadda, Saurabh Shukla, Manav Kaul, Shubrajyoti Barat, Akshay Oberoi, Boloram Das, Nikhil Vijay, Raviza Chauhan</t>
        </is>
      </c>
      <c r="F81" s="19" t="inlineStr">
        <is>
          <t>India</t>
        </is>
      </c>
      <c r="G81" s="19" t="inlineStr">
        <is>
          <t>2021-04-01</t>
        </is>
      </c>
      <c r="H81" s="19" t="n">
        <v>2020</v>
      </c>
      <c r="I81" s="19" t="inlineStr">
        <is>
          <t>TV-14</t>
        </is>
      </c>
      <c r="J81" s="19" t="inlineStr">
        <is>
          <t>121 min</t>
        </is>
      </c>
      <c r="K81" s="19" t="inlineStr">
        <is>
          <t>Dramas, International Movies</t>
        </is>
      </c>
      <c r="L81" s="19" t="inlineStr">
        <is>
          <t>Rising from disadvantage to become a state leader, a tenacious politician learns that with great power comes great responsibility, ruthlessness and risk.</t>
        </is>
      </c>
      <c r="M81" s="19" t="n">
        <v>2021</v>
      </c>
      <c r="N81" s="19">
        <f>IF(AND(OR(YearFilter="All",$M81=YearFilter),OR(RatingFilter="All",$I81=RatingFilter),OR(TypeFilter="All",$B81=TypeFilter),OR(GenreFilter="All",COUNTIFS(tblGenre[show_id],$A81,tblGenre[Genre],GenreFilter)&gt;0)),1,0)</f>
        <v/>
      </c>
    </row>
    <row r="82" ht="15" customHeight="1" s="20">
      <c r="A82" s="19" t="inlineStr">
        <is>
          <t>s1142</t>
        </is>
      </c>
      <c r="B82" s="19" t="inlineStr">
        <is>
          <t>Movie</t>
        </is>
      </c>
      <c r="C82" s="19" t="inlineStr">
        <is>
          <t>Wazir</t>
        </is>
      </c>
      <c r="D82" s="19" t="inlineStr">
        <is>
          <t>Bejoy Nambiar</t>
        </is>
      </c>
      <c r="E82" s="19" t="inlineStr">
        <is>
          <t>Amitabh Bachchan, Farhan Akhtar, Aditi Rao Hydari, Manav Kaul, Neil Nitin Mukesh, John Abraham</t>
        </is>
      </c>
      <c r="F82" s="19" t="inlineStr">
        <is>
          <t>India</t>
        </is>
      </c>
      <c r="G82" s="19" t="inlineStr">
        <is>
          <t>2021-04-01</t>
        </is>
      </c>
      <c r="H82" s="19" t="n">
        <v>2016</v>
      </c>
      <c r="I82" s="19" t="inlineStr">
        <is>
          <t>TV-14</t>
        </is>
      </c>
      <c r="J82" s="19" t="inlineStr">
        <is>
          <t>98 min</t>
        </is>
      </c>
      <c r="K82" s="19" t="inlineStr">
        <is>
          <t>Dramas, International Movies, Thrillers</t>
        </is>
      </c>
      <c r="L82" s="19" t="inlineStr">
        <is>
          <t>Helping an amputee grandmaster settle the score for his tragic past, a grieving detective unravels a conspiracy more complicated than he imagined.</t>
        </is>
      </c>
      <c r="M82" s="19" t="n">
        <v>2021</v>
      </c>
      <c r="N82" s="19">
        <f>IF(AND(OR(YearFilter="All",$M82=YearFilter),OR(RatingFilter="All",$I82=RatingFilter),OR(TypeFilter="All",$B82=TypeFilter),OR(GenreFilter="All",COUNTIFS(tblGenre[show_id],$A82,tblGenre[Genre],GenreFilter)&gt;0)),1,0)</f>
        <v/>
      </c>
    </row>
    <row r="83" ht="15" customHeight="1" s="20">
      <c r="A83" s="19" t="inlineStr">
        <is>
          <t>s1166</t>
        </is>
      </c>
      <c r="B83" s="19" t="inlineStr">
        <is>
          <t>Movie</t>
        </is>
      </c>
      <c r="C83" s="19" t="inlineStr">
        <is>
          <t>Pagglait</t>
        </is>
      </c>
      <c r="D83" s="19" t="inlineStr">
        <is>
          <t>Umesh Bist</t>
        </is>
      </c>
      <c r="E83" s="19" t="inlineStr">
        <is>
          <t>Sanya Malhotra, Sayani Gupta, Ashutosh Rana, Raghuvir Yadav, Shruti Sharma, Sheeba Chaddha, Natasha Rastogi, Rajesh Tailang, Meghna Malik, Jameel Khan, Chetan Sharma, Ananya Khare, Bhupesh Pandya</t>
        </is>
      </c>
      <c r="F83" s="19" t="inlineStr">
        <is>
          <t>India</t>
        </is>
      </c>
      <c r="G83" s="19" t="inlineStr">
        <is>
          <t>2021-03-26</t>
        </is>
      </c>
      <c r="H83" s="19" t="n">
        <v>2021</v>
      </c>
      <c r="I83" s="19" t="inlineStr">
        <is>
          <t>TV-PG</t>
        </is>
      </c>
      <c r="J83" s="19" t="inlineStr">
        <is>
          <t>114 min</t>
        </is>
      </c>
      <c r="K83" s="19" t="inlineStr">
        <is>
          <t>Comedies, Dramas, International Movies</t>
        </is>
      </c>
      <c r="L83" s="19" t="inlineStr">
        <is>
          <t>Widowed soon after marriage, a young woman grapples with an inability to grieve, quirky relatives and a startling discovery about her late husband.</t>
        </is>
      </c>
      <c r="M83" s="19" t="n">
        <v>2021</v>
      </c>
      <c r="N83" s="19">
        <f>IF(AND(OR(YearFilter="All",$M83=YearFilter),OR(RatingFilter="All",$I83=RatingFilter),OR(TypeFilter="All",$B83=TypeFilter),OR(GenreFilter="All",COUNTIFS(tblGenre[show_id],$A83,tblGenre[Genre],GenreFilter)&gt;0)),1,0)</f>
        <v/>
      </c>
    </row>
    <row r="84" ht="15" customHeight="1" s="20">
      <c r="A84" s="19" t="inlineStr">
        <is>
          <t>s1203</t>
        </is>
      </c>
      <c r="B84" s="19" t="inlineStr">
        <is>
          <t>Movie</t>
        </is>
      </c>
      <c r="C84" s="19" t="inlineStr">
        <is>
          <t>C/O Kaadhal</t>
        </is>
      </c>
      <c r="D84" s="19" t="inlineStr">
        <is>
          <t>Hemambar Jasti</t>
        </is>
      </c>
      <c r="E84" s="19" t="inlineStr">
        <is>
          <t>Deepann, Vetri, Mumtaz Sorcar, Ayra, Karthik Rathnam, Sonia Giri, Nishesh, Shwetha</t>
        </is>
      </c>
      <c r="F84" s="19" t="inlineStr">
        <is>
          <t>India</t>
        </is>
      </c>
      <c r="G84" s="19" t="inlineStr">
        <is>
          <t>2021-03-15</t>
        </is>
      </c>
      <c r="H84" s="19" t="n">
        <v>2021</v>
      </c>
      <c r="I84" s="19" t="inlineStr">
        <is>
          <t>TV-14</t>
        </is>
      </c>
      <c r="J84" s="19" t="inlineStr">
        <is>
          <t>131 min</t>
        </is>
      </c>
      <c r="K84" s="19" t="inlineStr">
        <is>
          <t>Dramas, International Movies, Romantic Movies</t>
        </is>
      </c>
      <c r="L84" s="19" t="inlineStr">
        <is>
          <t>Cutting across conventions and expectations, four brave love stories blossom in this Tamil remake of the 2018 Telugu film "Care of Kancharapalem.”</t>
        </is>
      </c>
      <c r="M84" s="19" t="n">
        <v>2021</v>
      </c>
      <c r="N84" s="19">
        <f>IF(AND(OR(YearFilter="All",$M84=YearFilter),OR(RatingFilter="All",$I84=RatingFilter),OR(TypeFilter="All",$B84=TypeFilter),OR(GenreFilter="All",COUNTIFS(tblGenre[show_id],$A84,tblGenre[Genre],GenreFilter)&gt;0)),1,0)</f>
        <v/>
      </c>
    </row>
    <row r="85" ht="15" customHeight="1" s="20">
      <c r="A85" s="19" t="inlineStr">
        <is>
          <t>s1204</t>
        </is>
      </c>
      <c r="B85" s="19" t="inlineStr">
        <is>
          <t>Movie</t>
        </is>
      </c>
      <c r="C85" s="19" t="inlineStr">
        <is>
          <t>The BFG</t>
        </is>
      </c>
      <c r="D85" s="19" t="inlineStr">
        <is>
          <t>Steven Spielberg</t>
        </is>
      </c>
      <c r="E85" s="19" t="inlineStr">
        <is>
          <t>Mark Rylance, Ruby Barnhill, Penelope Wilton, Jemaine Clement, Rebecca Hall, Rafe Spall, Bill Hader, Ólafur Darri Ólafsson, Adam Godley, Michael Adamthwaite, Daniel Bacon, Jonathan Holmes, Chris Gibbs, Paul Moniz de Sa</t>
        </is>
      </c>
      <c r="F85" s="19" t="inlineStr">
        <is>
          <t>United States, India, United Kingdom</t>
        </is>
      </c>
      <c r="G85" s="19" t="inlineStr">
        <is>
          <t>2021-03-15</t>
        </is>
      </c>
      <c r="H85" s="19" t="n">
        <v>2016</v>
      </c>
      <c r="I85" s="19" t="inlineStr">
        <is>
          <t>PG</t>
        </is>
      </c>
      <c r="J85" s="19" t="inlineStr">
        <is>
          <t>118 min</t>
        </is>
      </c>
      <c r="K85" s="19" t="inlineStr">
        <is>
          <t>Children &amp; Family Movies, Dramas</t>
        </is>
      </c>
      <c r="L85" s="19" t="inlineStr">
        <is>
          <t>A little orphan meets up with a kind giant who's supposed to eat her but instead protects her from some truly horrible giants who terrorize them both.</t>
        </is>
      </c>
      <c r="M85" s="19" t="n">
        <v>2021</v>
      </c>
      <c r="N85" s="19">
        <f>IF(AND(OR(YearFilter="All",$M85=YearFilter),OR(RatingFilter="All",$I85=RatingFilter),OR(TypeFilter="All",$B85=TypeFilter),OR(GenreFilter="All",COUNTIFS(tblGenre[show_id],$A85,tblGenre[Genre],GenreFilter)&gt;0)),1,0)</f>
        <v/>
      </c>
    </row>
    <row r="86" ht="15" customHeight="1" s="20">
      <c r="A86" s="19" t="inlineStr">
        <is>
          <t>s1228</t>
        </is>
      </c>
      <c r="B86" s="19" t="inlineStr">
        <is>
          <t>TV Show</t>
        </is>
      </c>
      <c r="C86" s="19" t="inlineStr">
        <is>
          <t>Bombay Begums</t>
        </is>
      </c>
      <c r="E86" s="19" t="inlineStr">
        <is>
          <t>Pooja Bhatt, Shahana Goswami, Amruta Subhash, Plabita Borthakur, Aadhya Anand, Manish Chaudhary, Vivek Gomber, Danish Husain, Rahul Bose, Imaaduddin Shah, Sanghmitra Hitaishi</t>
        </is>
      </c>
      <c r="F86" s="19" t="inlineStr">
        <is>
          <t>India</t>
        </is>
      </c>
      <c r="G86" s="19" t="inlineStr">
        <is>
          <t>2021-03-08</t>
        </is>
      </c>
      <c r="H86" s="19" t="n">
        <v>2021</v>
      </c>
      <c r="I86" s="19" t="inlineStr">
        <is>
          <t>TV-MA</t>
        </is>
      </c>
      <c r="J86" s="19" t="inlineStr">
        <is>
          <t>1 Season</t>
        </is>
      </c>
      <c r="K86" s="19" t="inlineStr">
        <is>
          <t>International TV Shows, TV Dramas</t>
        </is>
      </c>
      <c r="L86" s="19" t="inlineStr">
        <is>
          <t>From boardrooms to society's margins, five ambitious women from various walks of life navigate dreams, desires and disappointments in modern Mumbai.</t>
        </is>
      </c>
      <c r="M86" s="19" t="n">
        <v>2021</v>
      </c>
      <c r="N86" s="19">
        <f>IF(AND(OR(YearFilter="All",$M86=YearFilter),OR(RatingFilter="All",$I86=RatingFilter),OR(TypeFilter="All",$B86=TypeFilter),OR(GenreFilter="All",COUNTIFS(tblGenre[show_id],$A86,tblGenre[Genre],GenreFilter)&gt;0)),1,0)</f>
        <v/>
      </c>
    </row>
    <row r="87" ht="15" customHeight="1" s="20">
      <c r="A87" s="19" t="inlineStr">
        <is>
          <t>s1229</t>
        </is>
      </c>
      <c r="B87" s="19" t="inlineStr">
        <is>
          <t>Movie</t>
        </is>
      </c>
      <c r="C87" s="19" t="inlineStr">
        <is>
          <t>Bombay Rose</t>
        </is>
      </c>
      <c r="D87" s="19" t="inlineStr">
        <is>
          <t>Gitanjali Rao</t>
        </is>
      </c>
      <c r="E87" s="19" t="inlineStr">
        <is>
          <t>Cyli Khare, Gargi Shitole, Amardeep Jha, Amit Deondi, Makrand Deshpande, Virendra Saxena, Shishir Sharma</t>
        </is>
      </c>
      <c r="F87" s="19" t="inlineStr">
        <is>
          <t>India, United Kingdom, France, Qatar</t>
        </is>
      </c>
      <c r="G87" s="19" t="inlineStr">
        <is>
          <t>2021-03-08</t>
        </is>
      </c>
      <c r="H87" s="19" t="n">
        <v>2021</v>
      </c>
      <c r="I87" s="19" t="inlineStr">
        <is>
          <t>PG-13</t>
        </is>
      </c>
      <c r="J87" s="19" t="inlineStr">
        <is>
          <t>97 min</t>
        </is>
      </c>
      <c r="K87" s="19" t="inlineStr">
        <is>
          <t>Dramas, Independent Movies, International Movies</t>
        </is>
      </c>
      <c r="L87" s="19" t="inlineStr">
        <is>
          <t>Amidst the bustle of a magnetic and multifaceted city, the budding love between two dreamers is tested.</t>
        </is>
      </c>
      <c r="M87" s="19" t="n">
        <v>2021</v>
      </c>
      <c r="N87" s="19">
        <f>IF(AND(OR(YearFilter="All",$M87=YearFilter),OR(RatingFilter="All",$I87=RatingFilter),OR(TypeFilter="All",$B87=TypeFilter),OR(GenreFilter="All",COUNTIFS(tblGenre[show_id],$A87,tblGenre[Genre],GenreFilter)&gt;0)),1,0)</f>
        <v/>
      </c>
    </row>
    <row r="88" ht="15" customHeight="1" s="20">
      <c r="A88" s="19" t="inlineStr">
        <is>
          <t>s1231</t>
        </is>
      </c>
      <c r="B88" s="19" t="inlineStr">
        <is>
          <t>Movie</t>
        </is>
      </c>
      <c r="C88" s="19" t="inlineStr">
        <is>
          <t>Aelay</t>
        </is>
      </c>
      <c r="D88" s="19" t="inlineStr">
        <is>
          <t>Halitha Shameem</t>
        </is>
      </c>
      <c r="E88" s="19" t="inlineStr">
        <is>
          <t>P. Samuthirakani, Manikandan, Madhumathi Padmanathan, Akalyadevi B., S I Neelambari</t>
        </is>
      </c>
      <c r="F88" s="19" t="inlineStr">
        <is>
          <t>India</t>
        </is>
      </c>
      <c r="G88" s="19" t="inlineStr">
        <is>
          <t>2021-03-05</t>
        </is>
      </c>
      <c r="H88" s="19" t="n">
        <v>2021</v>
      </c>
      <c r="I88" s="19" t="inlineStr">
        <is>
          <t>TV-14</t>
        </is>
      </c>
      <c r="J88" s="19" t="inlineStr">
        <is>
          <t>151 min</t>
        </is>
      </c>
      <c r="K88" s="19" t="inlineStr">
        <is>
          <t>Comedies, Dramas, Independent Movies</t>
        </is>
      </c>
      <c r="L88" s="19" t="inlineStr">
        <is>
          <t>A son stoically returns to his village upon his father’s death, recalling their chilly dynamic before a bizarre event disrupts his visit.</t>
        </is>
      </c>
      <c r="M88" s="19" t="n">
        <v>2021</v>
      </c>
      <c r="N88" s="19">
        <f>IF(AND(OR(YearFilter="All",$M88=YearFilter),OR(RatingFilter="All",$I88=RatingFilter),OR(TypeFilter="All",$B88=TypeFilter),OR(GenreFilter="All",COUNTIFS(tblGenre[show_id],$A88,tblGenre[Genre],GenreFilter)&gt;0)),1,0)</f>
        <v/>
      </c>
    </row>
    <row r="89" ht="15" customHeight="1" s="20">
      <c r="A89" s="19" t="inlineStr">
        <is>
          <t>s1245</t>
        </is>
      </c>
      <c r="B89" s="19" t="inlineStr">
        <is>
          <t>Movie</t>
        </is>
      </c>
      <c r="C89" s="19" t="inlineStr">
        <is>
          <t>Indoo Ki Jawani</t>
        </is>
      </c>
      <c r="D89" s="19" t="inlineStr">
        <is>
          <t>Abir Sengupta</t>
        </is>
      </c>
      <c r="E89" s="19" t="inlineStr">
        <is>
          <t>Kiara Advani, Aditya Seal, Mallika Dua, Rakesh Bedi, Rajendra Sethi, Chittaranjan Tripathi, Rajesh Jais, Alka Badola Kaushal</t>
        </is>
      </c>
      <c r="F89" s="19" t="inlineStr">
        <is>
          <t>India</t>
        </is>
      </c>
      <c r="G89" s="19" t="inlineStr">
        <is>
          <t>2021-03-02</t>
        </is>
      </c>
      <c r="H89" s="19" t="n">
        <v>2020</v>
      </c>
      <c r="I89" s="19" t="inlineStr">
        <is>
          <t>TV-14</t>
        </is>
      </c>
      <c r="J89" s="19" t="inlineStr">
        <is>
          <t>115 min</t>
        </is>
      </c>
      <c r="K89" s="19" t="inlineStr">
        <is>
          <t>Action &amp; Adventure, Comedies, International Movies</t>
        </is>
      </c>
      <c r="L89" s="19" t="inlineStr">
        <is>
          <t>A spirited but naive young woman seeks a one-night stand, but after discovering her date’s real identity, things quickly go from casual to complicated.</t>
        </is>
      </c>
      <c r="M89" s="19" t="n">
        <v>2021</v>
      </c>
      <c r="N89" s="19">
        <f>IF(AND(OR(YearFilter="All",$M89=YearFilter),OR(RatingFilter="All",$I89=RatingFilter),OR(TypeFilter="All",$B89=TypeFilter),OR(GenreFilter="All",COUNTIFS(tblGenre[show_id],$A89,tblGenre[Genre],GenreFilter)&gt;0)),1,0)</f>
        <v/>
      </c>
    </row>
    <row r="90" ht="15" customHeight="1" s="20">
      <c r="A90" s="19" t="inlineStr">
        <is>
          <t>s1266</t>
        </is>
      </c>
      <c r="B90" s="19" t="inlineStr">
        <is>
          <t>Movie</t>
        </is>
      </c>
      <c r="C90" s="19" t="inlineStr">
        <is>
          <t>The Girl on the Train</t>
        </is>
      </c>
      <c r="D90" s="19" t="inlineStr">
        <is>
          <t>Ribhu Dasgupta</t>
        </is>
      </c>
      <c r="E90" s="19" t="inlineStr">
        <is>
          <t>Parineeti Chopra, Aditi Rao Hydari, Kirti Kulhari, Avinash Tiwary, Tota Roy Chowdhury</t>
        </is>
      </c>
      <c r="F90" s="19" t="inlineStr">
        <is>
          <t>India</t>
        </is>
      </c>
      <c r="G90" s="19" t="inlineStr">
        <is>
          <t>2021-02-26</t>
        </is>
      </c>
      <c r="H90" s="19" t="n">
        <v>2021</v>
      </c>
      <c r="I90" s="19" t="inlineStr">
        <is>
          <t>TV-MA</t>
        </is>
      </c>
      <c r="J90" s="19" t="inlineStr">
        <is>
          <t>120 min</t>
        </is>
      </c>
      <c r="K90" s="19" t="inlineStr">
        <is>
          <t>International Movies, Thrillers</t>
        </is>
      </c>
      <c r="L90" s="19" t="inlineStr">
        <is>
          <t>A troubled divorcée fixates on a seemingly ideal couple from afar until a shocking observation sends her spiraling straight into a knotty murder case.</t>
        </is>
      </c>
      <c r="M90" s="19" t="n">
        <v>2021</v>
      </c>
      <c r="N90" s="19">
        <f>IF(AND(OR(YearFilter="All",$M90=YearFilter),OR(RatingFilter="All",$I90=RatingFilter),OR(TypeFilter="All",$B90=TypeFilter),OR(GenreFilter="All",COUNTIFS(tblGenre[show_id],$A90,tblGenre[Genre],GenreFilter)&gt;0)),1,0)</f>
        <v/>
      </c>
    </row>
    <row r="91" ht="15" customHeight="1" s="20">
      <c r="A91" s="19" t="inlineStr">
        <is>
          <t>s1282</t>
        </is>
      </c>
      <c r="B91" s="19" t="inlineStr">
        <is>
          <t>Movie</t>
        </is>
      </c>
      <c r="C91" s="19" t="inlineStr">
        <is>
          <t>Red</t>
        </is>
      </c>
      <c r="D91" s="19" t="inlineStr">
        <is>
          <t>Tirumala Kishore</t>
        </is>
      </c>
      <c r="E91" s="19" t="inlineStr">
        <is>
          <t>Ram Pothineni, Nivetha Pethuraj, Malvika Sharma, Amritha Aiyer, Sampath Raj</t>
        </is>
      </c>
      <c r="F91" s="19" t="inlineStr">
        <is>
          <t>India</t>
        </is>
      </c>
      <c r="G91" s="19" t="inlineStr">
        <is>
          <t>2021-02-23</t>
        </is>
      </c>
      <c r="H91" s="19" t="n">
        <v>2021</v>
      </c>
      <c r="I91" s="19" t="inlineStr">
        <is>
          <t>TV-14</t>
        </is>
      </c>
      <c r="J91" s="19" t="inlineStr">
        <is>
          <t>143 min</t>
        </is>
      </c>
      <c r="K91" s="19" t="inlineStr">
        <is>
          <t>Dramas, International Movies</t>
        </is>
      </c>
      <c r="L91" s="19" t="inlineStr">
        <is>
          <t>A murder investigation leads police to a photo of a suspect, but when two men are found with faces that match the picture, the case gets doubly tricky.</t>
        </is>
      </c>
      <c r="M91" s="19" t="n">
        <v>2021</v>
      </c>
      <c r="N91" s="19">
        <f>IF(AND(OR(YearFilter="All",$M91=YearFilter),OR(RatingFilter="All",$I91=RatingFilter),OR(TypeFilter="All",$B91=TypeFilter),OR(GenreFilter="All",COUNTIFS(tblGenre[show_id],$A91,tblGenre[Genre],GenreFilter)&gt;0)),1,0)</f>
        <v/>
      </c>
    </row>
    <row r="92" ht="15" customHeight="1" s="20">
      <c r="A92" s="19" t="inlineStr">
        <is>
          <t>s1283</t>
        </is>
      </c>
      <c r="B92" s="19" t="inlineStr">
        <is>
          <t>TV Show</t>
        </is>
      </c>
      <c r="C92" s="19" t="inlineStr">
        <is>
          <t>Zindagi in Short</t>
        </is>
      </c>
      <c r="F92" s="19" t="inlineStr">
        <is>
          <t>India</t>
        </is>
      </c>
      <c r="G92" s="19" t="inlineStr">
        <is>
          <t>2021-02-22</t>
        </is>
      </c>
      <c r="H92" s="19" t="n">
        <v>2020</v>
      </c>
      <c r="I92" s="19" t="inlineStr">
        <is>
          <t>TV-MA</t>
        </is>
      </c>
      <c r="J92" s="19" t="inlineStr">
        <is>
          <t>1 Season</t>
        </is>
      </c>
      <c r="K92" s="19" t="inlineStr">
        <is>
          <t>International TV Shows, TV Dramas</t>
        </is>
      </c>
      <c r="L92" s="19" t="inlineStr">
        <is>
          <t>Complicated marriages, digital romances, domestic dilemmas and schoolyard bullies get the spotlight in these seven, slice-of-life short films.</t>
        </is>
      </c>
      <c r="M92" s="19" t="n">
        <v>2021</v>
      </c>
      <c r="N92" s="19">
        <f>IF(AND(OR(YearFilter="All",$M92=YearFilter),OR(RatingFilter="All",$I92=RatingFilter),OR(TypeFilter="All",$B92=TypeFilter),OR(GenreFilter="All",COUNTIFS(tblGenre[show_id],$A92,tblGenre[Genre],GenreFilter)&gt;0)),1,0)</f>
        <v/>
      </c>
    </row>
    <row r="93" ht="15" customHeight="1" s="20">
      <c r="A93" s="19" t="inlineStr">
        <is>
          <t>s1292</t>
        </is>
      </c>
      <c r="B93" s="19" t="inlineStr">
        <is>
          <t>Movie</t>
        </is>
      </c>
      <c r="C93" s="19" t="inlineStr">
        <is>
          <t>Love</t>
        </is>
      </c>
      <c r="D93" s="19" t="inlineStr">
        <is>
          <t>Khalid Rahman</t>
        </is>
      </c>
      <c r="E93" s="19" t="inlineStr">
        <is>
          <t>Shine Tom Chacko, Rajisha Vijayan, Gokulan, Sudhi Koppa, Veena Nandakumar, Johny Antony</t>
        </is>
      </c>
      <c r="F93" s="19" t="inlineStr">
        <is>
          <t>India</t>
        </is>
      </c>
      <c r="G93" s="19" t="inlineStr">
        <is>
          <t>2021-02-19</t>
        </is>
      </c>
      <c r="H93" s="19" t="n">
        <v>2020</v>
      </c>
      <c r="I93" s="19" t="inlineStr">
        <is>
          <t>TV-14</t>
        </is>
      </c>
      <c r="J93" s="19" t="inlineStr">
        <is>
          <t>91 min</t>
        </is>
      </c>
      <c r="K93" s="19" t="inlineStr">
        <is>
          <t>Dramas, Independent Movies, International Movies</t>
        </is>
      </c>
      <c r="L93" s="19" t="inlineStr">
        <is>
          <t>The troubling inner workings of a toxic marriage reveal themselves in surprising ways after one of the couple’s feuds spins out of control.</t>
        </is>
      </c>
      <c r="M93" s="19" t="n">
        <v>2021</v>
      </c>
      <c r="N93" s="19">
        <f>IF(AND(OR(YearFilter="All",$M93=YearFilter),OR(RatingFilter="All",$I93=RatingFilter),OR(TypeFilter="All",$B93=TypeFilter),OR(GenreFilter="All",COUNTIFS(tblGenre[show_id],$A93,tblGenre[Genre],GenreFilter)&gt;0)),1,0)</f>
        <v/>
      </c>
    </row>
    <row r="94" ht="15" customHeight="1" s="20">
      <c r="A94" s="19" t="inlineStr">
        <is>
          <t>s1294</t>
        </is>
      </c>
      <c r="B94" s="19" t="inlineStr">
        <is>
          <t>TV Show</t>
        </is>
      </c>
      <c r="C94" s="19" t="inlineStr">
        <is>
          <t>Pitta Kathalu</t>
        </is>
      </c>
      <c r="D94" s="19" t="inlineStr">
        <is>
          <t>Tharun Bhascker Dhaassyam, B. V. Nandini Reddy, Nag Ashwin, Sankalp Reddy</t>
        </is>
      </c>
      <c r="E94" s="19" t="inlineStr">
        <is>
          <t>Manchu Lakshmi, Saanve Megghana, Naveen Kumar, Jagapathi Babu, Amala Paul, Aswin Kakamanu, Shruthi Haasan, Sanjith Hegde, Sangeeth Shoban, Anish Kuruvilla, Uko, Dayanand Reddy, Thanmayi, Satya Dev, Eesha Rebba, Srinivas Avasarala, Ashima Narwal</t>
        </is>
      </c>
      <c r="F94" s="19" t="inlineStr">
        <is>
          <t>India</t>
        </is>
      </c>
      <c r="G94" s="19" t="inlineStr">
        <is>
          <t>2021-02-19</t>
        </is>
      </c>
      <c r="H94" s="19" t="n">
        <v>2021</v>
      </c>
      <c r="I94" s="19" t="inlineStr">
        <is>
          <t>TV-MA</t>
        </is>
      </c>
      <c r="J94" s="19" t="inlineStr">
        <is>
          <t>1 Season</t>
        </is>
      </c>
      <c r="K94" s="19" t="inlineStr">
        <is>
          <t>International TV Shows, TV Dramas</t>
        </is>
      </c>
      <c r="L94" s="19" t="inlineStr">
        <is>
          <t>From secrets and lies to jealousy and control, four stories in this anthology film explore the darker, deceptive sides of love.</t>
        </is>
      </c>
      <c r="M94" s="19" t="n">
        <v>2021</v>
      </c>
      <c r="N94" s="19">
        <f>IF(AND(OR(YearFilter="All",$M94=YearFilter),OR(RatingFilter="All",$I94=RatingFilter),OR(TypeFilter="All",$B94=TypeFilter),OR(GenreFilter="All",COUNTIFS(tblGenre[show_id],$A94,tblGenre[Genre],GenreFilter)&gt;0)),1,0)</f>
        <v/>
      </c>
    </row>
    <row r="95" ht="15" customHeight="1" s="20">
      <c r="A95" s="19" t="inlineStr">
        <is>
          <t>s1296</t>
        </is>
      </c>
      <c r="B95" s="19" t="inlineStr">
        <is>
          <t>Movie</t>
        </is>
      </c>
      <c r="C95" s="19" t="inlineStr">
        <is>
          <t>Eeb Allay Ooo!</t>
        </is>
      </c>
      <c r="D95" s="19" t="inlineStr">
        <is>
          <t>Prateek Vats</t>
        </is>
      </c>
      <c r="E95" s="19" t="inlineStr">
        <is>
          <t>Shardul Bhardwaj, Nutan Sinha, Shashi Bhushan, Mahinder Nath, Nitin Goel, Naina Sareen</t>
        </is>
      </c>
      <c r="F95" s="19" t="inlineStr">
        <is>
          <t>India</t>
        </is>
      </c>
      <c r="G95" s="19" t="inlineStr">
        <is>
          <t>2021-02-18</t>
        </is>
      </c>
      <c r="H95" s="19" t="n">
        <v>2019</v>
      </c>
      <c r="I95" s="19" t="inlineStr">
        <is>
          <t>TV-MA</t>
        </is>
      </c>
      <c r="J95" s="19" t="inlineStr">
        <is>
          <t>97 min</t>
        </is>
      </c>
      <c r="K95" s="19" t="inlineStr">
        <is>
          <t>Comedies, Dramas, Independent Movies</t>
        </is>
      </c>
      <c r="L95" s="19" t="inlineStr">
        <is>
          <t>Hired as a monkey repeller upon moving to Delhi, a young man struggles to find his footing in his unenviable job and his place in the unforgiving world.</t>
        </is>
      </c>
      <c r="M95" s="19" t="n">
        <v>2021</v>
      </c>
      <c r="N95" s="19">
        <f>IF(AND(OR(YearFilter="All",$M95=YearFilter),OR(RatingFilter="All",$I95=RatingFilter),OR(TypeFilter="All",$B95=TypeFilter),OR(GenreFilter="All",COUNTIFS(tblGenre[show_id],$A95,tblGenre[Genre],GenreFilter)&gt;0)),1,0)</f>
        <v/>
      </c>
    </row>
    <row r="96" ht="15" customHeight="1" s="20">
      <c r="A96" s="19" t="inlineStr">
        <is>
          <t>s1306</t>
        </is>
      </c>
      <c r="B96" s="19" t="inlineStr">
        <is>
          <t>Movie</t>
        </is>
      </c>
      <c r="C96" s="19" t="inlineStr">
        <is>
          <t>Awara Paagal Deewana</t>
        </is>
      </c>
      <c r="D96" s="19" t="inlineStr">
        <is>
          <t>Vikram Bhatt</t>
        </is>
      </c>
      <c r="E96" s="19" t="inlineStr">
        <is>
          <t>Akshay Kumar, Sunil Shetty, Aftab Shivdasani, Preeti Jhangiani, Amrita Arora, Aarti Chhabria, Paresh Rawal, Johny Lever, Rahul Dev, Supriya Pilgaonkar</t>
        </is>
      </c>
      <c r="F96" s="19" t="inlineStr">
        <is>
          <t>India</t>
        </is>
      </c>
      <c r="G96" s="19" t="inlineStr">
        <is>
          <t>2021-02-16</t>
        </is>
      </c>
      <c r="H96" s="19" t="n">
        <v>2002</v>
      </c>
      <c r="I96" s="19" t="inlineStr">
        <is>
          <t>TV-14</t>
        </is>
      </c>
      <c r="J96" s="19" t="inlineStr">
        <is>
          <t>162 min</t>
        </is>
      </c>
      <c r="K96" s="19" t="inlineStr">
        <is>
          <t>Action &amp; Adventure, Comedies, Dramas</t>
        </is>
      </c>
      <c r="L96" s="19" t="inlineStr">
        <is>
          <t>A dentist unwittingly becomes caught in the madcap fight between two criminal brothers-in-law trying to kill one another off to claim their inheritance.</t>
        </is>
      </c>
      <c r="M96" s="19" t="n">
        <v>2021</v>
      </c>
      <c r="N96" s="19">
        <f>IF(AND(OR(YearFilter="All",$M96=YearFilter),OR(RatingFilter="All",$I96=RatingFilter),OR(TypeFilter="All",$B96=TypeFilter),OR(GenreFilter="All",COUNTIFS(tblGenre[show_id],$A96,tblGenre[Genre],GenreFilter)&gt;0)),1,0)</f>
        <v/>
      </c>
    </row>
    <row r="97" ht="15" customHeight="1" s="20">
      <c r="A97" s="19" t="inlineStr">
        <is>
          <t>s1317</t>
        </is>
      </c>
      <c r="B97" s="19" t="inlineStr">
        <is>
          <t>Movie</t>
        </is>
      </c>
      <c r="C97" s="19" t="inlineStr">
        <is>
          <t>Mundina Nildana</t>
        </is>
      </c>
      <c r="D97" s="19" t="inlineStr">
        <is>
          <t>Vinay Bharadwaj</t>
        </is>
      </c>
      <c r="E97" s="19" t="inlineStr">
        <is>
          <t>Praveen Tej, Radhika Narayan, Ananya Kashyap, Ajay Raj, Dattanna, Shankar Ashwath, Kshama Santosh Rai, Diksha Sharma</t>
        </is>
      </c>
      <c r="F97" s="19" t="inlineStr">
        <is>
          <t>India</t>
        </is>
      </c>
      <c r="G97" s="19" t="inlineStr">
        <is>
          <t>2021-02-12</t>
        </is>
      </c>
      <c r="H97" s="19" t="n">
        <v>2019</v>
      </c>
      <c r="I97" s="19" t="inlineStr">
        <is>
          <t>TV-MA</t>
        </is>
      </c>
      <c r="J97" s="19" t="inlineStr">
        <is>
          <t>104 min</t>
        </is>
      </c>
      <c r="K97" s="19" t="inlineStr">
        <is>
          <t>Dramas, International Movies, Romantic Movies</t>
        </is>
      </c>
      <c r="L97" s="19" t="inlineStr">
        <is>
          <t>As three young professionals chase their wildly different dreams, their relationships with each other indelibly impact their journeys of self-discovery.</t>
        </is>
      </c>
      <c r="M97" s="19" t="n">
        <v>2021</v>
      </c>
      <c r="N97" s="19">
        <f>IF(AND(OR(YearFilter="All",$M97=YearFilter),OR(RatingFilter="All",$I97=RatingFilter),OR(TypeFilter="All",$B97=TypeFilter),OR(GenreFilter="All",COUNTIFS(tblGenre[show_id],$A97,tblGenre[Genre],GenreFilter)&gt;0)),1,0)</f>
        <v/>
      </c>
    </row>
    <row r="98" ht="15" customHeight="1" s="20">
      <c r="A98" s="19" t="inlineStr">
        <is>
          <t>s1377</t>
        </is>
      </c>
      <c r="B98" s="19" t="inlineStr">
        <is>
          <t>Movie</t>
        </is>
      </c>
      <c r="C98" s="19" t="inlineStr">
        <is>
          <t>Kilometers and Kilometers</t>
        </is>
      </c>
      <c r="D98" s="19" t="inlineStr">
        <is>
          <t>Jeo Baby</t>
        </is>
      </c>
      <c r="E98" s="19" t="inlineStr">
        <is>
          <t>Tovino Thomas, India Jarvis, Joju George, Sidhartha Siva, Basil Joseph, Sudheesh, Parvathi T, Pauly Valsan</t>
        </is>
      </c>
      <c r="F98" s="19" t="inlineStr">
        <is>
          <t>India</t>
        </is>
      </c>
      <c r="G98" s="19" t="inlineStr">
        <is>
          <t>2021-01-27</t>
        </is>
      </c>
      <c r="H98" s="19" t="n">
        <v>2020</v>
      </c>
      <c r="I98" s="19" t="inlineStr">
        <is>
          <t>TV-MA</t>
        </is>
      </c>
      <c r="J98" s="19" t="inlineStr">
        <is>
          <t>127 min</t>
        </is>
      </c>
      <c r="K98" s="19" t="inlineStr">
        <is>
          <t>Comedies, Dramas, Independent Movies</t>
        </is>
      </c>
      <c r="L98" s="19" t="inlineStr">
        <is>
          <t>When a debt-ridden man reluctantly agrees to drive an American tourist around India, their stark differences lead to bickering… and unexpected bonding.</t>
        </is>
      </c>
      <c r="M98" s="19" t="n">
        <v>2021</v>
      </c>
      <c r="N98" s="19">
        <f>IF(AND(OR(YearFilter="All",$M98=YearFilter),OR(RatingFilter="All",$I98=RatingFilter),OR(TypeFilter="All",$B98=TypeFilter),OR(GenreFilter="All",COUNTIFS(tblGenre[show_id],$A98,tblGenre[Genre],GenreFilter)&gt;0)),1,0)</f>
        <v/>
      </c>
    </row>
    <row r="99" ht="15" customHeight="1" s="20">
      <c r="A99" s="19" t="inlineStr">
        <is>
          <t>s1389</t>
        </is>
      </c>
      <c r="B99" s="19" t="inlineStr">
        <is>
          <t>Movie</t>
        </is>
      </c>
      <c r="C99" s="19" t="inlineStr">
        <is>
          <t>The White Tiger</t>
        </is>
      </c>
      <c r="D99" s="19" t="inlineStr">
        <is>
          <t>Ramin Bahrani</t>
        </is>
      </c>
      <c r="E99" s="19" t="inlineStr">
        <is>
          <t>Adarsh Gourav, Rajkummar Rao, Priyanka Chopra Jonas, Mahesh Manjrekar, Vijay Maurya</t>
        </is>
      </c>
      <c r="F99" s="19" t="inlineStr">
        <is>
          <t>India, United States</t>
        </is>
      </c>
      <c r="G99" s="19" t="inlineStr">
        <is>
          <t>2021-01-22</t>
        </is>
      </c>
      <c r="H99" s="19" t="n">
        <v>2021</v>
      </c>
      <c r="I99" s="19" t="inlineStr">
        <is>
          <t>R</t>
        </is>
      </c>
      <c r="J99" s="19" t="inlineStr">
        <is>
          <t>127 min</t>
        </is>
      </c>
      <c r="K99" s="19" t="inlineStr">
        <is>
          <t>Dramas</t>
        </is>
      </c>
      <c r="L99" s="19" t="inlineStr">
        <is>
          <t>The ambitious driver for a rich Indian family uses his wit and cunning to escape from poverty and become an entrepreneur. Based on the bestselling novel.</t>
        </is>
      </c>
      <c r="M99" s="19" t="n">
        <v>2021</v>
      </c>
      <c r="N99" s="19">
        <f>IF(AND(OR(YearFilter="All",$M99=YearFilter),OR(RatingFilter="All",$I99=RatingFilter),OR(TypeFilter="All",$B99=TypeFilter),OR(GenreFilter="All",COUNTIFS(tblGenre[show_id],$A99,tblGenre[Genre],GenreFilter)&gt;0)),1,0)</f>
        <v/>
      </c>
    </row>
    <row r="100" ht="15" customHeight="1" s="20">
      <c r="A100" s="19" t="inlineStr">
        <is>
          <t>s1411</t>
        </is>
      </c>
      <c r="B100" s="19" t="inlineStr">
        <is>
          <t>Movie</t>
        </is>
      </c>
      <c r="C100" s="19" t="inlineStr">
        <is>
          <t>Tribhanga - Tedhi Medhi Crazy</t>
        </is>
      </c>
      <c r="D100" s="19" t="inlineStr">
        <is>
          <t>Renuka Shahane</t>
        </is>
      </c>
      <c r="E100" s="19" t="inlineStr">
        <is>
          <t>Kajol, Tanvi Azmi, Mithila Palkar, Kunaal Roy Kapur, Vaibhav Tatwawaadi, Kanwaljeet Singh, Manav Gohil, Shweta Mehendale</t>
        </is>
      </c>
      <c r="F100" s="19" t="inlineStr">
        <is>
          <t>India</t>
        </is>
      </c>
      <c r="G100" s="19" t="inlineStr">
        <is>
          <t>2021-01-15</t>
        </is>
      </c>
      <c r="H100" s="19" t="n">
        <v>2021</v>
      </c>
      <c r="I100" s="19" t="inlineStr">
        <is>
          <t>TV-MA</t>
        </is>
      </c>
      <c r="J100" s="19" t="inlineStr">
        <is>
          <t>96 min</t>
        </is>
      </c>
      <c r="K100" s="19" t="inlineStr">
        <is>
          <t>Dramas, International Movies</t>
        </is>
      </c>
      <c r="L100" s="19" t="inlineStr">
        <is>
          <t>When her estranged mother falls into a coma, a self-made single mom grapples with regret and resentment while reflecting on their strained relationship.</t>
        </is>
      </c>
      <c r="M100" s="19" t="n">
        <v>2021</v>
      </c>
      <c r="N100" s="19">
        <f>IF(AND(OR(YearFilter="All",$M100=YearFilter),OR(RatingFilter="All",$I100=RatingFilter),OR(TypeFilter="All",$B100=TypeFilter),OR(GenreFilter="All",COUNTIFS(tblGenre[show_id],$A100,tblGenre[Genre],GenreFilter)&gt;0)),1,0)</f>
        <v/>
      </c>
    </row>
    <row r="101" ht="15" customHeight="1" s="20">
      <c r="A101" s="19" t="inlineStr">
        <is>
          <t>s1423</t>
        </is>
      </c>
      <c r="B101" s="19" t="inlineStr">
        <is>
          <t>Movie</t>
        </is>
      </c>
      <c r="C101" s="19" t="inlineStr">
        <is>
          <t>Apaharan</t>
        </is>
      </c>
      <c r="D101" s="19" t="inlineStr">
        <is>
          <t>Prakash Jha</t>
        </is>
      </c>
      <c r="E101" s="19" t="inlineStr">
        <is>
          <t>Ajay Devgn, Nana Patekar, Bipasha Basu, Ayub Khan, Mohan Agashe, Mukesh Tiwari, Yashpal Sharma, Anoop Soni, Chetan Pandit</t>
        </is>
      </c>
      <c r="F101" s="19" t="inlineStr">
        <is>
          <t>India</t>
        </is>
      </c>
      <c r="G101" s="19" t="inlineStr">
        <is>
          <t>2021-01-08</t>
        </is>
      </c>
      <c r="H101" s="19" t="n">
        <v>2005</v>
      </c>
      <c r="I101" s="19" t="inlineStr">
        <is>
          <t>TV-14</t>
        </is>
      </c>
      <c r="J101" s="19" t="inlineStr">
        <is>
          <t>161 min</t>
        </is>
      </c>
      <c r="K101" s="19" t="inlineStr">
        <is>
          <t>Dramas, International Movies</t>
        </is>
      </c>
      <c r="L101" s="19" t="inlineStr">
        <is>
          <t>Raised under the condescending eye of his activist father, an underachieving loafer is lured into the local kingpin’s web of corruption and kidnapping.</t>
        </is>
      </c>
      <c r="M101" s="19" t="n">
        <v>2021</v>
      </c>
      <c r="N101" s="19">
        <f>IF(AND(OR(YearFilter="All",$M101=YearFilter),OR(RatingFilter="All",$I101=RatingFilter),OR(TypeFilter="All",$B101=TypeFilter),OR(GenreFilter="All",COUNTIFS(tblGenre[show_id],$A101,tblGenre[Genre],GenreFilter)&gt;0)),1,0)</f>
        <v/>
      </c>
    </row>
    <row r="102" ht="15" customHeight="1" s="20">
      <c r="A102" s="19" t="inlineStr">
        <is>
          <t>s1424</t>
        </is>
      </c>
      <c r="B102" s="19" t="inlineStr">
        <is>
          <t>Movie</t>
        </is>
      </c>
      <c r="C102" s="19" t="inlineStr">
        <is>
          <t>BluffMaster!</t>
        </is>
      </c>
      <c r="D102" s="19" t="inlineStr">
        <is>
          <t>Rohan Sippy</t>
        </is>
      </c>
      <c r="E102" s="19" t="inlineStr">
        <is>
          <t>Abhishek Bachchan, Priyanka Chopra, Riteish Deshmukh, Boman Irani, Nana Patekar, Sanjay Mishra, Tinnu Anand, Hussain Shaikh</t>
        </is>
      </c>
      <c r="F102" s="19" t="inlineStr">
        <is>
          <t>India</t>
        </is>
      </c>
      <c r="G102" s="19" t="inlineStr">
        <is>
          <t>2021-01-08</t>
        </is>
      </c>
      <c r="H102" s="19" t="n">
        <v>2005</v>
      </c>
      <c r="I102" s="19" t="inlineStr">
        <is>
          <t>TV-14</t>
        </is>
      </c>
      <c r="J102" s="19" t="inlineStr">
        <is>
          <t>129 min</t>
        </is>
      </c>
      <c r="K102" s="19" t="inlineStr">
        <is>
          <t>Comedies, International Movies, Romantic Movies</t>
        </is>
      </c>
      <c r="L102" s="19" t="inlineStr">
        <is>
          <t>When his girlfriend learns the truth about his murky past, a con artist is forced to examine his choices and get to the root of his real identity.</t>
        </is>
      </c>
      <c r="M102" s="19" t="n">
        <v>2021</v>
      </c>
      <c r="N102" s="19">
        <f>IF(AND(OR(YearFilter="All",$M102=YearFilter),OR(RatingFilter="All",$I102=RatingFilter),OR(TypeFilter="All",$B102=TypeFilter),OR(GenreFilter="All",COUNTIFS(tblGenre[show_id],$A102,tblGenre[Genre],GenreFilter)&gt;0)),1,0)</f>
        <v/>
      </c>
    </row>
    <row r="103" ht="15" customHeight="1" s="20">
      <c r="A103" s="19" t="inlineStr">
        <is>
          <t>s1427</t>
        </is>
      </c>
      <c r="B103" s="19" t="inlineStr">
        <is>
          <t>Movie</t>
        </is>
      </c>
      <c r="C103" s="19" t="inlineStr">
        <is>
          <t>Gangaajal</t>
        </is>
      </c>
      <c r="D103" s="19" t="inlineStr">
        <is>
          <t>Prakash Jha</t>
        </is>
      </c>
      <c r="E103" s="19" t="inlineStr">
        <is>
          <t>Ajay Devgn, Gracy Singh, Mohan Agashe, Mohan Joshi, Ayub Khan, Akhilendra Mishra, Mukesh Tiwari, Yashpal Sharma, Brij Gopal, Anita Kanwal</t>
        </is>
      </c>
      <c r="F103" s="19" t="inlineStr">
        <is>
          <t>India</t>
        </is>
      </c>
      <c r="G103" s="19" t="inlineStr">
        <is>
          <t>2021-01-08</t>
        </is>
      </c>
      <c r="H103" s="19" t="n">
        <v>2003</v>
      </c>
      <c r="I103" s="19" t="inlineStr">
        <is>
          <t>TV-MA</t>
        </is>
      </c>
      <c r="J103" s="19" t="inlineStr">
        <is>
          <t>148 min</t>
        </is>
      </c>
      <c r="K103" s="19" t="inlineStr">
        <is>
          <t>Dramas, International Movies</t>
        </is>
      </c>
      <c r="L103" s="19" t="inlineStr">
        <is>
          <t>Posted to a small, crime-ridden town, a cop soon learns that cleaning up the system also means confronting the corruption among police and politicians.</t>
        </is>
      </c>
      <c r="M103" s="19" t="n">
        <v>2021</v>
      </c>
      <c r="N103" s="19">
        <f>IF(AND(OR(YearFilter="All",$M103=YearFilter),OR(RatingFilter="All",$I103=RatingFilter),OR(TypeFilter="All",$B103=TypeFilter),OR(GenreFilter="All",COUNTIFS(tblGenre[show_id],$A103,tblGenre[Genre],GenreFilter)&gt;0)),1,0)</f>
        <v/>
      </c>
    </row>
    <row r="104" ht="15" customHeight="1" s="20">
      <c r="A104" s="19" t="inlineStr">
        <is>
          <t>s1429</t>
        </is>
      </c>
      <c r="B104" s="19" t="inlineStr">
        <is>
          <t>Movie</t>
        </is>
      </c>
      <c r="C104" s="19" t="inlineStr">
        <is>
          <t>Is Love Enough? Sir</t>
        </is>
      </c>
      <c r="D104" s="19" t="inlineStr">
        <is>
          <t>Rohena Gera</t>
        </is>
      </c>
      <c r="E104" s="19" t="inlineStr">
        <is>
          <t>Tillotama Shome, Vivek Gomber, Geetanjali Kulkarni, Rahul Vohra, Divya Seth, Chandrachoor Rai, Dilnaz Irani, Bhagyashree Pandit, Anupriya Goenka, Rashi Mal</t>
        </is>
      </c>
      <c r="F104" s="19" t="inlineStr">
        <is>
          <t>India, France</t>
        </is>
      </c>
      <c r="G104" s="19" t="inlineStr">
        <is>
          <t>2021-01-08</t>
        </is>
      </c>
      <c r="H104" s="19" t="n">
        <v>2018</v>
      </c>
      <c r="I104" s="19" t="inlineStr">
        <is>
          <t>TV-MA</t>
        </is>
      </c>
      <c r="J104" s="19" t="inlineStr">
        <is>
          <t>99 min</t>
        </is>
      </c>
      <c r="K104" s="19" t="inlineStr">
        <is>
          <t>Dramas, Independent Movies, International Movies</t>
        </is>
      </c>
      <c r="L104" s="19" t="inlineStr">
        <is>
          <t>A young widow is hired as the domestic helper for a wealthy architect, but social divides come to the fore as an unlikely attraction grows between them.</t>
        </is>
      </c>
      <c r="M104" s="19" t="n">
        <v>2021</v>
      </c>
      <c r="N104" s="19">
        <f>IF(AND(OR(YearFilter="All",$M104=YearFilter),OR(RatingFilter="All",$I104=RatingFilter),OR(TypeFilter="All",$B104=TypeFilter),OR(GenreFilter="All",COUNTIFS(tblGenre[show_id],$A104,tblGenre[Genre],GenreFilter)&gt;0)),1,0)</f>
        <v/>
      </c>
    </row>
    <row r="105" ht="15" customHeight="1" s="20">
      <c r="A105" s="19" t="inlineStr">
        <is>
          <t>s1430</t>
        </is>
      </c>
      <c r="B105" s="19" t="inlineStr">
        <is>
          <t>TV Show</t>
        </is>
      </c>
      <c r="C105" s="19" t="inlineStr">
        <is>
          <t>Mighty Little Bheem: Kite Festival</t>
        </is>
      </c>
      <c r="E105" s="19" t="inlineStr">
        <is>
          <t>Sumruddhi Shukla, Aranya Kaur, Nishka Raheja</t>
        </is>
      </c>
      <c r="F105" s="19" t="inlineStr">
        <is>
          <t>India</t>
        </is>
      </c>
      <c r="G105" s="19" t="inlineStr">
        <is>
          <t>2021-01-08</t>
        </is>
      </c>
      <c r="H105" s="19" t="n">
        <v>2021</v>
      </c>
      <c r="I105" s="19" t="inlineStr">
        <is>
          <t>TV-Y</t>
        </is>
      </c>
      <c r="J105" s="19" t="inlineStr">
        <is>
          <t>1 Season</t>
        </is>
      </c>
      <c r="K105" s="19" t="inlineStr">
        <is>
          <t>Kids' TV, TV Comedies</t>
        </is>
      </c>
      <c r="L105" s="19" t="inlineStr">
        <is>
          <t>With winter behind them, Bheem and his townspeople usher in a sunny new season in all their favorite ways during the Makar Sankranti festival.</t>
        </is>
      </c>
      <c r="M105" s="19" t="n">
        <v>2021</v>
      </c>
      <c r="N105" s="19">
        <f>IF(AND(OR(YearFilter="All",$M105=YearFilter),OR(RatingFilter="All",$I105=RatingFilter),OR(TypeFilter="All",$B105=TypeFilter),OR(GenreFilter="All",COUNTIFS(tblGenre[show_id],$A105,tblGenre[Genre],GenreFilter)&gt;0)),1,0)</f>
        <v/>
      </c>
    </row>
    <row r="106" ht="15" customHeight="1" s="20">
      <c r="A106" s="19" t="inlineStr">
        <is>
          <t>s1442</t>
        </is>
      </c>
      <c r="B106" s="19" t="inlineStr">
        <is>
          <t>Movie</t>
        </is>
      </c>
      <c r="C106" s="19" t="inlineStr">
        <is>
          <t>Hello Brother</t>
        </is>
      </c>
      <c r="D106" s="19" t="inlineStr">
        <is>
          <t>Sohail Khan</t>
        </is>
      </c>
      <c r="E106" s="19" t="inlineStr">
        <is>
          <t>Salman Khan, Arbaaz Khan, Rani Mukerji, Johny Lever, Neeraj Vora, Shakti Kapoor, Razak Khan, Sulabha Arya</t>
        </is>
      </c>
      <c r="F106" s="19" t="inlineStr">
        <is>
          <t>India</t>
        </is>
      </c>
      <c r="G106" s="19" t="inlineStr">
        <is>
          <t>2021-01-04</t>
        </is>
      </c>
      <c r="H106" s="19" t="n">
        <v>1999</v>
      </c>
      <c r="I106" s="19" t="inlineStr">
        <is>
          <t>TV-14</t>
        </is>
      </c>
      <c r="J106" s="19" t="inlineStr">
        <is>
          <t>126 min</t>
        </is>
      </c>
      <c r="K106" s="19" t="inlineStr">
        <is>
          <t>Action &amp; Adventure, Comedies, International Movies</t>
        </is>
      </c>
      <c r="L106" s="19" t="inlineStr">
        <is>
          <t>After receiving a heart transplant from a murdered man, a cop is followed around by the victim’s ghost, who won’t rest until his death has been avenged.</t>
        </is>
      </c>
      <c r="M106" s="19" t="n">
        <v>2021</v>
      </c>
      <c r="N106" s="19">
        <f>IF(AND(OR(YearFilter="All",$M106=YearFilter),OR(RatingFilter="All",$I106=RatingFilter),OR(TypeFilter="All",$B106=TypeFilter),OR(GenreFilter="All",COUNTIFS(tblGenre[show_id],$A106,tblGenre[Genre],GenreFilter)&gt;0)),1,0)</f>
        <v/>
      </c>
    </row>
    <row r="107" ht="15" customHeight="1" s="20">
      <c r="A107" s="19" t="inlineStr">
        <is>
          <t>s1473</t>
        </is>
      </c>
      <c r="B107" s="19" t="inlineStr">
        <is>
          <t>Movie</t>
        </is>
      </c>
      <c r="C107" s="19" t="inlineStr">
        <is>
          <t>Bobby Jasoos</t>
        </is>
      </c>
      <c r="D107" s="19" t="inlineStr">
        <is>
          <t>Samar Shaikh</t>
        </is>
      </c>
      <c r="E107" s="19" t="inlineStr">
        <is>
          <t>Vidya Balan, Ali Fazal, Supriya Pathak, Tanvi Azmi, Zarina Wahab, Kiran Kumar, Rajendra Gupta, Arjan Bajwa, Prasad Barve, Aakash Dahiya</t>
        </is>
      </c>
      <c r="F107" s="19" t="inlineStr">
        <is>
          <t>India</t>
        </is>
      </c>
      <c r="G107" s="19" t="inlineStr">
        <is>
          <t>2020-12-31</t>
        </is>
      </c>
      <c r="H107" s="19" t="n">
        <v>2014</v>
      </c>
      <c r="I107" s="19" t="inlineStr">
        <is>
          <t>TV-14</t>
        </is>
      </c>
      <c r="J107" s="19" t="inlineStr">
        <is>
          <t>116 min</t>
        </is>
      </c>
      <c r="K107" s="19" t="inlineStr">
        <is>
          <t>Comedies, Dramas, International Movies</t>
        </is>
      </c>
      <c r="L107" s="19" t="inlineStr">
        <is>
          <t>With unlimited determination and zero field experience, a small-town detective accepts a lucrative case from a mysterious – and suspicious – stranger.</t>
        </is>
      </c>
      <c r="M107" s="19" t="n">
        <v>2020</v>
      </c>
      <c r="N107" s="19">
        <f>IF(AND(OR(YearFilter="All",$M107=YearFilter),OR(RatingFilter="All",$I107=RatingFilter),OR(TypeFilter="All",$B107=TypeFilter),OR(GenreFilter="All",COUNTIFS(tblGenre[show_id],$A107,tblGenre[Genre],GenreFilter)&gt;0)),1,0)</f>
        <v/>
      </c>
    </row>
    <row r="108" ht="15" customHeight="1" s="20">
      <c r="A108" s="19" t="inlineStr">
        <is>
          <t>s1490</t>
        </is>
      </c>
      <c r="B108" s="19" t="inlineStr">
        <is>
          <t>TV Show</t>
        </is>
      </c>
      <c r="C108" s="19" t="inlineStr">
        <is>
          <t>Regiment Diaries</t>
        </is>
      </c>
      <c r="F108" s="19" t="inlineStr">
        <is>
          <t>India</t>
        </is>
      </c>
      <c r="G108" s="19" t="inlineStr">
        <is>
          <t>2020-12-26</t>
        </is>
      </c>
      <c r="H108" s="19" t="n">
        <v>2020</v>
      </c>
      <c r="I108" s="19" t="inlineStr">
        <is>
          <t>TV-PG</t>
        </is>
      </c>
      <c r="J108" s="19" t="inlineStr">
        <is>
          <t>2 Seasons</t>
        </is>
      </c>
      <c r="K108" s="19" t="inlineStr">
        <is>
          <t>Docuseries, International TV Shows</t>
        </is>
      </c>
      <c r="L108" s="19" t="inlineStr">
        <is>
          <t>Historical footage and interviews with soldiers showcase war stories, unique traditions and unifying principles of the Indian Army’s various regiments.</t>
        </is>
      </c>
      <c r="M108" s="19" t="n">
        <v>2020</v>
      </c>
      <c r="N108" s="19">
        <f>IF(AND(OR(YearFilter="All",$M108=YearFilter),OR(RatingFilter="All",$I108=RatingFilter),OR(TypeFilter="All",$B108=TypeFilter),OR(GenreFilter="All",COUNTIFS(tblGenre[show_id],$A108,tblGenre[Genre],GenreFilter)&gt;0)),1,0)</f>
        <v/>
      </c>
    </row>
    <row r="109" ht="15" customHeight="1" s="20">
      <c r="A109" s="19" t="inlineStr">
        <is>
          <t>s1492</t>
        </is>
      </c>
      <c r="B109" s="19" t="inlineStr">
        <is>
          <t>Movie</t>
        </is>
      </c>
      <c r="C109" s="19" t="inlineStr">
        <is>
          <t>AK vs AK</t>
        </is>
      </c>
      <c r="D109" s="19" t="inlineStr">
        <is>
          <t>Vikramaditya Motwane</t>
        </is>
      </c>
      <c r="E109" s="19" t="inlineStr">
        <is>
          <t>Anil Kapoor, Anurag Kashyap</t>
        </is>
      </c>
      <c r="F109" s="19" t="inlineStr">
        <is>
          <t>India</t>
        </is>
      </c>
      <c r="G109" s="19" t="inlineStr">
        <is>
          <t>2020-12-25</t>
        </is>
      </c>
      <c r="H109" s="19" t="n">
        <v>2020</v>
      </c>
      <c r="I109" s="19" t="inlineStr">
        <is>
          <t>TV-MA</t>
        </is>
      </c>
      <c r="J109" s="19" t="inlineStr">
        <is>
          <t>109 min</t>
        </is>
      </c>
      <c r="K109" s="19" t="inlineStr">
        <is>
          <t>Comedies, Dramas, International Movies</t>
        </is>
      </c>
      <c r="L109" s="19" t="inlineStr">
        <is>
          <t>After a public spat with a movie star, a disgraced director retaliates by kidnapping the actor’s daughter, filming the search for her in real time.</t>
        </is>
      </c>
      <c r="M109" s="19" t="n">
        <v>2020</v>
      </c>
      <c r="N109" s="19">
        <f>IF(AND(OR(YearFilter="All",$M109=YearFilter),OR(RatingFilter="All",$I109=RatingFilter),OR(TypeFilter="All",$B109=TypeFilter),OR(GenreFilter="All",COUNTIFS(tblGenre[show_id],$A109,tblGenre[Genre],GenreFilter)&gt;0)),1,0)</f>
        <v/>
      </c>
    </row>
    <row r="110" ht="15" customHeight="1" s="20">
      <c r="A110" s="19" t="inlineStr">
        <is>
          <t>s1521</t>
        </is>
      </c>
      <c r="B110" s="19" t="inlineStr">
        <is>
          <t>TV Show</t>
        </is>
      </c>
      <c r="C110" s="19" t="inlineStr">
        <is>
          <t>Paava Kadhaigal</t>
        </is>
      </c>
      <c r="D110" s="19" t="inlineStr">
        <is>
          <t>Sudha Kongara, Vignesh Shivan, Gautham Vasudev Menon, Vetri Maaran</t>
        </is>
      </c>
      <c r="E110" s="19" t="inlineStr">
        <is>
          <t>Kalidas Jayaram, Shanthnu Bhagyaraj, Bhavani Sre, Kalki Koechlin, Anjali, Padam Kumar, Prakash Raj, Sai Pallavi, Hari, Gautham Vasudev Menon, Simran</t>
        </is>
      </c>
      <c r="F110" s="19" t="inlineStr">
        <is>
          <t>India</t>
        </is>
      </c>
      <c r="G110" s="19" t="inlineStr">
        <is>
          <t>2020-12-18</t>
        </is>
      </c>
      <c r="H110" s="19" t="n">
        <v>2020</v>
      </c>
      <c r="I110" s="19" t="inlineStr">
        <is>
          <t>TV-MA</t>
        </is>
      </c>
      <c r="J110" s="19" t="inlineStr">
        <is>
          <t>1 Season</t>
        </is>
      </c>
      <c r="K110" s="19" t="inlineStr">
        <is>
          <t>International TV Shows, TV Dramas</t>
        </is>
      </c>
      <c r="L110" s="19" t="inlineStr">
        <is>
          <t>At times dark, at times disturbing, four short films explore stories of those who dare to dream and desire — and those determined to stand in their way.</t>
        </is>
      </c>
      <c r="M110" s="19" t="n">
        <v>2020</v>
      </c>
      <c r="N110" s="19">
        <f>IF(AND(OR(YearFilter="All",$M110=YearFilter),OR(RatingFilter="All",$I110=RatingFilter),OR(TypeFilter="All",$B110=TypeFilter),OR(GenreFilter="All",COUNTIFS(tblGenre[show_id],$A110,tblGenre[Genre],GenreFilter)&gt;0)),1,0)</f>
        <v/>
      </c>
    </row>
    <row r="111" ht="15" customHeight="1" s="20">
      <c r="A111" s="19" t="inlineStr">
        <is>
          <t>s1543</t>
        </is>
      </c>
      <c r="B111" s="19" t="inlineStr">
        <is>
          <t>Movie</t>
        </is>
      </c>
      <c r="C111" s="19" t="inlineStr">
        <is>
          <t>Vir Das: Outside In - The Lockdown Special</t>
        </is>
      </c>
      <c r="D111" s="19" t="inlineStr">
        <is>
          <t>Vir Das</t>
        </is>
      </c>
      <c r="E111" s="19" t="inlineStr">
        <is>
          <t>Vir Das</t>
        </is>
      </c>
      <c r="F111" s="19" t="inlineStr">
        <is>
          <t>India</t>
        </is>
      </c>
      <c r="G111" s="19" t="inlineStr">
        <is>
          <t>2020-12-16</t>
        </is>
      </c>
      <c r="H111" s="19" t="n">
        <v>2020</v>
      </c>
      <c r="I111" s="19" t="inlineStr">
        <is>
          <t>TV-MA</t>
        </is>
      </c>
      <c r="J111" s="19" t="inlineStr">
        <is>
          <t>50 min</t>
        </is>
      </c>
      <c r="K111" s="19" t="inlineStr">
        <is>
          <t>Stand-Up Comedy</t>
        </is>
      </c>
      <c r="L111" s="19" t="inlineStr">
        <is>
          <t>Stage banter takes on a different — deeper — meaning as the comedian performs online shows to homebound viewers worldwide from his Mumbai residence.</t>
        </is>
      </c>
      <c r="M111" s="19" t="n">
        <v>2020</v>
      </c>
      <c r="N111" s="19">
        <f>IF(AND(OR(YearFilter="All",$M111=YearFilter),OR(RatingFilter="All",$I111=RatingFilter),OR(TypeFilter="All",$B111=TypeFilter),OR(GenreFilter="All",COUNTIFS(tblGenre[show_id],$A111,tblGenre[Genre],GenreFilter)&gt;0)),1,0)</f>
        <v/>
      </c>
    </row>
    <row r="112" ht="15" customHeight="1" s="20">
      <c r="A112" s="19" t="inlineStr">
        <is>
          <t>s1562</t>
        </is>
      </c>
      <c r="B112" s="19" t="inlineStr">
        <is>
          <t>Movie</t>
        </is>
      </c>
      <c r="C112" s="19" t="inlineStr">
        <is>
          <t>Torbaaz</t>
        </is>
      </c>
      <c r="D112" s="19" t="inlineStr">
        <is>
          <t>Girish Malik</t>
        </is>
      </c>
      <c r="E112" s="19" t="inlineStr">
        <is>
          <t>Sanjay Dutt, Nargis Fakhri, Rahul Dev, Priyanka Verma, Kuwaarjeet Chopraa, Aishan Jawaid Malik, Rahul Mittra, Gavie Chahal, Humayun Shams Khan, Babrak Akbari</t>
        </is>
      </c>
      <c r="F112" s="19" t="inlineStr">
        <is>
          <t>India</t>
        </is>
      </c>
      <c r="G112" s="19" t="inlineStr">
        <is>
          <t>2020-12-11</t>
        </is>
      </c>
      <c r="H112" s="19" t="n">
        <v>2020</v>
      </c>
      <c r="I112" s="19" t="inlineStr">
        <is>
          <t>TV-MA</t>
        </is>
      </c>
      <c r="J112" s="19" t="inlineStr">
        <is>
          <t>133 min</t>
        </is>
      </c>
      <c r="K112" s="19" t="inlineStr">
        <is>
          <t>Dramas, International Movies, Sports Movies</t>
        </is>
      </c>
      <c r="L112" s="19" t="inlineStr">
        <is>
          <t>At an Afghanistan refugee camp, an ex-army doctor seeks to bring children joy through cricket — and soon realizes that the stakes go beyond the sport.</t>
        </is>
      </c>
      <c r="M112" s="19" t="n">
        <v>2020</v>
      </c>
      <c r="N112" s="19">
        <f>IF(AND(OR(YearFilter="All",$M112=YearFilter),OR(RatingFilter="All",$I112=RatingFilter),OR(TypeFilter="All",$B112=TypeFilter),OR(GenreFilter="All",COUNTIFS(tblGenre[show_id],$A112,tblGenre[Genre],GenreFilter)&gt;0)),1,0)</f>
        <v/>
      </c>
    </row>
    <row r="113" ht="15" customHeight="1" s="20">
      <c r="A113" s="19" t="inlineStr">
        <is>
          <t>s1590</t>
        </is>
      </c>
      <c r="B113" s="19" t="inlineStr">
        <is>
          <t>TV Show</t>
        </is>
      </c>
      <c r="C113" s="19" t="inlineStr">
        <is>
          <t>Bhaag Beanie Bhaag</t>
        </is>
      </c>
      <c r="E113" s="19" t="inlineStr">
        <is>
          <t>Swara Bhasker, Dolly Singh, Ravi Patel, Varun Thakur, Mona Ambegaonkar, Girish Kulkarni</t>
        </is>
      </c>
      <c r="F113" s="19" t="inlineStr">
        <is>
          <t>India</t>
        </is>
      </c>
      <c r="G113" s="19" t="inlineStr">
        <is>
          <t>2020-12-04</t>
        </is>
      </c>
      <c r="H113" s="19" t="n">
        <v>2020</v>
      </c>
      <c r="I113" s="19" t="inlineStr">
        <is>
          <t>TV-MA</t>
        </is>
      </c>
      <c r="J113" s="19" t="inlineStr">
        <is>
          <t>1 Season</t>
        </is>
      </c>
      <c r="K113" s="19" t="inlineStr">
        <is>
          <t>International TV Shows, Romantic TV Shows, TV Comedies</t>
        </is>
      </c>
      <c r="L113" s="19" t="inlineStr">
        <is>
          <t>Facing disapproving parents, a knotty love life and her own inner critic, an aspiring comic ditches her cushy but unsatisfying life to pursue stand-up.</t>
        </is>
      </c>
      <c r="M113" s="19" t="n">
        <v>2020</v>
      </c>
      <c r="N113" s="19">
        <f>IF(AND(OR(YearFilter="All",$M113=YearFilter),OR(RatingFilter="All",$I113=RatingFilter),OR(TypeFilter="All",$B113=TypeFilter),OR(GenreFilter="All",COUNTIFS(tblGenre[show_id],$A113,tblGenre[Genre],GenreFilter)&gt;0)),1,0)</f>
        <v/>
      </c>
    </row>
    <row r="114" ht="15" customHeight="1" s="20">
      <c r="A114" s="19" t="inlineStr">
        <is>
          <t>s1619</t>
        </is>
      </c>
      <c r="B114" s="19" t="inlineStr">
        <is>
          <t>TV Show</t>
        </is>
      </c>
      <c r="C114" s="19" t="inlineStr">
        <is>
          <t>Octonauts</t>
        </is>
      </c>
      <c r="E114" s="19" t="inlineStr">
        <is>
          <t>Keith Wickham, Jo Wyatt, Ross Breen, Simon Greenall, Paul Panting, Rob Rackstraw, Teresa Gallagher, Shelley Longworth</t>
        </is>
      </c>
      <c r="F114" s="19" t="inlineStr">
        <is>
          <t>United States, Ireland, United Kingdom, India</t>
        </is>
      </c>
      <c r="G114" s="19" t="inlineStr">
        <is>
          <t>2020-12-01</t>
        </is>
      </c>
      <c r="H114" s="19" t="n">
        <v>2015</v>
      </c>
      <c r="I114" s="19" t="inlineStr">
        <is>
          <t>TV-Y</t>
        </is>
      </c>
      <c r="J114" s="19" t="inlineStr">
        <is>
          <t>4 Seasons</t>
        </is>
      </c>
      <c r="K114" s="19" t="inlineStr">
        <is>
          <t>British TV Shows, Kids' TV</t>
        </is>
      </c>
      <c r="L114" s="19" t="inlineStr">
        <is>
          <t>A team of brave underwater explorers known as the Octonauts combs the world's oceans for aquatic creatures in desperate need of assistance.</t>
        </is>
      </c>
      <c r="M114" s="19" t="n">
        <v>2020</v>
      </c>
      <c r="N114" s="19">
        <f>IF(AND(OR(YearFilter="All",$M114=YearFilter),OR(RatingFilter="All",$I114=RatingFilter),OR(TypeFilter="All",$B114=TypeFilter),OR(GenreFilter="All",COUNTIFS(tblGenre[show_id],$A114,tblGenre[Genre],GenreFilter)&gt;0)),1,0)</f>
        <v/>
      </c>
    </row>
    <row r="115" ht="15" customHeight="1" s="20">
      <c r="A115" s="19" t="inlineStr">
        <is>
          <t>s1639</t>
        </is>
      </c>
      <c r="B115" s="19" t="inlineStr">
        <is>
          <t>TV Show</t>
        </is>
      </c>
      <c r="C115" s="19" t="inlineStr">
        <is>
          <t>Fabulous Lives of Bollywood Wives</t>
        </is>
      </c>
      <c r="F115" s="19" t="inlineStr">
        <is>
          <t>India</t>
        </is>
      </c>
      <c r="G115" s="19" t="inlineStr">
        <is>
          <t>2020-11-27</t>
        </is>
      </c>
      <c r="H115" s="19" t="n">
        <v>2020</v>
      </c>
      <c r="I115" s="19" t="inlineStr">
        <is>
          <t>TV-MA</t>
        </is>
      </c>
      <c r="J115" s="19" t="inlineStr">
        <is>
          <t>1 Season</t>
        </is>
      </c>
      <c r="K115" s="19" t="inlineStr">
        <is>
          <t>International TV Shows, Reality TV</t>
        </is>
      </c>
      <c r="L115" s="19" t="inlineStr">
        <is>
          <t>Cameras follow the banter and bonding between four fun-loving women from Bollywood’s inner circle as they juggle professions, family and friendship.</t>
        </is>
      </c>
      <c r="M115" s="19" t="n">
        <v>2020</v>
      </c>
      <c r="N115" s="19">
        <f>IF(AND(OR(YearFilter="All",$M115=YearFilter),OR(RatingFilter="All",$I115=RatingFilter),OR(TypeFilter="All",$B115=TypeFilter),OR(GenreFilter="All",COUNTIFS(tblGenre[show_id],$A115,tblGenre[Genre],GenreFilter)&gt;0)),1,0)</f>
        <v/>
      </c>
    </row>
    <row r="116" ht="15" customHeight="1" s="20">
      <c r="A116" s="19" t="inlineStr">
        <is>
          <t>s1654</t>
        </is>
      </c>
      <c r="B116" s="19" t="inlineStr">
        <is>
          <t>Movie</t>
        </is>
      </c>
      <c r="C116" s="19" t="inlineStr">
        <is>
          <t>Andhakaaram</t>
        </is>
      </c>
      <c r="D116" s="19" t="inlineStr">
        <is>
          <t>V Vignarajan</t>
        </is>
      </c>
      <c r="E116" s="19" t="inlineStr">
        <is>
          <t>Vinoth Kishan, Arjun Das, Pooja Ramachandran, Kumar Natarajan, Misha Ghoshal, Arul Vincent, Chenthu Mohan, Pradeep Kalipurayath</t>
        </is>
      </c>
      <c r="F116" s="19" t="inlineStr">
        <is>
          <t>India</t>
        </is>
      </c>
      <c r="G116" s="19" t="inlineStr">
        <is>
          <t>2020-11-24</t>
        </is>
      </c>
      <c r="H116" s="19" t="n">
        <v>2020</v>
      </c>
      <c r="I116" s="19" t="inlineStr">
        <is>
          <t>TV-14</t>
        </is>
      </c>
      <c r="J116" s="19" t="inlineStr">
        <is>
          <t>171 min</t>
        </is>
      </c>
      <c r="K116" s="19" t="inlineStr">
        <is>
          <t>Horror Movies, International Movies, Thrillers</t>
        </is>
      </c>
      <c r="L116" s="19" t="inlineStr">
        <is>
          <t>As a blind librarian, dispirited cricketer and desolate psychiatrist each seek retribution and release, their lives overlap under eerie influences.</t>
        </is>
      </c>
      <c r="M116" s="19" t="n">
        <v>2020</v>
      </c>
      <c r="N116" s="19">
        <f>IF(AND(OR(YearFilter="All",$M116=YearFilter),OR(RatingFilter="All",$I116=RatingFilter),OR(TypeFilter="All",$B116=TypeFilter),OR(GenreFilter="All",COUNTIFS(tblGenre[show_id],$A116,tblGenre[Genre],GenreFilter)&gt;0)),1,0)</f>
        <v/>
      </c>
    </row>
    <row r="117" ht="15" customHeight="1" s="20">
      <c r="A117" s="19" t="inlineStr">
        <is>
          <t>s1671</t>
        </is>
      </c>
      <c r="B117" s="19" t="inlineStr">
        <is>
          <t>TV Show</t>
        </is>
      </c>
      <c r="C117" s="19" t="inlineStr">
        <is>
          <t>Mismatched</t>
        </is>
      </c>
      <c r="E117" s="19" t="inlineStr">
        <is>
          <t>Prajakta Koli, Rohit Saraf, Vihaan Samat, Taaruk Raina, Vidya Malavade, Kritika Bharadwaj, Rannvijay Singh, Muskkaan Jaferi, Devyani Shorey, Suhasini Mulay, Abhinav Sharma, Ravin Makhija</t>
        </is>
      </c>
      <c r="F117" s="19" t="inlineStr">
        <is>
          <t>India</t>
        </is>
      </c>
      <c r="G117" s="19" t="inlineStr">
        <is>
          <t>2020-11-20</t>
        </is>
      </c>
      <c r="H117" s="19" t="n">
        <v>2020</v>
      </c>
      <c r="I117" s="19" t="inlineStr">
        <is>
          <t>TV-MA</t>
        </is>
      </c>
      <c r="J117" s="19" t="inlineStr">
        <is>
          <t>1 Season</t>
        </is>
      </c>
      <c r="K117" s="19" t="inlineStr">
        <is>
          <t>International TV Shows, Romantic TV Shows, TV Comedies</t>
        </is>
      </c>
      <c r="L117" s="19" t="inlineStr">
        <is>
          <t>After a disastrous set-up by their families, two teens strike up a tentative friendship at their summer program — but deeper feelings aren’t far behind.</t>
        </is>
      </c>
      <c r="M117" s="19" t="n">
        <v>2020</v>
      </c>
      <c r="N117" s="19">
        <f>IF(AND(OR(YearFilter="All",$M117=YearFilter),OR(RatingFilter="All",$I117=RatingFilter),OR(TypeFilter="All",$B117=TypeFilter),OR(GenreFilter="All",COUNTIFS(tblGenre[show_id],$A117,tblGenre[Genre],GenreFilter)&gt;0)),1,0)</f>
        <v/>
      </c>
    </row>
    <row r="118" ht="15" customHeight="1" s="20">
      <c r="A118" s="19" t="inlineStr">
        <is>
          <t>s1674</t>
        </is>
      </c>
      <c r="B118" s="19" t="inlineStr">
        <is>
          <t>Movie</t>
        </is>
      </c>
      <c r="C118" s="19" t="inlineStr">
        <is>
          <t>Black Friday</t>
        </is>
      </c>
      <c r="D118" s="19" t="inlineStr">
        <is>
          <t>Anurag Kashyap</t>
        </is>
      </c>
      <c r="E118" s="19" t="inlineStr">
        <is>
          <t>Pavan Malhotra, Kay Kay Menon, Aditya Srivastava, Dibyendu Bhattacharya, Kishore Kadam, Gajraj Rao, Zakir Hussain, Imtiaz Ali, Pratima Kazmi, Raj Arjun</t>
        </is>
      </c>
      <c r="F118" s="19" t="inlineStr">
        <is>
          <t>India</t>
        </is>
      </c>
      <c r="G118" s="19" t="inlineStr">
        <is>
          <t>2020-11-19</t>
        </is>
      </c>
      <c r="H118" s="19" t="n">
        <v>2004</v>
      </c>
      <c r="I118" s="19" t="inlineStr">
        <is>
          <t>TV-MA</t>
        </is>
      </c>
      <c r="J118" s="19" t="inlineStr">
        <is>
          <t>162 min</t>
        </is>
      </c>
      <c r="K118" s="19" t="inlineStr">
        <is>
          <t>Dramas, International Movies</t>
        </is>
      </c>
      <c r="L118" s="19" t="inlineStr">
        <is>
          <t>This docudrama based on the same-titled book tracks the aftermath of a 1993 bombing in Bombay through the eyes of a journalist covering the story.</t>
        </is>
      </c>
      <c r="M118" s="19" t="n">
        <v>2020</v>
      </c>
      <c r="N118" s="19">
        <f>IF(AND(OR(YearFilter="All",$M118=YearFilter),OR(RatingFilter="All",$I118=RatingFilter),OR(TypeFilter="All",$B118=TypeFilter),OR(GenreFilter="All",COUNTIFS(tblGenre[show_id],$A118,tblGenre[Genre],GenreFilter)&gt;0)),1,0)</f>
        <v/>
      </c>
    </row>
    <row r="119" ht="15" customHeight="1" s="20">
      <c r="A119" s="19" t="inlineStr">
        <is>
          <t>s1675</t>
        </is>
      </c>
      <c r="B119" s="19" t="inlineStr">
        <is>
          <t>Movie</t>
        </is>
      </c>
      <c r="C119" s="19" t="inlineStr">
        <is>
          <t>Bodyguard</t>
        </is>
      </c>
      <c r="D119" s="19" t="inlineStr">
        <is>
          <t>Siddique</t>
        </is>
      </c>
      <c r="E119" s="19" t="inlineStr">
        <is>
          <t>Salman Khan, Kareena Kapoor, Raj Babbar, Asrani, Vidya Sinha, Hazel Keech, Chetan Hansraj, Salim Baig</t>
        </is>
      </c>
      <c r="F119" s="19" t="inlineStr">
        <is>
          <t>India</t>
        </is>
      </c>
      <c r="G119" s="19" t="inlineStr">
        <is>
          <t>2020-11-19</t>
        </is>
      </c>
      <c r="H119" s="19" t="n">
        <v>2011</v>
      </c>
      <c r="I119" s="19" t="inlineStr">
        <is>
          <t>TV-14</t>
        </is>
      </c>
      <c r="J119" s="19" t="inlineStr">
        <is>
          <t>130 min</t>
        </is>
      </c>
      <c r="K119" s="19" t="inlineStr">
        <is>
          <t>Action &amp; Adventure, Comedies, International Movies</t>
        </is>
      </c>
      <c r="L119" s="19" t="inlineStr">
        <is>
          <t>Irked by her bodyguard, an heiress invents a secret admirer to throw him off his duties, but the plan may backfire when she falls for him.</t>
        </is>
      </c>
      <c r="M119" s="19" t="n">
        <v>2020</v>
      </c>
      <c r="N119" s="19">
        <f>IF(AND(OR(YearFilter="All",$M119=YearFilter),OR(RatingFilter="All",$I119=RatingFilter),OR(TypeFilter="All",$B119=TypeFilter),OR(GenreFilter="All",COUNTIFS(tblGenre[show_id],$A119,tblGenre[Genre],GenreFilter)&gt;0)),1,0)</f>
        <v/>
      </c>
    </row>
    <row r="120" ht="15" customHeight="1" s="20">
      <c r="A120" s="19" t="inlineStr">
        <is>
          <t>s1676</t>
        </is>
      </c>
      <c r="B120" s="19" t="inlineStr">
        <is>
          <t>Movie</t>
        </is>
      </c>
      <c r="C120" s="19" t="inlineStr">
        <is>
          <t>Break Ke Baad</t>
        </is>
      </c>
      <c r="D120" s="19" t="inlineStr">
        <is>
          <t>Danish Aslam</t>
        </is>
      </c>
      <c r="E120" s="19" t="inlineStr">
        <is>
          <t>Imran Khan, Deepika Padukone, Shahana Goswami, Lillete Dubey, Sharmila Tagore, Navin Nischol, Parzan Dastur, Neelu Kohli, Ziyah Vastani, Yudhishtir Urs, Grady McGahan</t>
        </is>
      </c>
      <c r="F120" s="19" t="inlineStr">
        <is>
          <t>India</t>
        </is>
      </c>
      <c r="G120" s="19" t="inlineStr">
        <is>
          <t>2020-11-19</t>
        </is>
      </c>
      <c r="H120" s="19" t="n">
        <v>2010</v>
      </c>
      <c r="I120" s="19" t="inlineStr">
        <is>
          <t>TV-14</t>
        </is>
      </c>
      <c r="J120" s="19" t="inlineStr">
        <is>
          <t>108 min</t>
        </is>
      </c>
      <c r="K120" s="19" t="inlineStr">
        <is>
          <t>Comedies, International Movies, Music &amp; Musicals</t>
        </is>
      </c>
      <c r="L120" s="19" t="inlineStr">
        <is>
          <t>Childhood friends Abhay and Aaliya experience plenty of obstacles in their paths as they find their way in the world and back to each other.</t>
        </is>
      </c>
      <c r="M120" s="19" t="n">
        <v>2020</v>
      </c>
      <c r="N120" s="19">
        <f>IF(AND(OR(YearFilter="All",$M120=YearFilter),OR(RatingFilter="All",$I120=RatingFilter),OR(TypeFilter="All",$B120=TypeFilter),OR(GenreFilter="All",COUNTIFS(tblGenre[show_id],$A120,tblGenre[Genre],GenreFilter)&gt;0)),1,0)</f>
        <v/>
      </c>
    </row>
    <row r="121" ht="15" customHeight="1" s="20">
      <c r="A121" s="19" t="inlineStr">
        <is>
          <t>s1677</t>
        </is>
      </c>
      <c r="B121" s="19" t="inlineStr">
        <is>
          <t>Movie</t>
        </is>
      </c>
      <c r="C121" s="19" t="inlineStr">
        <is>
          <t>Hawaizaada</t>
        </is>
      </c>
      <c r="D121" s="19" t="inlineStr">
        <is>
          <t>Vibhu Virender Puri</t>
        </is>
      </c>
      <c r="E121" s="19" t="inlineStr">
        <is>
          <t>Ayushmann Khurrana, Mithun Chakraborty, Pallavi Sharda, Naman Jain, Jameel Khan</t>
        </is>
      </c>
      <c r="F121" s="19" t="inlineStr">
        <is>
          <t>India</t>
        </is>
      </c>
      <c r="G121" s="19" t="inlineStr">
        <is>
          <t>2020-11-19</t>
        </is>
      </c>
      <c r="H121" s="19" t="n">
        <v>2015</v>
      </c>
      <c r="I121" s="19" t="inlineStr">
        <is>
          <t>TV-14</t>
        </is>
      </c>
      <c r="J121" s="19" t="inlineStr">
        <is>
          <t>129 min</t>
        </is>
      </c>
      <c r="K121" s="19" t="inlineStr">
        <is>
          <t>Dramas, International Movies, Romantic Movies</t>
        </is>
      </c>
      <c r="L121" s="19" t="inlineStr">
        <is>
          <t>In 1895 Mumbai, spirited Indian lad Shiv Talpade defies British rule and sparse funding – and physics – to build the world's first airplane.</t>
        </is>
      </c>
      <c r="M121" s="19" t="n">
        <v>2020</v>
      </c>
      <c r="N121" s="19">
        <f>IF(AND(OR(YearFilter="All",$M121=YearFilter),OR(RatingFilter="All",$I121=RatingFilter),OR(TypeFilter="All",$B121=TypeFilter),OR(GenreFilter="All",COUNTIFS(tblGenre[show_id],$A121,tblGenre[Genre],GenreFilter)&gt;0)),1,0)</f>
        <v/>
      </c>
    </row>
    <row r="122" ht="15" customHeight="1" s="20">
      <c r="A122" s="19" t="inlineStr">
        <is>
          <t>s1679</t>
        </is>
      </c>
      <c r="B122" s="19" t="inlineStr">
        <is>
          <t>Movie</t>
        </is>
      </c>
      <c r="C122" s="19" t="inlineStr">
        <is>
          <t>Raman Raghav 2.0</t>
        </is>
      </c>
      <c r="D122" s="19" t="inlineStr">
        <is>
          <t>Anurag Kashyap</t>
        </is>
      </c>
      <c r="E122" s="19" t="inlineStr">
        <is>
          <t>Nawazuddin Siddiqui, Vicky Kaushal, Sobhita Dhulipala, Mukesh Chhabra, Anuschka Sawhney, Vipin Sharma, Deepali Suryakant Badekar, Ashok Lokhande, Harssh Singh, Rajesh Jais, Hitesh Dave</t>
        </is>
      </c>
      <c r="F122" s="19" t="inlineStr">
        <is>
          <t>India</t>
        </is>
      </c>
      <c r="G122" s="19" t="inlineStr">
        <is>
          <t>2020-11-19</t>
        </is>
      </c>
      <c r="H122" s="19" t="n">
        <v>2016</v>
      </c>
      <c r="I122" s="19" t="inlineStr">
        <is>
          <t>TV-MA</t>
        </is>
      </c>
      <c r="J122" s="19" t="inlineStr">
        <is>
          <t>133 min</t>
        </is>
      </c>
      <c r="K122" s="19" t="inlineStr">
        <is>
          <t>International Movies, Thrillers</t>
        </is>
      </c>
      <c r="L122" s="19" t="inlineStr">
        <is>
          <t>A corrupt cop and a serial killer obsessed with a psychopath from the '60s get caught up in a ruthless cat-and-mouse game in this Indian thriller.</t>
        </is>
      </c>
      <c r="M122" s="19" t="n">
        <v>2020</v>
      </c>
      <c r="N122" s="19">
        <f>IF(AND(OR(YearFilter="All",$M122=YearFilter),OR(RatingFilter="All",$I122=RatingFilter),OR(TypeFilter="All",$B122=TypeFilter),OR(GenreFilter="All",COUNTIFS(tblGenre[show_id],$A122,tblGenre[Genre],GenreFilter)&gt;0)),1,0)</f>
        <v/>
      </c>
    </row>
    <row r="123" ht="15" customHeight="1" s="20">
      <c r="A123" s="19" t="inlineStr">
        <is>
          <t>s1680</t>
        </is>
      </c>
      <c r="B123" s="19" t="inlineStr">
        <is>
          <t>Movie</t>
        </is>
      </c>
      <c r="C123" s="19" t="inlineStr">
        <is>
          <t>Singham</t>
        </is>
      </c>
      <c r="D123" s="19" t="inlineStr">
        <is>
          <t>Rohit Shetty</t>
        </is>
      </c>
      <c r="E123" s="19" t="inlineStr">
        <is>
          <t>Ajay Devgn, Kajal Aggarwal, Prakash Raj, Sonali Kulkarni, Sachin Khedekar, Sudhanshu Pandey, Anant Jog</t>
        </is>
      </c>
      <c r="F123" s="19" t="inlineStr">
        <is>
          <t>India</t>
        </is>
      </c>
      <c r="G123" s="19" t="inlineStr">
        <is>
          <t>2020-11-19</t>
        </is>
      </c>
      <c r="H123" s="19" t="n">
        <v>2011</v>
      </c>
      <c r="I123" s="19" t="inlineStr">
        <is>
          <t>TV-14</t>
        </is>
      </c>
      <c r="J123" s="19" t="inlineStr">
        <is>
          <t>142 min</t>
        </is>
      </c>
      <c r="K123" s="19" t="inlineStr">
        <is>
          <t>Action &amp; Adventure, Dramas, International Movies</t>
        </is>
      </c>
      <c r="L123" s="19" t="inlineStr">
        <is>
          <t>A police inspector kills himself after a powerful gangster frames him for corruption – but soon the thug faces the full force of cop Bajirao Singham.</t>
        </is>
      </c>
      <c r="M123" s="19" t="n">
        <v>2020</v>
      </c>
      <c r="N123" s="19">
        <f>IF(AND(OR(YearFilter="All",$M123=YearFilter),OR(RatingFilter="All",$I123=RatingFilter),OR(TypeFilter="All",$B123=TypeFilter),OR(GenreFilter="All",COUNTIFS(tblGenre[show_id],$A123,tblGenre[Genre],GenreFilter)&gt;0)),1,0)</f>
        <v/>
      </c>
    </row>
    <row r="124" ht="15" customHeight="1" s="20">
      <c r="A124" s="19" t="inlineStr">
        <is>
          <t>s1681</t>
        </is>
      </c>
      <c r="B124" s="19" t="inlineStr">
        <is>
          <t>Movie</t>
        </is>
      </c>
      <c r="C124" s="19" t="inlineStr">
        <is>
          <t>TE3N</t>
        </is>
      </c>
      <c r="D124" s="19" t="inlineStr">
        <is>
          <t>Ribhu Dasgupta</t>
        </is>
      </c>
      <c r="E124" s="19" t="inlineStr">
        <is>
          <t>Amitabh Bachchan, Nawazuddin Siddiqui, Vidya Balan, Mukesh Chhabra, Sabyasachi Chakraborty, Prakash Belawadi, Tota Roy Chowdhury, Padmavati Rao, Suneel Sinha</t>
        </is>
      </c>
      <c r="F124" s="19" t="inlineStr">
        <is>
          <t>India</t>
        </is>
      </c>
      <c r="G124" s="19" t="inlineStr">
        <is>
          <t>2020-11-19</t>
        </is>
      </c>
      <c r="H124" s="19" t="n">
        <v>2016</v>
      </c>
      <c r="I124" s="19" t="inlineStr">
        <is>
          <t>TV-14</t>
        </is>
      </c>
      <c r="J124" s="19" t="inlineStr">
        <is>
          <t>128 min</t>
        </is>
      </c>
      <c r="K124" s="19" t="inlineStr">
        <is>
          <t>Dramas, International Movies, Thrillers</t>
        </is>
      </c>
      <c r="L124" s="19" t="inlineStr">
        <is>
          <t>Still desperate to find his granddaughter nearly a decade after her kidnapping, a devoted grandfather chases a dangerous new lead.</t>
        </is>
      </c>
      <c r="M124" s="19" t="n">
        <v>2020</v>
      </c>
      <c r="N124" s="19">
        <f>IF(AND(OR(YearFilter="All",$M124=YearFilter),OR(RatingFilter="All",$I124=RatingFilter),OR(TypeFilter="All",$B124=TypeFilter),OR(GenreFilter="All",COUNTIFS(tblGenre[show_id],$A124,tblGenre[Genre],GenreFilter)&gt;0)),1,0)</f>
        <v/>
      </c>
    </row>
    <row r="125" ht="15" customHeight="1" s="20">
      <c r="A125" s="19" t="inlineStr">
        <is>
          <t>s1684</t>
        </is>
      </c>
      <c r="B125" s="19" t="inlineStr">
        <is>
          <t>Movie</t>
        </is>
      </c>
      <c r="C125" s="19" t="inlineStr">
        <is>
          <t>Well Done Abba</t>
        </is>
      </c>
      <c r="D125" s="19" t="inlineStr">
        <is>
          <t>Shyam Benegal</t>
        </is>
      </c>
      <c r="E125" s="19" t="inlineStr">
        <is>
          <t>Boman Irani, Minissha Lamba, Sammir Dattani, Ila Arun, Ravi Kishan, Sonali Kulkarni, Rajit Kapoor, Ravi Jhankal, Yashpal Sharma, Rajendra Gupta</t>
        </is>
      </c>
      <c r="F125" s="19" t="inlineStr">
        <is>
          <t>India</t>
        </is>
      </c>
      <c r="G125" s="19" t="inlineStr">
        <is>
          <t>2020-11-19</t>
        </is>
      </c>
      <c r="H125" s="19" t="n">
        <v>2009</v>
      </c>
      <c r="I125" s="19" t="inlineStr">
        <is>
          <t>TV-14</t>
        </is>
      </c>
      <c r="J125" s="19" t="inlineStr">
        <is>
          <t>135 min</t>
        </is>
      </c>
      <c r="K125" s="19" t="inlineStr">
        <is>
          <t>Comedies, International Movies</t>
        </is>
      </c>
      <c r="L125" s="19" t="inlineStr">
        <is>
          <t>On leave in his drought-ridden village to find his daughter a husband, a father becomes mired in the bribery-laced bureaucracy of his local government.</t>
        </is>
      </c>
      <c r="M125" s="19" t="n">
        <v>2020</v>
      </c>
      <c r="N125" s="19">
        <f>IF(AND(OR(YearFilter="All",$M125=YearFilter),OR(RatingFilter="All",$I125=RatingFilter),OR(TypeFilter="All",$B125=TypeFilter),OR(GenreFilter="All",COUNTIFS(tblGenre[show_id],$A125,tblGenre[Genre],GenreFilter)&gt;0)),1,0)</f>
        <v/>
      </c>
    </row>
    <row r="126" ht="15" customHeight="1" s="20">
      <c r="A126" s="19" t="inlineStr">
        <is>
          <t>s1703</t>
        </is>
      </c>
      <c r="B126" s="19" t="inlineStr">
        <is>
          <t>Movie</t>
        </is>
      </c>
      <c r="C126" s="19" t="inlineStr">
        <is>
          <t>Fukrey Boyzzz: Space Mein Fukrapanti</t>
        </is>
      </c>
      <c r="D126" s="19" t="inlineStr">
        <is>
          <t>Avinash Walzade</t>
        </is>
      </c>
      <c r="E126" s="19" t="inlineStr">
        <is>
          <t>Viraaj Modgill, Jasleen Singh, Pooja Punjabi, Amit Deondi, Ketan Kava, Zeel Thakkar, Manish Bhavan, Viswanathan Sridhar</t>
        </is>
      </c>
      <c r="F126" s="19" t="inlineStr">
        <is>
          <t>India</t>
        </is>
      </c>
      <c r="G126" s="19" t="inlineStr">
        <is>
          <t>2020-11-13</t>
        </is>
      </c>
      <c r="H126" s="19" t="n">
        <v>2020</v>
      </c>
      <c r="I126" s="19" t="inlineStr">
        <is>
          <t>TV-Y7</t>
        </is>
      </c>
      <c r="J126" s="19" t="inlineStr">
        <is>
          <t>75 min</t>
        </is>
      </c>
      <c r="K126" s="19" t="inlineStr">
        <is>
          <t>Children &amp; Family Movies, Comedies</t>
        </is>
      </c>
      <c r="L126" s="19" t="inlineStr">
        <is>
          <t>After a foreboding dream about aliens comes true, a fun-loving trio must prevent human intelligence from being stolen from planet Earth.</t>
        </is>
      </c>
      <c r="M126" s="19" t="n">
        <v>2020</v>
      </c>
      <c r="N126" s="19">
        <f>IF(AND(OR(YearFilter="All",$M126=YearFilter),OR(RatingFilter="All",$I126=RatingFilter),OR(TypeFilter="All",$B126=TypeFilter),OR(GenreFilter="All",COUNTIFS(tblGenre[show_id],$A126,tblGenre[Genre],GenreFilter)&gt;0)),1,0)</f>
        <v/>
      </c>
    </row>
    <row r="127" ht="15" customHeight="1" s="20">
      <c r="A127" s="19" t="inlineStr">
        <is>
          <t>s1713</t>
        </is>
      </c>
      <c r="B127" s="19" t="inlineStr">
        <is>
          <t>Movie</t>
        </is>
      </c>
      <c r="C127" s="19" t="inlineStr">
        <is>
          <t>Ludo</t>
        </is>
      </c>
      <c r="D127" s="19" t="inlineStr">
        <is>
          <t>Anurag Basu</t>
        </is>
      </c>
      <c r="E127" s="19" t="inlineStr">
        <is>
          <t>Abhishek Bachchan, Aditya Roy Kapur, Rajkummar Rao, Sanya Malhotra, Fatima Sana Shaikh, Pankaj Tripathi, Rohit Saraf, Shalini Vatsa, Pearle Maaney</t>
        </is>
      </c>
      <c r="F127" s="19" t="inlineStr">
        <is>
          <t>India</t>
        </is>
      </c>
      <c r="G127" s="19" t="inlineStr">
        <is>
          <t>2020-11-12</t>
        </is>
      </c>
      <c r="H127" s="19" t="n">
        <v>2020</v>
      </c>
      <c r="I127" s="19" t="inlineStr">
        <is>
          <t>TV-MA</t>
        </is>
      </c>
      <c r="J127" s="19" t="inlineStr">
        <is>
          <t>150 min</t>
        </is>
      </c>
      <c r="K127" s="19" t="inlineStr">
        <is>
          <t>Comedies, Dramas, International Movies</t>
        </is>
      </c>
      <c r="L127" s="19" t="inlineStr">
        <is>
          <t>From a resurfaced sex tape to a rogue suitcase of money, four wildly different stories overlap at the whims of fate, chance and one eccentric criminal.</t>
        </is>
      </c>
      <c r="M127" s="19" t="n">
        <v>2020</v>
      </c>
      <c r="N127" s="19">
        <f>IF(AND(OR(YearFilter="All",$M127=YearFilter),OR(RatingFilter="All",$I127=RatingFilter),OR(TypeFilter="All",$B127=TypeFilter),OR(GenreFilter="All",COUNTIFS(tblGenre[show_id],$A127,tblGenre[Genre],GenreFilter)&gt;0)),1,0)</f>
        <v/>
      </c>
    </row>
    <row r="128" ht="15" customHeight="1" s="20">
      <c r="A128" s="19" t="inlineStr">
        <is>
          <t>s1742</t>
        </is>
      </c>
      <c r="B128" s="19" t="inlineStr">
        <is>
          <t>Movie</t>
        </is>
      </c>
      <c r="C128" s="19" t="inlineStr">
        <is>
          <t>Miss India</t>
        </is>
      </c>
      <c r="D128" s="19" t="inlineStr">
        <is>
          <t>Narendra Nath</t>
        </is>
      </c>
      <c r="E128" s="19" t="inlineStr">
        <is>
          <t>Keerthy Suresh, Dr. Rajendra Prasad, Jagapathi Babu, V. K. Naresh, Nadhiya, Naveen Chandra, Sumanth Shailendra, Kamal Kamaraju, Praveen, Pujitha Ponnada, Divya Sripada</t>
        </is>
      </c>
      <c r="F128" s="19" t="inlineStr">
        <is>
          <t>India</t>
        </is>
      </c>
      <c r="G128" s="19" t="inlineStr">
        <is>
          <t>2020-11-04</t>
        </is>
      </c>
      <c r="H128" s="19" t="n">
        <v>2020</v>
      </c>
      <c r="I128" s="19" t="inlineStr">
        <is>
          <t>TV-PG</t>
        </is>
      </c>
      <c r="J128" s="19" t="inlineStr">
        <is>
          <t>136 min</t>
        </is>
      </c>
      <c r="K128" s="19" t="inlineStr">
        <is>
          <t>Dramas, International Movies</t>
        </is>
      </c>
      <c r="L128" s="19" t="inlineStr">
        <is>
          <t>Uprooted to America, an aspiring Indian entrepreneur confronts disapproval, sexism and rivalry as she draws from her culture to start a tea business.</t>
        </is>
      </c>
      <c r="M128" s="19" t="n">
        <v>2020</v>
      </c>
      <c r="N128" s="19">
        <f>IF(AND(OR(YearFilter="All",$M128=YearFilter),OR(RatingFilter="All",$I128=RatingFilter),OR(TypeFilter="All",$B128=TypeFilter),OR(GenreFilter="All",COUNTIFS(tblGenre[show_id],$A128,tblGenre[Genre],GenreFilter)&gt;0)),1,0)</f>
        <v/>
      </c>
    </row>
    <row r="129" ht="15" customHeight="1" s="20">
      <c r="A129" s="19" t="inlineStr">
        <is>
          <t>s1778</t>
        </is>
      </c>
      <c r="B129" s="19" t="inlineStr">
        <is>
          <t>Movie</t>
        </is>
      </c>
      <c r="C129" s="19" t="inlineStr">
        <is>
          <t>Kaali Khuhi</t>
        </is>
      </c>
      <c r="D129" s="19" t="inlineStr">
        <is>
          <t>Terrie Samundra</t>
        </is>
      </c>
      <c r="E129" s="19" t="inlineStr">
        <is>
          <t>Shabana Azmi, Leela Samson, Sanjeeda Sheikh, Satyadeep Misra, Riva Arora, Hetvi Bhanushali, Rose Rathod</t>
        </is>
      </c>
      <c r="F129" s="19" t="inlineStr">
        <is>
          <t>India</t>
        </is>
      </c>
      <c r="G129" s="19" t="inlineStr">
        <is>
          <t>2020-10-30</t>
        </is>
      </c>
      <c r="H129" s="19" t="n">
        <v>2020</v>
      </c>
      <c r="I129" s="19" t="inlineStr">
        <is>
          <t>TV-14</t>
        </is>
      </c>
      <c r="J129" s="19" t="inlineStr">
        <is>
          <t>91 min</t>
        </is>
      </c>
      <c r="K129" s="19" t="inlineStr">
        <is>
          <t>Horror Movies, International Movies</t>
        </is>
      </c>
      <c r="L129" s="19" t="inlineStr">
        <is>
          <t>When a restless spirit curses a village that has a history of female infanticide, the town's fate lies in the hands of a 10-year-old girl.</t>
        </is>
      </c>
      <c r="M129" s="19" t="n">
        <v>2020</v>
      </c>
      <c r="N129" s="19">
        <f>IF(AND(OR(YearFilter="All",$M129=YearFilter),OR(RatingFilter="All",$I129=RatingFilter),OR(TypeFilter="All",$B129=TypeFilter),OR(GenreFilter="All",COUNTIFS(tblGenre[show_id],$A129,tblGenre[Genre],GenreFilter)&gt;0)),1,0)</f>
        <v/>
      </c>
    </row>
    <row r="130" ht="15" customHeight="1" s="20">
      <c r="A130" s="19" t="inlineStr">
        <is>
          <t>s1796</t>
        </is>
      </c>
      <c r="B130" s="19" t="inlineStr">
        <is>
          <t>Movie</t>
        </is>
      </c>
      <c r="C130" s="19" t="inlineStr">
        <is>
          <t>Ajab Prem Ki Ghazab Kahani</t>
        </is>
      </c>
      <c r="D130" s="19" t="inlineStr">
        <is>
          <t>Rajkumar Santoshi</t>
        </is>
      </c>
      <c r="E130" s="19" t="inlineStr">
        <is>
          <t>Ranbir Kapoor, Katrina Kaif, Govind Namdeo, Darshan Jariwala, Zakir Hussain, Smita Jaykar, Navneet Nishan, Dolly Bindra, Upen Patel</t>
        </is>
      </c>
      <c r="F130" s="19" t="inlineStr">
        <is>
          <t>India</t>
        </is>
      </c>
      <c r="G130" s="19" t="inlineStr">
        <is>
          <t>2020-10-25</t>
        </is>
      </c>
      <c r="H130" s="19" t="n">
        <v>2009</v>
      </c>
      <c r="I130" s="19" t="inlineStr">
        <is>
          <t>TV-14</t>
        </is>
      </c>
      <c r="J130" s="19" t="inlineStr">
        <is>
          <t>150 min</t>
        </is>
      </c>
      <c r="K130" s="19" t="inlineStr">
        <is>
          <t>Comedies, International Movies, Music &amp; Musicals</t>
        </is>
      </c>
      <c r="L130" s="19" t="inlineStr">
        <is>
          <t>A young man's obsession with making others happy drives him to help the girl he loves marry someone else, then try to win her heart.</t>
        </is>
      </c>
      <c r="M130" s="19" t="n">
        <v>2020</v>
      </c>
      <c r="N130" s="19">
        <f>IF(AND(OR(YearFilter="All",$M130=YearFilter),OR(RatingFilter="All",$I130=RatingFilter),OR(TypeFilter="All",$B130=TypeFilter),OR(GenreFilter="All",COUNTIFS(tblGenre[show_id],$A130,tblGenre[Genre],GenreFilter)&gt;0)),1,0)</f>
        <v/>
      </c>
    </row>
    <row r="131" ht="15" customHeight="1" s="20">
      <c r="A131" s="19" t="inlineStr">
        <is>
          <t>s1843</t>
        </is>
      </c>
      <c r="B131" s="19" t="inlineStr">
        <is>
          <t>Movie</t>
        </is>
      </c>
      <c r="C131" s="19" t="inlineStr">
        <is>
          <t>The Trial of the Chicago 7</t>
        </is>
      </c>
      <c r="D131" s="19" t="inlineStr">
        <is>
          <t>Aaron Sorkin</t>
        </is>
      </c>
      <c r="E131" s="19" t="inlineStr">
        <is>
          <t>Sacha Baron Cohen, Eddie Redmayne, Yahya Abdul-Mateen II, Jeremy Strong, Mark Rylance, Joseph Gordon-Levitt, Michael Keaton, Frank Langella, John Carroll Lynch, Alex Sharp, John Doman, Ben Shenkman</t>
        </is>
      </c>
      <c r="F131" s="19" t="inlineStr">
        <is>
          <t>United States, United Kingdom, India</t>
        </is>
      </c>
      <c r="G131" s="19" t="inlineStr">
        <is>
          <t>2020-10-16</t>
        </is>
      </c>
      <c r="H131" s="19" t="n">
        <v>2020</v>
      </c>
      <c r="I131" s="19" t="inlineStr">
        <is>
          <t>R</t>
        </is>
      </c>
      <c r="J131" s="19" t="inlineStr">
        <is>
          <t>130 min</t>
        </is>
      </c>
      <c r="K131" s="19" t="inlineStr">
        <is>
          <t>Dramas</t>
        </is>
      </c>
      <c r="L131" s="19" t="inlineStr">
        <is>
          <t>What was supposed to be a peaceful protest turned into a violent clash with the police. What followed was one of the most notorious trials in history.</t>
        </is>
      </c>
      <c r="M131" s="19" t="n">
        <v>2020</v>
      </c>
      <c r="N131" s="19">
        <f>IF(AND(OR(YearFilter="All",$M131=YearFilter),OR(RatingFilter="All",$I131=RatingFilter),OR(TypeFilter="All",$B131=TypeFilter),OR(GenreFilter="All",COUNTIFS(tblGenre[show_id],$A131,tblGenre[Genre],GenreFilter)&gt;0)),1,0)</f>
        <v/>
      </c>
    </row>
    <row r="132" ht="15" customHeight="1" s="20">
      <c r="A132" s="19" t="inlineStr">
        <is>
          <t>s1854</t>
        </is>
      </c>
      <c r="B132" s="19" t="inlineStr">
        <is>
          <t>Movie</t>
        </is>
      </c>
      <c r="C132" s="19" t="inlineStr">
        <is>
          <t>Rooting for Roona</t>
        </is>
      </c>
      <c r="D132" s="19" t="inlineStr">
        <is>
          <t>Pavitra Chalam, Akshay Shankar</t>
        </is>
      </c>
      <c r="F132" s="19" t="inlineStr">
        <is>
          <t>India</t>
        </is>
      </c>
      <c r="G132" s="19" t="inlineStr">
        <is>
          <t>2020-10-15</t>
        </is>
      </c>
      <c r="H132" s="19" t="n">
        <v>2020</v>
      </c>
      <c r="I132" s="19" t="inlineStr">
        <is>
          <t>TV-PG</t>
        </is>
      </c>
      <c r="J132" s="19" t="inlineStr">
        <is>
          <t>42 min</t>
        </is>
      </c>
      <c r="K132" s="19" t="inlineStr">
        <is>
          <t>Documentaries, International Movies</t>
        </is>
      </c>
      <c r="L132" s="19" t="inlineStr">
        <is>
          <t>In rural India, a child with hydrocephalus gets a chance at life-changing surgery after her photos go viral. This documentary charts her journey.</t>
        </is>
      </c>
      <c r="M132" s="19" t="n">
        <v>2020</v>
      </c>
      <c r="N132" s="19">
        <f>IF(AND(OR(YearFilter="All",$M132=YearFilter),OR(RatingFilter="All",$I132=RatingFilter),OR(TypeFilter="All",$B132=TypeFilter),OR(GenreFilter="All",COUNTIFS(tblGenre[show_id],$A132,tblGenre[Genre],GenreFilter)&gt;0)),1,0)</f>
        <v/>
      </c>
    </row>
    <row r="133" ht="15" customHeight="1" s="20">
      <c r="A133" s="19" t="inlineStr">
        <is>
          <t>s1859</t>
        </is>
      </c>
      <c r="B133" s="19" t="inlineStr">
        <is>
          <t>Movie</t>
        </is>
      </c>
      <c r="C133" s="19" t="inlineStr">
        <is>
          <t>Fida</t>
        </is>
      </c>
      <c r="D133" s="19" t="inlineStr">
        <is>
          <t>Ken Ghosh</t>
        </is>
      </c>
      <c r="E133" s="19" t="inlineStr">
        <is>
          <t>Fardeen Khan, Kareena Kapoor, Shahid Kapoor, Kim Sharma, Akhilendra Mishra</t>
        </is>
      </c>
      <c r="F133" s="19" t="inlineStr">
        <is>
          <t>India</t>
        </is>
      </c>
      <c r="G133" s="19" t="inlineStr">
        <is>
          <t>2020-10-13</t>
        </is>
      </c>
      <c r="H133" s="19" t="n">
        <v>2004</v>
      </c>
      <c r="I133" s="19" t="inlineStr">
        <is>
          <t>TV-14</t>
        </is>
      </c>
      <c r="J133" s="19" t="inlineStr">
        <is>
          <t>117 min</t>
        </is>
      </c>
      <c r="K133" s="19" t="inlineStr">
        <is>
          <t>International Movies, Romantic Movies, Thrillers</t>
        </is>
      </c>
      <c r="L133" s="19" t="inlineStr">
        <is>
          <t>An all-around nice guy finds himself in a dangerous situation after he makes the ultimate sacrifice for the woman he loves in this drama.</t>
        </is>
      </c>
      <c r="M133" s="19" t="n">
        <v>2020</v>
      </c>
      <c r="N133" s="19">
        <f>IF(AND(OR(YearFilter="All",$M133=YearFilter),OR(RatingFilter="All",$I133=RatingFilter),OR(TypeFilter="All",$B133=TypeFilter),OR(GenreFilter="All",COUNTIFS(tblGenre[show_id],$A133,tblGenre[Genre],GenreFilter)&gt;0)),1,0)</f>
        <v/>
      </c>
    </row>
    <row r="134" ht="15" customHeight="1" s="20">
      <c r="A134" s="19" t="inlineStr">
        <is>
          <t>s1862</t>
        </is>
      </c>
      <c r="B134" s="19" t="inlineStr">
        <is>
          <t>Movie</t>
        </is>
      </c>
      <c r="C134" s="19" t="inlineStr">
        <is>
          <t>Dil</t>
        </is>
      </c>
      <c r="D134" s="19" t="inlineStr">
        <is>
          <t>Indra Kumar</t>
        </is>
      </c>
      <c r="E134" s="19" t="inlineStr">
        <is>
          <t>Aamir Khan, Madhuri Dixit, Saeed Jaffrey, Deven Verma, Anupam Kher, Shammi, Padma Rani, Rajesh Puri, Satyendra Kapoor</t>
        </is>
      </c>
      <c r="F134" s="19" t="inlineStr">
        <is>
          <t>India</t>
        </is>
      </c>
      <c r="G134" s="19" t="inlineStr">
        <is>
          <t>2020-10-12</t>
        </is>
      </c>
      <c r="H134" s="19" t="n">
        <v>1990</v>
      </c>
      <c r="I134" s="19" t="inlineStr">
        <is>
          <t>TV-14</t>
        </is>
      </c>
      <c r="J134" s="19" t="inlineStr">
        <is>
          <t>165 min</t>
        </is>
      </c>
      <c r="K134" s="19" t="inlineStr">
        <is>
          <t>Comedies, Dramas, International Movies</t>
        </is>
      </c>
      <c r="L134" s="19" t="inlineStr">
        <is>
          <t>A miser’s scheme to set his son up with a millionaire’s daughter backfires when the two actually fall in love — just as his sly charade is revealed.</t>
        </is>
      </c>
      <c r="M134" s="19" t="n">
        <v>2020</v>
      </c>
      <c r="N134" s="19">
        <f>IF(AND(OR(YearFilter="All",$M134=YearFilter),OR(RatingFilter="All",$I134=RatingFilter),OR(TypeFilter="All",$B134=TypeFilter),OR(GenreFilter="All",COUNTIFS(tblGenre[show_id],$A134,tblGenre[Genre],GenreFilter)&gt;0)),1,0)</f>
        <v/>
      </c>
    </row>
    <row r="135" ht="15" customHeight="1" s="20">
      <c r="A135" s="19" t="inlineStr">
        <is>
          <t>s1863</t>
        </is>
      </c>
      <c r="B135" s="19" t="inlineStr">
        <is>
          <t>Movie</t>
        </is>
      </c>
      <c r="C135" s="19" t="inlineStr">
        <is>
          <t>Disco Dancer</t>
        </is>
      </c>
      <c r="D135" s="19" t="inlineStr">
        <is>
          <t>B. Subhash</t>
        </is>
      </c>
      <c r="E135" s="19" t="inlineStr">
        <is>
          <t>Mithun Chakraborty, Kim, Kalpana Iyer, Om Puri, Gita Siddharth, Yusuf Khan, Bob Christo, Om Shivpuri, Karan Razdan</t>
        </is>
      </c>
      <c r="F135" s="19" t="inlineStr">
        <is>
          <t>India</t>
        </is>
      </c>
      <c r="G135" s="19" t="inlineStr">
        <is>
          <t>2020-10-12</t>
        </is>
      </c>
      <c r="H135" s="19" t="n">
        <v>1982</v>
      </c>
      <c r="I135" s="19" t="inlineStr">
        <is>
          <t>TV-14</t>
        </is>
      </c>
      <c r="J135" s="19" t="inlineStr">
        <is>
          <t>134 min</t>
        </is>
      </c>
      <c r="K135" s="19" t="inlineStr">
        <is>
          <t>Cult Movies, Dramas, International Movies</t>
        </is>
      </c>
      <c r="L135" s="19" t="inlineStr">
        <is>
          <t>A poor boy grows up to be a famous disco dancer, hoping to use his art to exact revenge on the millionaire who once framed him and his mother for theft.</t>
        </is>
      </c>
      <c r="M135" s="19" t="n">
        <v>2020</v>
      </c>
      <c r="N135" s="19">
        <f>IF(AND(OR(YearFilter="All",$M135=YearFilter),OR(RatingFilter="All",$I135=RatingFilter),OR(TypeFilter="All",$B135=TypeFilter),OR(GenreFilter="All",COUNTIFS(tblGenre[show_id],$A135,tblGenre[Genre],GenreFilter)&gt;0)),1,0)</f>
        <v/>
      </c>
    </row>
    <row r="136" ht="15" customHeight="1" s="20">
      <c r="A136" s="19" t="inlineStr">
        <is>
          <t>s1864</t>
        </is>
      </c>
      <c r="B136" s="19" t="inlineStr">
        <is>
          <t>Movie</t>
        </is>
      </c>
      <c r="C136" s="19" t="inlineStr">
        <is>
          <t>Hunterrr</t>
        </is>
      </c>
      <c r="D136" s="19" t="inlineStr">
        <is>
          <t>Harshavardhan Kulkarni</t>
        </is>
      </c>
      <c r="E136" s="19" t="inlineStr">
        <is>
          <t>Gulshan Devaiah, Radhika Apte, Sai Tamhankar, Veera Saxena, Sagar Deshmukh</t>
        </is>
      </c>
      <c r="F136" s="19" t="inlineStr">
        <is>
          <t>India</t>
        </is>
      </c>
      <c r="G136" s="19" t="inlineStr">
        <is>
          <t>2020-10-12</t>
        </is>
      </c>
      <c r="H136" s="19" t="n">
        <v>2015</v>
      </c>
      <c r="I136" s="19" t="inlineStr">
        <is>
          <t>TV-MA</t>
        </is>
      </c>
      <c r="J136" s="19" t="inlineStr">
        <is>
          <t>140 min</t>
        </is>
      </c>
      <c r="K136" s="19" t="inlineStr">
        <is>
          <t>Comedies, International Movies, Romantic Movies</t>
        </is>
      </c>
      <c r="L136" s="19" t="inlineStr">
        <is>
          <t>A sex-obsessed young man tries to put his past behind him when he falls for an extraordinary woman who makes him want to change his lifestyle.</t>
        </is>
      </c>
      <c r="M136" s="19" t="n">
        <v>2020</v>
      </c>
      <c r="N136" s="19">
        <f>IF(AND(OR(YearFilter="All",$M136=YearFilter),OR(RatingFilter="All",$I136=RatingFilter),OR(TypeFilter="All",$B136=TypeFilter),OR(GenreFilter="All",COUNTIFS(tblGenre[show_id],$A136,tblGenre[Genre],GenreFilter)&gt;0)),1,0)</f>
        <v/>
      </c>
    </row>
    <row r="137" ht="15" customHeight="1" s="20">
      <c r="A137" s="19" t="inlineStr">
        <is>
          <t>s1866</t>
        </is>
      </c>
      <c r="B137" s="19" t="inlineStr">
        <is>
          <t>Movie</t>
        </is>
      </c>
      <c r="C137" s="19" t="inlineStr">
        <is>
          <t>Phir Hera Pheri</t>
        </is>
      </c>
      <c r="D137" s="19" t="inlineStr">
        <is>
          <t>Neeraj Vora</t>
        </is>
      </c>
      <c r="E137" s="19" t="inlineStr">
        <is>
          <t>Akshay Kumar, Sunil Shetty, Paresh Rawal, Bipasha Basu, Rimi Sen, Johny Lever, Manoj Joshi, Rajpal Yadav, Sharat Saxena, Suresh Menon</t>
        </is>
      </c>
      <c r="F137" s="19" t="inlineStr">
        <is>
          <t>India</t>
        </is>
      </c>
      <c r="G137" s="19" t="inlineStr">
        <is>
          <t>2020-10-12</t>
        </is>
      </c>
      <c r="H137" s="19" t="n">
        <v>2006</v>
      </c>
      <c r="I137" s="19" t="inlineStr">
        <is>
          <t>TV-14</t>
        </is>
      </c>
      <c r="J137" s="19" t="inlineStr">
        <is>
          <t>150 min</t>
        </is>
      </c>
      <c r="K137" s="19" t="inlineStr">
        <is>
          <t>Comedies, International Movies</t>
        </is>
      </c>
      <c r="L137" s="19" t="inlineStr">
        <is>
          <t>Driven by greed, three rich friends seek to double their wealth and find themselves indebted to a ruthless gangster.</t>
        </is>
      </c>
      <c r="M137" s="19" t="n">
        <v>2020</v>
      </c>
      <c r="N137" s="19">
        <f>IF(AND(OR(YearFilter="All",$M137=YearFilter),OR(RatingFilter="All",$I137=RatingFilter),OR(TypeFilter="All",$B137=TypeFilter),OR(GenreFilter="All",COUNTIFS(tblGenre[show_id],$A137,tblGenre[Genre],GenreFilter)&gt;0)),1,0)</f>
        <v/>
      </c>
    </row>
    <row r="138" ht="15" customHeight="1" s="20">
      <c r="A138" s="19" t="inlineStr">
        <is>
          <t>s1867</t>
        </is>
      </c>
      <c r="B138" s="19" t="inlineStr">
        <is>
          <t>Movie</t>
        </is>
      </c>
      <c r="C138" s="19" t="inlineStr">
        <is>
          <t>The Legend of Bhagat Singh</t>
        </is>
      </c>
      <c r="D138" s="19" t="inlineStr">
        <is>
          <t>Rajkumar Santoshi</t>
        </is>
      </c>
      <c r="E138" s="19" t="inlineStr">
        <is>
          <t>Ajay Devgn, Sushant Singh, D. Santosh, Akhilendra Mishra, Raj Babbar, Farida Jalal, Amrita Rao, Mukesh Tiwari</t>
        </is>
      </c>
      <c r="F138" s="19" t="inlineStr">
        <is>
          <t>India</t>
        </is>
      </c>
      <c r="G138" s="19" t="inlineStr">
        <is>
          <t>2020-10-12</t>
        </is>
      </c>
      <c r="H138" s="19" t="n">
        <v>2002</v>
      </c>
      <c r="I138" s="19" t="inlineStr">
        <is>
          <t>TV-14</t>
        </is>
      </c>
      <c r="J138" s="19" t="inlineStr">
        <is>
          <t>156 min</t>
        </is>
      </c>
      <c r="K138" s="19" t="inlineStr">
        <is>
          <t>Dramas, International Movies</t>
        </is>
      </c>
      <c r="L138" s="19" t="inlineStr">
        <is>
          <t>This biopic chronicles the life and times of iconic Indian revolutionary Bhagat Singh, who led an armed resistance against the British in the 1920.</t>
        </is>
      </c>
      <c r="M138" s="19" t="n">
        <v>2020</v>
      </c>
      <c r="N138" s="19">
        <f>IF(AND(OR(YearFilter="All",$M138=YearFilter),OR(RatingFilter="All",$I138=RatingFilter),OR(TypeFilter="All",$B138=TypeFilter),OR(GenreFilter="All",COUNTIFS(tblGenre[show_id],$A138,tblGenre[Genre],GenreFilter)&gt;0)),1,0)</f>
        <v/>
      </c>
    </row>
    <row r="139" ht="15" customHeight="1" s="20">
      <c r="A139" s="19" t="inlineStr">
        <is>
          <t>s1870</t>
        </is>
      </c>
      <c r="B139" s="19" t="inlineStr">
        <is>
          <t>Movie</t>
        </is>
      </c>
      <c r="C139" s="19" t="inlineStr">
        <is>
          <t>Ginny Weds Sunny</t>
        </is>
      </c>
      <c r="D139" s="19" t="inlineStr">
        <is>
          <t>Puneet Khanna</t>
        </is>
      </c>
      <c r="E139" s="19" t="inlineStr">
        <is>
          <t>Yami Gautam, Vikrant Massey, Suhail Nayyar, Ayesha Raza Mishra, Isha Talwar, Rajeev Gupta</t>
        </is>
      </c>
      <c r="F139" s="19" t="inlineStr">
        <is>
          <t>India</t>
        </is>
      </c>
      <c r="G139" s="19" t="inlineStr">
        <is>
          <t>2020-10-09</t>
        </is>
      </c>
      <c r="H139" s="19" t="n">
        <v>2020</v>
      </c>
      <c r="I139" s="19" t="inlineStr">
        <is>
          <t>TV-MA</t>
        </is>
      </c>
      <c r="J139" s="19" t="inlineStr">
        <is>
          <t>126 min</t>
        </is>
      </c>
      <c r="K139" s="19" t="inlineStr">
        <is>
          <t>Comedies, International Movies, Romantic Movies</t>
        </is>
      </c>
      <c r="L139" s="19" t="inlineStr">
        <is>
          <t>Eager to marry but constantly rejected by women, a bachelor hopes to win over a former crush by accepting help from an unlikely source: her mother.</t>
        </is>
      </c>
      <c r="M139" s="19" t="n">
        <v>2020</v>
      </c>
      <c r="N139" s="19">
        <f>IF(AND(OR(YearFilter="All",$M139=YearFilter),OR(RatingFilter="All",$I139=RatingFilter),OR(TypeFilter="All",$B139=TypeFilter),OR(GenreFilter="All",COUNTIFS(tblGenre[show_id],$A139,tblGenre[Genre],GenreFilter)&gt;0)),1,0)</f>
        <v/>
      </c>
    </row>
    <row r="140" ht="15" customHeight="1" s="20">
      <c r="A140" s="19" t="inlineStr">
        <is>
          <t>s1886</t>
        </is>
      </c>
      <c r="B140" s="19" t="inlineStr">
        <is>
          <t>TV Show</t>
        </is>
      </c>
      <c r="C140" s="19" t="inlineStr">
        <is>
          <t>Bad Boy Billionaires: India</t>
        </is>
      </c>
      <c r="F140" s="19" t="inlineStr">
        <is>
          <t>India</t>
        </is>
      </c>
      <c r="G140" s="19" t="inlineStr">
        <is>
          <t>2020-10-05</t>
        </is>
      </c>
      <c r="H140" s="19" t="n">
        <v>2020</v>
      </c>
      <c r="I140" s="19" t="inlineStr">
        <is>
          <t>TV-14</t>
        </is>
      </c>
      <c r="J140" s="19" t="inlineStr">
        <is>
          <t>1 Season</t>
        </is>
      </c>
      <c r="K140" s="19" t="inlineStr">
        <is>
          <t>British TV Shows, Docuseries, International TV Shows</t>
        </is>
      </c>
      <c r="L140" s="19" t="inlineStr">
        <is>
          <t>This investigative docuseries explores the greed, fraud and corruption that built up — and ultimately brought down — India’s most infamous tycoons.</t>
        </is>
      </c>
      <c r="M140" s="19" t="n">
        <v>2020</v>
      </c>
      <c r="N140" s="19">
        <f>IF(AND(OR(YearFilter="All",$M140=YearFilter),OR(RatingFilter="All",$I140=RatingFilter),OR(TypeFilter="All",$B140=TypeFilter),OR(GenreFilter="All",COUNTIFS(tblGenre[show_id],$A140,tblGenre[Genre],GenreFilter)&gt;0)),1,0)</f>
        <v/>
      </c>
    </row>
    <row r="141" ht="15" customHeight="1" s="20">
      <c r="A141" s="19" t="inlineStr">
        <is>
          <t>s1898</t>
        </is>
      </c>
      <c r="B141" s="19" t="inlineStr">
        <is>
          <t>Movie</t>
        </is>
      </c>
      <c r="C141" s="19" t="inlineStr">
        <is>
          <t>Serious Men</t>
        </is>
      </c>
      <c r="D141" s="19" t="inlineStr">
        <is>
          <t>Sudhir Mishra</t>
        </is>
      </c>
      <c r="E141" s="19" t="inlineStr">
        <is>
          <t>Nawazuddin Siddiqui, Nasser, Aakshath Das, Indira Tiwari, Sanjay Narvekar, Shweta Basu Prasad</t>
        </is>
      </c>
      <c r="F141" s="19" t="inlineStr">
        <is>
          <t>India</t>
        </is>
      </c>
      <c r="G141" s="19" t="inlineStr">
        <is>
          <t>2020-10-02</t>
        </is>
      </c>
      <c r="H141" s="19" t="n">
        <v>2020</v>
      </c>
      <c r="I141" s="19" t="inlineStr">
        <is>
          <t>TV-MA</t>
        </is>
      </c>
      <c r="J141" s="19" t="inlineStr">
        <is>
          <t>115 min</t>
        </is>
      </c>
      <c r="K141" s="19" t="inlineStr">
        <is>
          <t>Comedies, Dramas, International Movies</t>
        </is>
      </c>
      <c r="L141" s="19" t="inlineStr">
        <is>
          <t>When a slum dweller spins a web of lies in pursuit of the upward mobility he has long craved, his ruse could be especially dangerous for his young son.</t>
        </is>
      </c>
      <c r="M141" s="19" t="n">
        <v>2020</v>
      </c>
      <c r="N141" s="19">
        <f>IF(AND(OR(YearFilter="All",$M141=YearFilter),OR(RatingFilter="All",$I141=RatingFilter),OR(TypeFilter="All",$B141=TypeFilter),OR(GenreFilter="All",COUNTIFS(tblGenre[show_id],$A141,tblGenre[Genre],GenreFilter)&gt;0)),1,0)</f>
        <v/>
      </c>
    </row>
    <row r="142" ht="15" customHeight="1" s="20">
      <c r="A142" s="19" t="inlineStr">
        <is>
          <t>s1939</t>
        </is>
      </c>
      <c r="B142" s="19" t="inlineStr">
        <is>
          <t>Movie</t>
        </is>
      </c>
      <c r="C142" s="19" t="inlineStr">
        <is>
          <t>Ankhon Dekhi</t>
        </is>
      </c>
      <c r="D142" s="19" t="inlineStr">
        <is>
          <t>Rajat Kapoor</t>
        </is>
      </c>
      <c r="E142" s="19" t="inlineStr">
        <is>
          <t>Sanjay Mishra, Seema Pahwa, Rajat Kapoor, Taranjit Kaur, Maya Sarao, Chandrachoor Rai, Namit Das, Brijendra Kala, Alka Chawla, Manu Rishi Chadha</t>
        </is>
      </c>
      <c r="F142" s="19" t="inlineStr">
        <is>
          <t>India</t>
        </is>
      </c>
      <c r="G142" s="19" t="inlineStr">
        <is>
          <t>2020-09-28</t>
        </is>
      </c>
      <c r="H142" s="19" t="n">
        <v>2013</v>
      </c>
      <c r="I142" s="19" t="inlineStr">
        <is>
          <t>TV-PG</t>
        </is>
      </c>
      <c r="J142" s="19" t="inlineStr">
        <is>
          <t>104 min</t>
        </is>
      </c>
      <c r="K142" s="19" t="inlineStr">
        <is>
          <t>Dramas, Independent Movies, International Movies</t>
        </is>
      </c>
      <c r="L142" s="19" t="inlineStr">
        <is>
          <t>After a distressing incident, a Delhi man vows to believe only what he can see, but his new ideals soon take his life in extreme directions.</t>
        </is>
      </c>
      <c r="M142" s="19" t="n">
        <v>2020</v>
      </c>
      <c r="N142" s="19">
        <f>IF(AND(OR(YearFilter="All",$M142=YearFilter),OR(RatingFilter="All",$I142=RatingFilter),OR(TypeFilter="All",$B142=TypeFilter),OR(GenreFilter="All",COUNTIFS(tblGenre[show_id],$A142,tblGenre[Genre],GenreFilter)&gt;0)),1,0)</f>
        <v/>
      </c>
    </row>
    <row r="143" ht="15" customHeight="1" s="20">
      <c r="A143" s="19" t="inlineStr">
        <is>
          <t>s1940</t>
        </is>
      </c>
      <c r="B143" s="19" t="inlineStr">
        <is>
          <t>Movie</t>
        </is>
      </c>
      <c r="C143" s="19" t="inlineStr">
        <is>
          <t>Dedh Ishqiya</t>
        </is>
      </c>
      <c r="D143" s="19" t="inlineStr">
        <is>
          <t>Abhishek Chaubey</t>
        </is>
      </c>
      <c r="E143" s="19" t="inlineStr">
        <is>
          <t>Naseeruddin Shah, Madhuri Dixit, Arshad Warsi, Huma Qureshi, Vijay Raaz, Manoj Pahwa, Salman Shahid</t>
        </is>
      </c>
      <c r="F143" s="19" t="inlineStr">
        <is>
          <t>India</t>
        </is>
      </c>
      <c r="G143" s="19" t="inlineStr">
        <is>
          <t>2020-09-28</t>
        </is>
      </c>
      <c r="H143" s="19" t="n">
        <v>2014</v>
      </c>
      <c r="I143" s="19" t="inlineStr">
        <is>
          <t>TV-14</t>
        </is>
      </c>
      <c r="J143" s="19" t="inlineStr">
        <is>
          <t>146 min</t>
        </is>
      </c>
      <c r="K143" s="19" t="inlineStr">
        <is>
          <t>Comedies, Dramas, International Movies</t>
        </is>
      </c>
      <c r="L143" s="19" t="inlineStr">
        <is>
          <t>After failing to win the heart of an aristocrat's widow, a thief plans to abduct her, only to discover that there are others with the same idea.</t>
        </is>
      </c>
      <c r="M143" s="19" t="n">
        <v>2020</v>
      </c>
      <c r="N143" s="19">
        <f>IF(AND(OR(YearFilter="All",$M143=YearFilter),OR(RatingFilter="All",$I143=RatingFilter),OR(TypeFilter="All",$B143=TypeFilter),OR(GenreFilter="All",COUNTIFS(tblGenre[show_id],$A143,tblGenre[Genre],GenreFilter)&gt;0)),1,0)</f>
        <v/>
      </c>
    </row>
    <row r="144" ht="15" customHeight="1" s="20">
      <c r="A144" s="19" t="inlineStr">
        <is>
          <t>s1941</t>
        </is>
      </c>
      <c r="B144" s="19" t="inlineStr">
        <is>
          <t>Movie</t>
        </is>
      </c>
      <c r="C144" s="19" t="inlineStr">
        <is>
          <t>Golmaal Returns</t>
        </is>
      </c>
      <c r="D144" s="19" t="inlineStr">
        <is>
          <t>Rohit Shetty</t>
        </is>
      </c>
      <c r="E144" s="19" t="inlineStr">
        <is>
          <t>Ajay Devgn, Kareena Kapoor, Arshad Warsi, Tusshar Kapoor, Shreyas Talpade, Celina Jaitly, Amrita Arora, Anjana Sukhani</t>
        </is>
      </c>
      <c r="F144" s="19" t="inlineStr">
        <is>
          <t>India</t>
        </is>
      </c>
      <c r="G144" s="19" t="inlineStr">
        <is>
          <t>2020-09-28</t>
        </is>
      </c>
      <c r="H144" s="19" t="n">
        <v>2008</v>
      </c>
      <c r="I144" s="19" t="inlineStr">
        <is>
          <t>TV-MA</t>
        </is>
      </c>
      <c r="J144" s="19" t="inlineStr">
        <is>
          <t>135 min</t>
        </is>
      </c>
      <c r="K144" s="19" t="inlineStr">
        <is>
          <t>Comedies, International Movies, Music &amp; Musicals</t>
        </is>
      </c>
      <c r="L144" s="19" t="inlineStr">
        <is>
          <t>A man's relationship with his jealous wife enters choppy waters after he has to spend a night on a yacht with a woman he's rescued from gangsters.</t>
        </is>
      </c>
      <c r="M144" s="19" t="n">
        <v>2020</v>
      </c>
      <c r="N144" s="19">
        <f>IF(AND(OR(YearFilter="All",$M144=YearFilter),OR(RatingFilter="All",$I144=RatingFilter),OR(TypeFilter="All",$B144=TypeFilter),OR(GenreFilter="All",COUNTIFS(tblGenre[show_id],$A144,tblGenre[Genre],GenreFilter)&gt;0)),1,0)</f>
        <v/>
      </c>
    </row>
    <row r="145" ht="15" customHeight="1" s="20">
      <c r="A145" s="19" t="inlineStr">
        <is>
          <t>s1942</t>
        </is>
      </c>
      <c r="B145" s="19" t="inlineStr">
        <is>
          <t>Movie</t>
        </is>
      </c>
      <c r="C145" s="19" t="inlineStr">
        <is>
          <t>Ishq Vishk</t>
        </is>
      </c>
      <c r="D145" s="19" t="inlineStr">
        <is>
          <t>Ken Ghosh</t>
        </is>
      </c>
      <c r="E145" s="19" t="inlineStr">
        <is>
          <t>Shahid Kapoor, Amrita Rao, Shenaz Treasury, Vishal Malhotra, Kapil Jhaveri, Shabhir, Deepti Gujral, Yash Tonk, Satish Shah, Neelima Azim</t>
        </is>
      </c>
      <c r="F145" s="19" t="inlineStr">
        <is>
          <t>India</t>
        </is>
      </c>
      <c r="G145" s="19" t="inlineStr">
        <is>
          <t>2020-09-28</t>
        </is>
      </c>
      <c r="H145" s="19" t="n">
        <v>2003</v>
      </c>
      <c r="I145" s="19" t="inlineStr">
        <is>
          <t>TV-PG</t>
        </is>
      </c>
      <c r="J145" s="19" t="inlineStr">
        <is>
          <t>129 min</t>
        </is>
      </c>
      <c r="K145" s="19" t="inlineStr">
        <is>
          <t>Comedies, International Movies, Music &amp; Musicals</t>
        </is>
      </c>
      <c r="L145" s="19" t="inlineStr">
        <is>
          <t>When the duplicitous Rajiv expresses his love for Payal, a cruel lie kicks off a story of self-discovery and unexpected romance.</t>
        </is>
      </c>
      <c r="M145" s="19" t="n">
        <v>2020</v>
      </c>
      <c r="N145" s="19">
        <f>IF(AND(OR(YearFilter="All",$M145=YearFilter),OR(RatingFilter="All",$I145=RatingFilter),OR(TypeFilter="All",$B145=TypeFilter),OR(GenreFilter="All",COUNTIFS(tblGenre[show_id],$A145,tblGenre[Genre],GenreFilter)&gt;0)),1,0)</f>
        <v/>
      </c>
    </row>
    <row r="146" ht="15" customHeight="1" s="20">
      <c r="A146" s="19" t="inlineStr">
        <is>
          <t>s1943</t>
        </is>
      </c>
      <c r="B146" s="19" t="inlineStr">
        <is>
          <t>Movie</t>
        </is>
      </c>
      <c r="C146" s="19" t="inlineStr">
        <is>
          <t>Ishqiya</t>
        </is>
      </c>
      <c r="D146" s="19" t="inlineStr">
        <is>
          <t>Abhishek Chaubey</t>
        </is>
      </c>
      <c r="E146" s="19" t="inlineStr">
        <is>
          <t>Naseeruddin Shah, Vidya Balan, Arshad Warsi, Salman Shahid, Anupama Kumar</t>
        </is>
      </c>
      <c r="F146" s="19" t="inlineStr">
        <is>
          <t>India</t>
        </is>
      </c>
      <c r="G146" s="19" t="inlineStr">
        <is>
          <t>2020-09-28</t>
        </is>
      </c>
      <c r="H146" s="19" t="n">
        <v>2009</v>
      </c>
      <c r="I146" s="19" t="inlineStr">
        <is>
          <t>TV-14</t>
        </is>
      </c>
      <c r="J146" s="19" t="inlineStr">
        <is>
          <t>115 min</t>
        </is>
      </c>
      <c r="K146" s="19" t="inlineStr">
        <is>
          <t>Comedies, International Movies, Romantic Movies</t>
        </is>
      </c>
      <c r="L146" s="19" t="inlineStr">
        <is>
          <t>A deceitful woman seduces two of her late husband’s crooked friends into helping her hatch a nefarious kidnapping plot for a hefty ransom.</t>
        </is>
      </c>
      <c r="M146" s="19" t="n">
        <v>2020</v>
      </c>
      <c r="N146" s="19">
        <f>IF(AND(OR(YearFilter="All",$M146=YearFilter),OR(RatingFilter="All",$I146=RatingFilter),OR(TypeFilter="All",$B146=TypeFilter),OR(GenreFilter="All",COUNTIFS(tblGenre[show_id],$A146,tblGenre[Genre],GenreFilter)&gt;0)),1,0)</f>
        <v/>
      </c>
    </row>
    <row r="147" ht="15" customHeight="1" s="20">
      <c r="A147" s="19" t="inlineStr">
        <is>
          <t>s1944</t>
        </is>
      </c>
      <c r="B147" s="19" t="inlineStr">
        <is>
          <t>Movie</t>
        </is>
      </c>
      <c r="C147" s="19" t="inlineStr">
        <is>
          <t>Jab We Met</t>
        </is>
      </c>
      <c r="D147" s="19" t="inlineStr">
        <is>
          <t>Imtiaz Ali</t>
        </is>
      </c>
      <c r="E147" s="19" t="inlineStr">
        <is>
          <t>Shahid Kapoor, Kareena Kapoor, Tarun Arora, Dara Singh, Pavan Malhotra, Kamal Tiwari, Kiran Juneja, Divya Seth, Saumya Tandon</t>
        </is>
      </c>
      <c r="F147" s="19" t="inlineStr">
        <is>
          <t>India</t>
        </is>
      </c>
      <c r="G147" s="19" t="inlineStr">
        <is>
          <t>2020-09-28</t>
        </is>
      </c>
      <c r="H147" s="19" t="n">
        <v>2007</v>
      </c>
      <c r="I147" s="19" t="inlineStr">
        <is>
          <t>TV-14</t>
        </is>
      </c>
      <c r="J147" s="19" t="inlineStr">
        <is>
          <t>143 min</t>
        </is>
      </c>
      <c r="K147" s="19" t="inlineStr">
        <is>
          <t>Comedies, International Movies, Music &amp; Musicals</t>
        </is>
      </c>
      <c r="L147" s="19" t="inlineStr">
        <is>
          <t>Changing fortunes await a wealthy but dejected industrialist when he meets a spirited chatterbox on a train in this breezy Bollywood romantic comedy.</t>
        </is>
      </c>
      <c r="M147" s="19" t="n">
        <v>2020</v>
      </c>
      <c r="N147" s="19">
        <f>IF(AND(OR(YearFilter="All",$M147=YearFilter),OR(RatingFilter="All",$I147=RatingFilter),OR(TypeFilter="All",$B147=TypeFilter),OR(GenreFilter="All",COUNTIFS(tblGenre[show_id],$A147,tblGenre[Genre],GenreFilter)&gt;0)),1,0)</f>
        <v/>
      </c>
    </row>
    <row r="148" ht="15" customHeight="1" s="20">
      <c r="A148" s="19" t="inlineStr">
        <is>
          <t>s1945</t>
        </is>
      </c>
      <c r="B148" s="19" t="inlineStr">
        <is>
          <t>Movie</t>
        </is>
      </c>
      <c r="C148" s="19" t="inlineStr">
        <is>
          <t>Mann</t>
        </is>
      </c>
      <c r="D148" s="19" t="inlineStr">
        <is>
          <t>Indra Kumar</t>
        </is>
      </c>
      <c r="E148" s="19" t="inlineStr">
        <is>
          <t>Aamir Khan, Manisha Koirala, Sharmila Tagore, Dipti Bhatnagar, Dalip Tahil, Anil Kapoor</t>
        </is>
      </c>
      <c r="F148" s="19" t="inlineStr">
        <is>
          <t>India</t>
        </is>
      </c>
      <c r="G148" s="19" t="inlineStr">
        <is>
          <t>2020-09-28</t>
        </is>
      </c>
      <c r="H148" s="19" t="n">
        <v>1999</v>
      </c>
      <c r="I148" s="19" t="inlineStr">
        <is>
          <t>TV-14</t>
        </is>
      </c>
      <c r="J148" s="19" t="inlineStr">
        <is>
          <t>173 min</t>
        </is>
      </c>
      <c r="K148" s="19" t="inlineStr">
        <is>
          <t>Dramas, International Movies, Romantic Movies</t>
        </is>
      </c>
      <c r="L148" s="19" t="inlineStr">
        <is>
          <t>A smooth talker falls for a music teacher aboard a cruise, but a cruel twist of fate hinders their plans to meet again months later.</t>
        </is>
      </c>
      <c r="M148" s="19" t="n">
        <v>2020</v>
      </c>
      <c r="N148" s="19">
        <f>IF(AND(OR(YearFilter="All",$M148=YearFilter),OR(RatingFilter="All",$I148=RatingFilter),OR(TypeFilter="All",$B148=TypeFilter),OR(GenreFilter="All",COUNTIFS(tblGenre[show_id],$A148,tblGenre[Genre],GenreFilter)&gt;0)),1,0)</f>
        <v/>
      </c>
    </row>
    <row r="149" ht="15" customHeight="1" s="20">
      <c r="A149" s="19" t="inlineStr">
        <is>
          <t>s1946</t>
        </is>
      </c>
      <c r="B149" s="19" t="inlineStr">
        <is>
          <t>Movie</t>
        </is>
      </c>
      <c r="C149" s="19" t="inlineStr">
        <is>
          <t>Manorama Six Feet Under</t>
        </is>
      </c>
      <c r="D149" s="19" t="inlineStr">
        <is>
          <t>Navdeep Singh</t>
        </is>
      </c>
      <c r="E149" s="19" t="inlineStr">
        <is>
          <t>Abhay Deol, Gul Panag, Raima Sen, Sarika, Kulbhushan Kharbanda, Vinay Pathak, Yana Gupta, Jogi, Brijendra Kala, Nawazuddin Siddiqui</t>
        </is>
      </c>
      <c r="F149" s="19" t="inlineStr">
        <is>
          <t>India</t>
        </is>
      </c>
      <c r="G149" s="19" t="inlineStr">
        <is>
          <t>2020-09-28</t>
        </is>
      </c>
      <c r="H149" s="19" t="n">
        <v>2007</v>
      </c>
      <c r="I149" s="19" t="inlineStr">
        <is>
          <t>TV-14</t>
        </is>
      </c>
      <c r="J149" s="19" t="inlineStr">
        <is>
          <t>129 min</t>
        </is>
      </c>
      <c r="K149" s="19" t="inlineStr">
        <is>
          <t>Dramas, International Movies, Thrillers</t>
        </is>
      </c>
      <c r="L149" s="19" t="inlineStr">
        <is>
          <t>A government employee and aspiring crime writer, who is under investigation for corruption, is asked by a politician's wife to spy on her husband.</t>
        </is>
      </c>
      <c r="M149" s="19" t="n">
        <v>2020</v>
      </c>
      <c r="N149" s="19">
        <f>IF(AND(OR(YearFilter="All",$M149=YearFilter),OR(RatingFilter="All",$I149=RatingFilter),OR(TypeFilter="All",$B149=TypeFilter),OR(GenreFilter="All",COUNTIFS(tblGenre[show_id],$A149,tblGenre[Genre],GenreFilter)&gt;0)),1,0)</f>
        <v/>
      </c>
    </row>
    <row r="150" ht="15" customHeight="1" s="20">
      <c r="A150" s="19" t="inlineStr">
        <is>
          <t>s1947</t>
        </is>
      </c>
      <c r="B150" s="19" t="inlineStr">
        <is>
          <t>Movie</t>
        </is>
      </c>
      <c r="C150" s="19" t="inlineStr">
        <is>
          <t>Welcome</t>
        </is>
      </c>
      <c r="D150" s="19" t="inlineStr">
        <is>
          <t>Anees Bazmee</t>
        </is>
      </c>
      <c r="E150" s="19" t="inlineStr">
        <is>
          <t>Akshay Kumar, Katrina Kaif, Nana Patekar, Anil Kapoor, Paresh Rawal, Mallika Sherawat, Feroz Khan, Ruslaan Mumtaz, Sunil Shetty, Malaika Arora, Asrani</t>
        </is>
      </c>
      <c r="F150" s="19" t="inlineStr">
        <is>
          <t>India</t>
        </is>
      </c>
      <c r="G150" s="19" t="inlineStr">
        <is>
          <t>2020-09-28</t>
        </is>
      </c>
      <c r="H150" s="19" t="n">
        <v>2007</v>
      </c>
      <c r="I150" s="19" t="inlineStr">
        <is>
          <t>TV-PG</t>
        </is>
      </c>
      <c r="J150" s="19" t="inlineStr">
        <is>
          <t>149 min</t>
        </is>
      </c>
      <c r="K150" s="19" t="inlineStr">
        <is>
          <t>Comedies, International Movies, Music &amp; Musicals</t>
        </is>
      </c>
      <c r="L150" s="19" t="inlineStr">
        <is>
          <t>In this silly Bollywood farce, the brothers of a Mafia princess set out on a comical mission to marry their sister into a respectable family.</t>
        </is>
      </c>
      <c r="M150" s="19" t="n">
        <v>2020</v>
      </c>
      <c r="N150" s="19">
        <f>IF(AND(OR(YearFilter="All",$M150=YearFilter),OR(RatingFilter="All",$I150=RatingFilter),OR(TypeFilter="All",$B150=TypeFilter),OR(GenreFilter="All",COUNTIFS(tblGenre[show_id],$A150,tblGenre[Genre],GenreFilter)&gt;0)),1,0)</f>
        <v/>
      </c>
    </row>
    <row r="151" ht="15" customHeight="1" s="20">
      <c r="A151" s="19" t="inlineStr">
        <is>
          <t>s1951</t>
        </is>
      </c>
      <c r="B151" s="19" t="inlineStr">
        <is>
          <t>Movie</t>
        </is>
      </c>
      <c r="C151" s="19" t="inlineStr">
        <is>
          <t>Time Out</t>
        </is>
      </c>
      <c r="D151" s="19" t="inlineStr">
        <is>
          <t>Rikhil Bahadur</t>
        </is>
      </c>
      <c r="E151" s="19" t="inlineStr">
        <is>
          <t>Chirag Malhotra, Pranay Pachauri, Kaamya Sharma, Riya Kothari, Aditya Jain, Shiva Dawar, Sanya Arora, Tarana Marwah, Raunaq Chopra, Vedabrata Rao</t>
        </is>
      </c>
      <c r="F151" s="19" t="inlineStr">
        <is>
          <t>India</t>
        </is>
      </c>
      <c r="G151" s="19" t="inlineStr">
        <is>
          <t>2020-09-26</t>
        </is>
      </c>
      <c r="H151" s="19" t="n">
        <v>2015</v>
      </c>
      <c r="I151" s="19" t="inlineStr">
        <is>
          <t>TV-14</t>
        </is>
      </c>
      <c r="J151" s="19" t="inlineStr">
        <is>
          <t>98 min</t>
        </is>
      </c>
      <c r="K151" s="19" t="inlineStr">
        <is>
          <t>Dramas, Independent Movies, International Movies</t>
        </is>
      </c>
      <c r="L151" s="19" t="inlineStr">
        <is>
          <t>Raised in the privileged bubble of Delhi's elite, a teen is compelled to question his outlook on life and love when his older brother comes out as gay.</t>
        </is>
      </c>
      <c r="M151" s="19" t="n">
        <v>2020</v>
      </c>
      <c r="N151" s="19">
        <f>IF(AND(OR(YearFilter="All",$M151=YearFilter),OR(RatingFilter="All",$I151=RatingFilter),OR(TypeFilter="All",$B151=TypeFilter),OR(GenreFilter="All",COUNTIFS(tblGenre[show_id],$A151,tblGenre[Genre],GenreFilter)&gt;0)),1,0)</f>
        <v/>
      </c>
    </row>
    <row r="152" ht="15" customHeight="1" s="20">
      <c r="A152" s="19" t="inlineStr">
        <is>
          <t>s1958</t>
        </is>
      </c>
      <c r="B152" s="19" t="inlineStr">
        <is>
          <t>Movie</t>
        </is>
      </c>
      <c r="C152" s="19" t="inlineStr">
        <is>
          <t>Real Steel</t>
        </is>
      </c>
      <c r="D152" s="19" t="inlineStr">
        <is>
          <t>Shawn Levy</t>
        </is>
      </c>
      <c r="E152" s="19" t="inlineStr">
        <is>
          <t>Hugh Jackman, Dakota Goyo, Evangeline Lilly, Anthony Mackie, Kevin Durand, Hope Davis, James Rebhorn, Karl Yune, Olga Fonda, John Gatins</t>
        </is>
      </c>
      <c r="F152" s="19" t="inlineStr">
        <is>
          <t>United States, India</t>
        </is>
      </c>
      <c r="G152" s="19" t="inlineStr">
        <is>
          <t>2020-09-24</t>
        </is>
      </c>
      <c r="H152" s="19" t="n">
        <v>2011</v>
      </c>
      <c r="I152" s="19" t="inlineStr">
        <is>
          <t>PG-13</t>
        </is>
      </c>
      <c r="J152" s="19" t="inlineStr">
        <is>
          <t>127 min</t>
        </is>
      </c>
      <c r="K152" s="19" t="inlineStr">
        <is>
          <t>Action &amp; Adventure, Sci-Fi &amp; Fantasy, Sports Movies</t>
        </is>
      </c>
      <c r="L152" s="19" t="inlineStr">
        <is>
          <t>A struggling fighter-turned-promoter reconnects with his estranged son to convert an old-generation robot into a mighty World Robot Boxing contender.</t>
        </is>
      </c>
      <c r="M152" s="19" t="n">
        <v>2020</v>
      </c>
      <c r="N152" s="19">
        <f>IF(AND(OR(YearFilter="All",$M152=YearFilter),OR(RatingFilter="All",$I152=RatingFilter),OR(TypeFilter="All",$B152=TypeFilter),OR(GenreFilter="All",COUNTIFS(tblGenre[show_id],$A152,tblGenre[Genre],GenreFilter)&gt;0)),1,0)</f>
        <v/>
      </c>
    </row>
    <row r="153" ht="15" customHeight="1" s="20">
      <c r="A153" s="19" t="inlineStr">
        <is>
          <t>s1972</t>
        </is>
      </c>
      <c r="B153" s="19" t="inlineStr">
        <is>
          <t>Movie</t>
        </is>
      </c>
      <c r="C153" s="19" t="inlineStr">
        <is>
          <t>Bhaji In Problem</t>
        </is>
      </c>
      <c r="D153" s="19" t="inlineStr">
        <is>
          <t>Smeep Kang</t>
        </is>
      </c>
      <c r="E153" s="19" t="inlineStr">
        <is>
          <t>Gippy Grewal, Gurpreet Guggi, Ragini Khanna, Om Puri, B.N. Sharma, Avtar Gill, Karamjit Anmol, Rana Jung Bahadur</t>
        </is>
      </c>
      <c r="F153" s="19" t="inlineStr">
        <is>
          <t>India</t>
        </is>
      </c>
      <c r="G153" s="19" t="inlineStr">
        <is>
          <t>2020-09-19</t>
        </is>
      </c>
      <c r="H153" s="19" t="n">
        <v>2013</v>
      </c>
      <c r="I153" s="19" t="inlineStr">
        <is>
          <t>TV-14</t>
        </is>
      </c>
      <c r="J153" s="19" t="inlineStr">
        <is>
          <t>117 min</t>
        </is>
      </c>
      <c r="K153" s="19" t="inlineStr">
        <is>
          <t>Comedies, International Movies</t>
        </is>
      </c>
      <c r="L153" s="19" t="inlineStr">
        <is>
          <t>Married to two women – each unaware of the other – a man finds his double life threatened when an old friend who knows his not-so-little secret arrives.</t>
        </is>
      </c>
      <c r="M153" s="19" t="n">
        <v>2020</v>
      </c>
      <c r="N153" s="19">
        <f>IF(AND(OR(YearFilter="All",$M153=YearFilter),OR(RatingFilter="All",$I153=RatingFilter),OR(TypeFilter="All",$B153=TypeFilter),OR(GenreFilter="All",COUNTIFS(tblGenre[show_id],$A153,tblGenre[Genre],GenreFilter)&gt;0)),1,0)</f>
        <v/>
      </c>
    </row>
    <row r="154" ht="15" customHeight="1" s="20">
      <c r="A154" s="19" t="inlineStr">
        <is>
          <t>s1973</t>
        </is>
      </c>
      <c r="B154" s="19" t="inlineStr">
        <is>
          <t>Movie</t>
        </is>
      </c>
      <c r="C154" s="19" t="inlineStr">
        <is>
          <t>Black</t>
        </is>
      </c>
      <c r="D154" s="19" t="inlineStr">
        <is>
          <t>Raja Chanda</t>
        </is>
      </c>
      <c r="E154" s="19" t="inlineStr">
        <is>
          <t>Soham Chakraborty, Bidya Sinha Mim, Ashish Vidyarthi, Rajatabha Dutta, Rudranil Ghosh, Kharaj Mukherjee</t>
        </is>
      </c>
      <c r="F154" s="19" t="inlineStr">
        <is>
          <t>India</t>
        </is>
      </c>
      <c r="G154" s="19" t="inlineStr">
        <is>
          <t>2020-09-19</t>
        </is>
      </c>
      <c r="H154" s="19" t="n">
        <v>2015</v>
      </c>
      <c r="I154" s="19" t="inlineStr">
        <is>
          <t>TV-14</t>
        </is>
      </c>
      <c r="J154" s="19" t="inlineStr">
        <is>
          <t>137 min</t>
        </is>
      </c>
      <c r="K154" s="19" t="inlineStr">
        <is>
          <t>Action &amp; Adventure, International Movies</t>
        </is>
      </c>
      <c r="L154" s="19" t="inlineStr">
        <is>
          <t>A small-town man takes on a dangerous gangster to avenge his father, a police officer who ended his own life after being framed in a deadly crime.</t>
        </is>
      </c>
      <c r="M154" s="19" t="n">
        <v>2020</v>
      </c>
      <c r="N154" s="19">
        <f>IF(AND(OR(YearFilter="All",$M154=YearFilter),OR(RatingFilter="All",$I154=RatingFilter),OR(TypeFilter="All",$B154=TypeFilter),OR(GenreFilter="All",COUNTIFS(tblGenre[show_id],$A154,tblGenre[Genre],GenreFilter)&gt;0)),1,0)</f>
        <v/>
      </c>
    </row>
    <row r="155" ht="15" customHeight="1" s="20">
      <c r="A155" s="19" t="inlineStr">
        <is>
          <t>s1975</t>
        </is>
      </c>
      <c r="B155" s="19" t="inlineStr">
        <is>
          <t>Movie</t>
        </is>
      </c>
      <c r="C155" s="19" t="inlineStr">
        <is>
          <t>Saheb Biwi Aur Gangster Returns</t>
        </is>
      </c>
      <c r="D155" s="19" t="inlineStr">
        <is>
          <t>Tigmanshu Dhulia</t>
        </is>
      </c>
      <c r="E155" s="19" t="inlineStr">
        <is>
          <t>Irrfan Khan, Jimmy Shergill, Soha Ali Khan, Mahie Gill, Raj Babbar, Deep Raj Rana, Rajiv Gupta, Sitaram Panchal, Rajesh Khera, Mugdha Godse</t>
        </is>
      </c>
      <c r="F155" s="19" t="inlineStr">
        <is>
          <t>India</t>
        </is>
      </c>
      <c r="G155" s="19" t="inlineStr">
        <is>
          <t>2020-09-19</t>
        </is>
      </c>
      <c r="H155" s="19" t="n">
        <v>2013</v>
      </c>
      <c r="I155" s="19" t="inlineStr">
        <is>
          <t>TV-MA</t>
        </is>
      </c>
      <c r="J155" s="19" t="inlineStr">
        <is>
          <t>139 min</t>
        </is>
      </c>
      <c r="K155" s="19" t="inlineStr">
        <is>
          <t>Dramas, International Movies, Romantic Movies</t>
        </is>
      </c>
      <c r="L155" s="19" t="inlineStr">
        <is>
          <t>Knotty love triangles and nefarious schemes arise when a nobleman’s plans to remarry fall into the cunning hands of his first wife and a vengeful rival.</t>
        </is>
      </c>
      <c r="M155" s="19" t="n">
        <v>2020</v>
      </c>
      <c r="N155" s="19">
        <f>IF(AND(OR(YearFilter="All",$M155=YearFilter),OR(RatingFilter="All",$I155=RatingFilter),OR(TypeFilter="All",$B155=TypeFilter),OR(GenreFilter="All",COUNTIFS(tblGenre[show_id],$A155,tblGenre[Genre],GenreFilter)&gt;0)),1,0)</f>
        <v/>
      </c>
    </row>
    <row r="156" ht="15" customHeight="1" s="20">
      <c r="A156" s="19" t="inlineStr">
        <is>
          <t>s1976</t>
        </is>
      </c>
      <c r="B156" s="19" t="inlineStr">
        <is>
          <t>Movie</t>
        </is>
      </c>
      <c r="C156" s="19" t="inlineStr">
        <is>
          <t>Santa Banta Pvt Ltd</t>
        </is>
      </c>
      <c r="D156" s="19" t="inlineStr">
        <is>
          <t>Akashdeep</t>
        </is>
      </c>
      <c r="E156" s="19" t="inlineStr">
        <is>
          <t>Boman Irani, Vir Das, Neha Dhupia, Lisa Haydon, Ram Kapoor, Johny Lever, Vijay Raaz, Tinnu Anand, Sanjay Mishra, Ayub Khan</t>
        </is>
      </c>
      <c r="F156" s="19" t="inlineStr">
        <is>
          <t>India</t>
        </is>
      </c>
      <c r="G156" s="19" t="inlineStr">
        <is>
          <t>2020-09-19</t>
        </is>
      </c>
      <c r="H156" s="19" t="n">
        <v>2016</v>
      </c>
      <c r="I156" s="19" t="inlineStr">
        <is>
          <t>TV-14</t>
        </is>
      </c>
      <c r="J156" s="19" t="inlineStr">
        <is>
          <t>111 min</t>
        </is>
      </c>
      <c r="K156" s="19" t="inlineStr">
        <is>
          <t>Comedies, International Movies</t>
        </is>
      </c>
      <c r="L156" s="19" t="inlineStr">
        <is>
          <t>Passed off as spies, two inept pals are sent to Fiji to rescue a kidnapped bureaucrat. Soon enough, they’re creating more problems than they’re solving.</t>
        </is>
      </c>
      <c r="M156" s="19" t="n">
        <v>2020</v>
      </c>
      <c r="N156" s="19">
        <f>IF(AND(OR(YearFilter="All",$M156=YearFilter),OR(RatingFilter="All",$I156=RatingFilter),OR(TypeFilter="All",$B156=TypeFilter),OR(GenreFilter="All",COUNTIFS(tblGenre[show_id],$A156,tblGenre[Genre],GenreFilter)&gt;0)),1,0)</f>
        <v/>
      </c>
    </row>
    <row r="157" ht="15" customHeight="1" s="20">
      <c r="A157" s="19" t="inlineStr">
        <is>
          <t>s1977</t>
        </is>
      </c>
      <c r="B157" s="19" t="inlineStr">
        <is>
          <t>Movie</t>
        </is>
      </c>
      <c r="C157" s="19" t="inlineStr">
        <is>
          <t>The Royal Bengal Tiger</t>
        </is>
      </c>
      <c r="D157" s="19" t="inlineStr">
        <is>
          <t>Rajesh Ganguly</t>
        </is>
      </c>
      <c r="E157" s="19" t="inlineStr">
        <is>
          <t>Jeet, Abir Chatterjee, Priyanka Sarkar, Shradha Das, Kharaj Mukherjee, Shantilal Mukherjee, Barun Chanda, Deb Ranajan Nag, Rajesh Sharma</t>
        </is>
      </c>
      <c r="F157" s="19" t="inlineStr">
        <is>
          <t>India</t>
        </is>
      </c>
      <c r="G157" s="19" t="inlineStr">
        <is>
          <t>2020-09-19</t>
        </is>
      </c>
      <c r="H157" s="19" t="n">
        <v>2014</v>
      </c>
      <c r="I157" s="19" t="inlineStr">
        <is>
          <t>TV-MA</t>
        </is>
      </c>
      <c r="J157" s="19" t="inlineStr">
        <is>
          <t>103 min</t>
        </is>
      </c>
      <c r="K157" s="19" t="inlineStr">
        <is>
          <t>Dramas, International Movies, Thrillers</t>
        </is>
      </c>
      <c r="L157" s="19" t="inlineStr">
        <is>
          <t>Knocked down by life one too many times, a meek family man drastically transforms from shy to savage after an encounter with a mysterious friend.</t>
        </is>
      </c>
      <c r="M157" s="19" t="n">
        <v>2020</v>
      </c>
      <c r="N157" s="19">
        <f>IF(AND(OR(YearFilter="All",$M157=YearFilter),OR(RatingFilter="All",$I157=RatingFilter),OR(TypeFilter="All",$B157=TypeFilter),OR(GenreFilter="All",COUNTIFS(tblGenre[show_id],$A157,tblGenre[Genre],GenreFilter)&gt;0)),1,0)</f>
        <v/>
      </c>
    </row>
    <row r="158" ht="15" customHeight="1" s="20">
      <c r="A158" s="19" t="inlineStr">
        <is>
          <t>s1978</t>
        </is>
      </c>
      <c r="B158" s="19" t="inlineStr">
        <is>
          <t>Movie</t>
        </is>
      </c>
      <c r="C158" s="19" t="inlineStr">
        <is>
          <t>Dolly Kitty Aur Woh Chamakte Sitare</t>
        </is>
      </c>
      <c r="D158" s="19" t="inlineStr">
        <is>
          <t>Alankrita Shrivastava</t>
        </is>
      </c>
      <c r="E158" s="19" t="inlineStr">
        <is>
          <t>Bhumi Pednekar, Konkona Sen Sharma, Vikrant Massey, Amol Parashar, Aamir Bashir, Karan Kundra, Kalp Shah, Hearty Singh, Neelima Azim, Kubbra Sait</t>
        </is>
      </c>
      <c r="F158" s="19" t="inlineStr">
        <is>
          <t>India</t>
        </is>
      </c>
      <c r="G158" s="19" t="inlineStr">
        <is>
          <t>2020-09-18</t>
        </is>
      </c>
      <c r="H158" s="19" t="n">
        <v>2020</v>
      </c>
      <c r="I158" s="19" t="inlineStr">
        <is>
          <t>TV-MA</t>
        </is>
      </c>
      <c r="J158" s="19" t="inlineStr">
        <is>
          <t>120 min</t>
        </is>
      </c>
      <c r="K158" s="19" t="inlineStr">
        <is>
          <t>Dramas, Independent Movies, International Movies</t>
        </is>
      </c>
      <c r="L158" s="19" t="inlineStr">
        <is>
          <t>A disillusioned Delhi wife and her new-in-town cousin navigate damning secrets, dreams and their thorny dynamic on their respective roads to freedom.</t>
        </is>
      </c>
      <c r="M158" s="19" t="n">
        <v>2020</v>
      </c>
      <c r="N158" s="19">
        <f>IF(AND(OR(YearFilter="All",$M158=YearFilter),OR(RatingFilter="All",$I158=RatingFilter),OR(TypeFilter="All",$B158=TypeFilter),OR(GenreFilter="All",COUNTIFS(tblGenre[show_id],$A158,tblGenre[Genre],GenreFilter)&gt;0)),1,0)</f>
        <v/>
      </c>
    </row>
    <row r="159" ht="15" customHeight="1" s="20">
      <c r="A159" s="19" t="inlineStr">
        <is>
          <t>s1983</t>
        </is>
      </c>
      <c r="B159" s="19" t="inlineStr">
        <is>
          <t>Movie</t>
        </is>
      </c>
      <c r="C159" s="19" t="inlineStr">
        <is>
          <t>Anaamika</t>
        </is>
      </c>
      <c r="D159" s="19" t="inlineStr">
        <is>
          <t>Sekhar Kammula</t>
        </is>
      </c>
      <c r="E159" s="19" t="inlineStr">
        <is>
          <t>Nayantara, Vaibhav Reddy, Pasupathy, Harshvardhan Rane, Thagubothu Ramesh, Vinay Varma, Dheer Charan Srivastav, D. Narsingh Rao</t>
        </is>
      </c>
      <c r="F159" s="19" t="inlineStr">
        <is>
          <t>India</t>
        </is>
      </c>
      <c r="G159" s="19" t="inlineStr">
        <is>
          <t>2020-09-17</t>
        </is>
      </c>
      <c r="H159" s="19" t="n">
        <v>2014</v>
      </c>
      <c r="I159" s="19" t="inlineStr">
        <is>
          <t>TV-14</t>
        </is>
      </c>
      <c r="J159" s="19" t="inlineStr">
        <is>
          <t>130 min</t>
        </is>
      </c>
      <c r="K159" s="19" t="inlineStr">
        <is>
          <t>International Movies, Thrillers</t>
        </is>
      </c>
      <c r="L159" s="19" t="inlineStr">
        <is>
          <t>As a woman scours Hyderabad for her missing husband, she becomes entangled in a conspiracy that suggests there’s more to the mystery than meets the eye.</t>
        </is>
      </c>
      <c r="M159" s="19" t="n">
        <v>2020</v>
      </c>
      <c r="N159" s="19">
        <f>IF(AND(OR(YearFilter="All",$M159=YearFilter),OR(RatingFilter="All",$I159=RatingFilter),OR(TypeFilter="All",$B159=TypeFilter),OR(GenreFilter="All",COUNTIFS(tblGenre[show_id],$A159,tblGenre[Genre],GenreFilter)&gt;0)),1,0)</f>
        <v/>
      </c>
    </row>
    <row r="160" ht="15" customHeight="1" s="20">
      <c r="A160" s="19" t="inlineStr">
        <is>
          <t>s2016</t>
        </is>
      </c>
      <c r="B160" s="19" t="inlineStr">
        <is>
          <t>Movie</t>
        </is>
      </c>
      <c r="C160" s="19" t="inlineStr">
        <is>
          <t>Aapla Manus</t>
        </is>
      </c>
      <c r="D160" s="19" t="inlineStr">
        <is>
          <t>Satish Rajwade</t>
        </is>
      </c>
      <c r="E160" s="19" t="inlineStr">
        <is>
          <t>Nana Patekar, Sumeet Raghvan, Iravati Harshe, Aashish Kulkarni, Savita Malpekar</t>
        </is>
      </c>
      <c r="F160" s="19" t="inlineStr">
        <is>
          <t>India</t>
        </is>
      </c>
      <c r="G160" s="19" t="inlineStr">
        <is>
          <t>2020-09-10</t>
        </is>
      </c>
      <c r="H160" s="19" t="n">
        <v>2018</v>
      </c>
      <c r="I160" s="19" t="inlineStr">
        <is>
          <t>TV-14</t>
        </is>
      </c>
      <c r="J160" s="19" t="inlineStr">
        <is>
          <t>133 min</t>
        </is>
      </c>
      <c r="K160" s="19" t="inlineStr">
        <is>
          <t>Dramas, International Movies, Thrillers</t>
        </is>
      </c>
      <c r="L160" s="19" t="inlineStr">
        <is>
          <t>When a man falls from his balcony, an investigator questions the victim’s family, determined to uncover a darker truth behind the alleged accident.</t>
        </is>
      </c>
      <c r="M160" s="19" t="n">
        <v>2020</v>
      </c>
      <c r="N160" s="19">
        <f>IF(AND(OR(YearFilter="All",$M160=YearFilter),OR(RatingFilter="All",$I160=RatingFilter),OR(TypeFilter="All",$B160=TypeFilter),OR(GenreFilter="All",COUNTIFS(tblGenre[show_id],$A160,tblGenre[Genre],GenreFilter)&gt;0)),1,0)</f>
        <v/>
      </c>
    </row>
    <row r="161" ht="15" customHeight="1" s="20">
      <c r="A161" s="19" t="inlineStr">
        <is>
          <t>s2017</t>
        </is>
      </c>
      <c r="B161" s="19" t="inlineStr">
        <is>
          <t>Movie</t>
        </is>
      </c>
      <c r="C161" s="19" t="inlineStr">
        <is>
          <t>Ani... Dr. Kashinath Ghanekar</t>
        </is>
      </c>
      <c r="D161" s="19" t="inlineStr">
        <is>
          <t>Abhijeet Deshpande</t>
        </is>
      </c>
      <c r="E161" s="19" t="inlineStr">
        <is>
          <t>Subodh Bhave, Vaidehi Parshurami, Nandita Patkar, Sonali Kulkarni, Sumeet Raghvan, Prasad Oak, Anand Ingale, Suhas Palshikar</t>
        </is>
      </c>
      <c r="F161" s="19" t="inlineStr">
        <is>
          <t>India</t>
        </is>
      </c>
      <c r="G161" s="19" t="inlineStr">
        <is>
          <t>2020-09-10</t>
        </is>
      </c>
      <c r="H161" s="19" t="n">
        <v>2018</v>
      </c>
      <c r="I161" s="19" t="inlineStr">
        <is>
          <t>TV-14</t>
        </is>
      </c>
      <c r="J161" s="19" t="inlineStr">
        <is>
          <t>157 min</t>
        </is>
      </c>
      <c r="K161" s="19" t="inlineStr">
        <is>
          <t>Dramas, International Movies</t>
        </is>
      </c>
      <c r="L161" s="19" t="inlineStr">
        <is>
          <t>From his singular career to his personal demons, this biopic chronicles the short yet prolific life of the Marathi dentist-turned-superstar.</t>
        </is>
      </c>
      <c r="M161" s="19" t="n">
        <v>2020</v>
      </c>
      <c r="N161" s="19">
        <f>IF(AND(OR(YearFilter="All",$M161=YearFilter),OR(RatingFilter="All",$I161=RatingFilter),OR(TypeFilter="All",$B161=TypeFilter),OR(GenreFilter="All",COUNTIFS(tblGenre[show_id],$A161,tblGenre[Genre],GenreFilter)&gt;0)),1,0)</f>
        <v/>
      </c>
    </row>
    <row r="162" ht="15" customHeight="1" s="20">
      <c r="A162" s="19" t="inlineStr">
        <is>
          <t>s2018</t>
        </is>
      </c>
      <c r="B162" s="19" t="inlineStr">
        <is>
          <t>Movie</t>
        </is>
      </c>
      <c r="C162" s="19" t="inlineStr">
        <is>
          <t>Bhai: Vyakti Ki Valli - Poorvardha</t>
        </is>
      </c>
      <c r="D162" s="19" t="inlineStr">
        <is>
          <t>Mahesh Manjrekar</t>
        </is>
      </c>
      <c r="E162" s="19" t="inlineStr">
        <is>
          <t>Sagar Deshmukh, Vijay Kenkre, Iravati Harshe, Shubhangi Damle, Sachin Khedekar, Sunil Barve, Ashwini Giri, Rajan Bhise</t>
        </is>
      </c>
      <c r="F162" s="19" t="inlineStr">
        <is>
          <t>India</t>
        </is>
      </c>
      <c r="G162" s="19" t="inlineStr">
        <is>
          <t>2020-09-10</t>
        </is>
      </c>
      <c r="H162" s="19" t="n">
        <v>2019</v>
      </c>
      <c r="I162" s="19" t="inlineStr">
        <is>
          <t>TV-14</t>
        </is>
      </c>
      <c r="J162" s="19" t="inlineStr">
        <is>
          <t>116 min</t>
        </is>
      </c>
      <c r="K162" s="19" t="inlineStr">
        <is>
          <t>Dramas, International Movies</t>
        </is>
      </c>
      <c r="L162" s="19" t="inlineStr">
        <is>
          <t>This first of a two-part biopic depicts the early years that lay the foundation for beloved Marathi writer and comedian P.L. Deshpande’s iconic career.</t>
        </is>
      </c>
      <c r="M162" s="19" t="n">
        <v>2020</v>
      </c>
      <c r="N162" s="19">
        <f>IF(AND(OR(YearFilter="All",$M162=YearFilter),OR(RatingFilter="All",$I162=RatingFilter),OR(TypeFilter="All",$B162=TypeFilter),OR(GenreFilter="All",COUNTIFS(tblGenre[show_id],$A162,tblGenre[Genre],GenreFilter)&gt;0)),1,0)</f>
        <v/>
      </c>
    </row>
    <row r="163" ht="15" customHeight="1" s="20">
      <c r="A163" s="19" t="inlineStr">
        <is>
          <t>s2019</t>
        </is>
      </c>
      <c r="B163" s="19" t="inlineStr">
        <is>
          <t>Movie</t>
        </is>
      </c>
      <c r="C163" s="19" t="inlineStr">
        <is>
          <t>Bhai: Vyakti Ki Valli - Uttarardh</t>
        </is>
      </c>
      <c r="D163" s="19" t="inlineStr">
        <is>
          <t>Mahesh Manjrekar</t>
        </is>
      </c>
      <c r="E163" s="19" t="inlineStr">
        <is>
          <t>Sagar Deshmukh, Iravati Harshe, Vijay Kenkre, Shubhangi Damle, Ashwini Giri, Nina Kulkarni, Dalip Tahil, Girish Kulkarni</t>
        </is>
      </c>
      <c r="F163" s="19" t="inlineStr">
        <is>
          <t>India</t>
        </is>
      </c>
      <c r="G163" s="19" t="inlineStr">
        <is>
          <t>2020-09-10</t>
        </is>
      </c>
      <c r="H163" s="19" t="n">
        <v>2019</v>
      </c>
      <c r="I163" s="19" t="inlineStr">
        <is>
          <t>TV-PG</t>
        </is>
      </c>
      <c r="J163" s="19" t="inlineStr">
        <is>
          <t>112 min</t>
        </is>
      </c>
      <c r="K163" s="19" t="inlineStr">
        <is>
          <t>Dramas, International Movies</t>
        </is>
      </c>
      <c r="L163" s="19" t="inlineStr">
        <is>
          <t>The second installment of P.L. Deshpande’s biopic explores the Marathi humorist’s political journey, philanthropic endeavors and personal life.</t>
        </is>
      </c>
      <c r="M163" s="19" t="n">
        <v>2020</v>
      </c>
      <c r="N163" s="19">
        <f>IF(AND(OR(YearFilter="All",$M163=YearFilter),OR(RatingFilter="All",$I163=RatingFilter),OR(TypeFilter="All",$B163=TypeFilter),OR(GenreFilter="All",COUNTIFS(tblGenre[show_id],$A163,tblGenre[Genre],GenreFilter)&gt;0)),1,0)</f>
        <v/>
      </c>
    </row>
    <row r="164" ht="15" customHeight="1" s="20">
      <c r="A164" s="19" t="inlineStr">
        <is>
          <t>s2020</t>
        </is>
      </c>
      <c r="B164" s="19" t="inlineStr">
        <is>
          <t>Movie</t>
        </is>
      </c>
      <c r="C164" s="19" t="inlineStr">
        <is>
          <t>Cycle</t>
        </is>
      </c>
      <c r="D164" s="19" t="inlineStr">
        <is>
          <t>Prakash Kunte</t>
        </is>
      </c>
      <c r="E164" s="19" t="inlineStr">
        <is>
          <t>Hrishikesh Joshi, Bhalchandra Kadam, Priyadarshan Jadhav, Deepti Lele, Manoj Kolhatkar, Maithili Patwardhan</t>
        </is>
      </c>
      <c r="F164" s="19" t="inlineStr">
        <is>
          <t>India</t>
        </is>
      </c>
      <c r="G164" s="19" t="inlineStr">
        <is>
          <t>2020-09-10</t>
        </is>
      </c>
      <c r="H164" s="19" t="n">
        <v>2018</v>
      </c>
      <c r="I164" s="19" t="inlineStr">
        <is>
          <t>TV-PG</t>
        </is>
      </c>
      <c r="J164" s="19" t="inlineStr">
        <is>
          <t>96 min</t>
        </is>
      </c>
      <c r="K164" s="19" t="inlineStr">
        <is>
          <t>Comedies, Dramas, International Movies</t>
        </is>
      </c>
      <c r="L164" s="19" t="inlineStr">
        <is>
          <t>When his prized bicycle is stolen, an astrologer’s search turns into a journey of self-realization — while the thieves learn a few lessons of their own.</t>
        </is>
      </c>
      <c r="M164" s="19" t="n">
        <v>2020</v>
      </c>
      <c r="N164" s="19">
        <f>IF(AND(OR(YearFilter="All",$M164=YearFilter),OR(RatingFilter="All",$I164=RatingFilter),OR(TypeFilter="All",$B164=TypeFilter),OR(GenreFilter="All",COUNTIFS(tblGenre[show_id],$A164,tblGenre[Genre],GenreFilter)&gt;0)),1,0)</f>
        <v/>
      </c>
    </row>
    <row r="165" ht="15" customHeight="1" s="20">
      <c r="A165" s="19" t="inlineStr">
        <is>
          <t>s2021</t>
        </is>
      </c>
      <c r="B165" s="19" t="inlineStr">
        <is>
          <t>Movie</t>
        </is>
      </c>
      <c r="C165" s="19" t="inlineStr">
        <is>
          <t>Dhh</t>
        </is>
      </c>
      <c r="D165" s="19" t="inlineStr">
        <is>
          <t>Manish Saini</t>
        </is>
      </c>
      <c r="E165" s="19" t="inlineStr">
        <is>
          <t>Naseeruddin Shah, Kahaan, Kuldeep Sodha</t>
        </is>
      </c>
      <c r="F165" s="19" t="inlineStr">
        <is>
          <t>India</t>
        </is>
      </c>
      <c r="G165" s="19" t="inlineStr">
        <is>
          <t>2020-09-10</t>
        </is>
      </c>
      <c r="H165" s="19" t="n">
        <v>2017</v>
      </c>
      <c r="I165" s="19" t="inlineStr">
        <is>
          <t>TV-G</t>
        </is>
      </c>
      <c r="J165" s="19" t="inlineStr">
        <is>
          <t>127 min</t>
        </is>
      </c>
      <c r="K165" s="19" t="inlineStr">
        <is>
          <t>Children &amp; Family Movies, Dramas, International Movies</t>
        </is>
      </c>
      <c r="L165" s="19" t="inlineStr">
        <is>
          <t>Convinced only a miracle can save them from failing school exams, a trio of friends seek help from a magician. To their surprise, he gamely complies.</t>
        </is>
      </c>
      <c r="M165" s="19" t="n">
        <v>2020</v>
      </c>
      <c r="N165" s="19">
        <f>IF(AND(OR(YearFilter="All",$M165=YearFilter),OR(RatingFilter="All",$I165=RatingFilter),OR(TypeFilter="All",$B165=TypeFilter),OR(GenreFilter="All",COUNTIFS(tblGenre[show_id],$A165,tblGenre[Genre],GenreFilter)&gt;0)),1,0)</f>
        <v/>
      </c>
    </row>
    <row r="166" ht="15" customHeight="1" s="20">
      <c r="A166" s="19" t="inlineStr">
        <is>
          <t>s2024</t>
        </is>
      </c>
      <c r="B166" s="19" t="inlineStr">
        <is>
          <t>Movie</t>
        </is>
      </c>
      <c r="C166" s="19" t="inlineStr">
        <is>
          <t>Kaagar</t>
        </is>
      </c>
      <c r="D166" s="19" t="inlineStr">
        <is>
          <t>Makarand Mane</t>
        </is>
      </c>
      <c r="E166" s="19" t="inlineStr">
        <is>
          <t>Rinku Rajguru, Shubhankar Tawde, Shashank Shende, Suhas Palshikar, Bharati Patil, Milind Pathak, Umesh Jagtap, Shantanu Gangane, Vitthal Kale, Mahesh Bhosale</t>
        </is>
      </c>
      <c r="F166" s="19" t="inlineStr">
        <is>
          <t>India</t>
        </is>
      </c>
      <c r="G166" s="19" t="inlineStr">
        <is>
          <t>2020-09-10</t>
        </is>
      </c>
      <c r="H166" s="19" t="n">
        <v>2019</v>
      </c>
      <c r="I166" s="19" t="inlineStr">
        <is>
          <t>TV-MA</t>
        </is>
      </c>
      <c r="J166" s="19" t="inlineStr">
        <is>
          <t>130 min</t>
        </is>
      </c>
      <c r="K166" s="19" t="inlineStr">
        <is>
          <t>Dramas, International Movies, Romantic Movies</t>
        </is>
      </c>
      <c r="L166" s="19" t="inlineStr">
        <is>
          <t>When an activist begins aiding a shrewd political advisor — also his girlfriend’s father, personal agendas lead to betrayal as love and duty clash.</t>
        </is>
      </c>
      <c r="M166" s="19" t="n">
        <v>2020</v>
      </c>
      <c r="N166" s="19">
        <f>IF(AND(OR(YearFilter="All",$M166=YearFilter),OR(RatingFilter="All",$I166=RatingFilter),OR(TypeFilter="All",$B166=TypeFilter),OR(GenreFilter="All",COUNTIFS(tblGenre[show_id],$A166,tblGenre[Genre],GenreFilter)&gt;0)),1,0)</f>
        <v/>
      </c>
    </row>
    <row r="167" ht="15" customHeight="1" s="20">
      <c r="A167" s="19" t="inlineStr">
        <is>
          <t>s2026</t>
        </is>
      </c>
      <c r="B167" s="19" t="inlineStr">
        <is>
          <t>Movie</t>
        </is>
      </c>
      <c r="C167" s="19" t="inlineStr">
        <is>
          <t>PhotoCopy</t>
        </is>
      </c>
      <c r="D167" s="19" t="inlineStr">
        <is>
          <t>Vijay Maurya</t>
        </is>
      </c>
      <c r="E167" s="19" t="inlineStr">
        <is>
          <t>Parna Pethe, Chetan Chitnis, Anshuman Joshi, Aashay Kulkarni, Vandana Gupte, Girish Oak</t>
        </is>
      </c>
      <c r="F167" s="19" t="inlineStr">
        <is>
          <t>India</t>
        </is>
      </c>
      <c r="G167" s="19" t="inlineStr">
        <is>
          <t>2020-09-10</t>
        </is>
      </c>
      <c r="H167" s="19" t="n">
        <v>2016</v>
      </c>
      <c r="I167" s="19" t="inlineStr">
        <is>
          <t>TV-14</t>
        </is>
      </c>
      <c r="J167" s="19" t="inlineStr">
        <is>
          <t>138 min</t>
        </is>
      </c>
      <c r="K167" s="19" t="inlineStr">
        <is>
          <t>Comedies, Dramas, International Movies</t>
        </is>
      </c>
      <c r="L167" s="19" t="inlineStr">
        <is>
          <t>Posing as her bubbly identical twin for a quiz contest, a shy student crushes on a fellow participant, who falls for her — thinking she’s her sister.</t>
        </is>
      </c>
      <c r="M167" s="19" t="n">
        <v>2020</v>
      </c>
      <c r="N167" s="19">
        <f>IF(AND(OR(YearFilter="All",$M167=YearFilter),OR(RatingFilter="All",$I167=RatingFilter),OR(TypeFilter="All",$B167=TypeFilter),OR(GenreFilter="All",COUNTIFS(tblGenre[show_id],$A167,tblGenre[Genre],GenreFilter)&gt;0)),1,0)</f>
        <v/>
      </c>
    </row>
    <row r="168" ht="15" customHeight="1" s="20">
      <c r="A168" s="19" t="inlineStr">
        <is>
          <t>s2027</t>
        </is>
      </c>
      <c r="B168" s="19" t="inlineStr">
        <is>
          <t>Movie</t>
        </is>
      </c>
      <c r="C168" s="19" t="inlineStr">
        <is>
          <t>Poshter Girl</t>
        </is>
      </c>
      <c r="D168" s="19" t="inlineStr">
        <is>
          <t>Sameer Patil</t>
        </is>
      </c>
      <c r="E168" s="19" t="inlineStr">
        <is>
          <t>Sonalee Kulkarni, Hrishikesh Joshi, Jitendra Joshi, Aniket Vishwasrao, Hemant Dhome, Sandeep Pathak, Siddharth Menon, Akshay Tanksale, Vaibhav Mangale, Anand Ingale</t>
        </is>
      </c>
      <c r="F168" s="19" t="inlineStr">
        <is>
          <t>India</t>
        </is>
      </c>
      <c r="G168" s="19" t="inlineStr">
        <is>
          <t>2020-09-10</t>
        </is>
      </c>
      <c r="H168" s="19" t="n">
        <v>2016</v>
      </c>
      <c r="I168" s="19" t="inlineStr">
        <is>
          <t>TV-14</t>
        </is>
      </c>
      <c r="J168" s="19" t="inlineStr">
        <is>
          <t>138 min</t>
        </is>
      </c>
      <c r="K168" s="19" t="inlineStr">
        <is>
          <t>Comedies, Dramas, International Movies</t>
        </is>
      </c>
      <c r="L168" s="19" t="inlineStr">
        <is>
          <t>In a town infamous for female infanticide, a young woman’s arrival has local bachelors vying for her hand in marriage — but she has a bigger agenda.</t>
        </is>
      </c>
      <c r="M168" s="19" t="n">
        <v>2020</v>
      </c>
      <c r="N168" s="19">
        <f>IF(AND(OR(YearFilter="All",$M168=YearFilter),OR(RatingFilter="All",$I168=RatingFilter),OR(TypeFilter="All",$B168=TypeFilter),OR(GenreFilter="All",COUNTIFS(tblGenre[show_id],$A168,tblGenre[Genre],GenreFilter)&gt;0)),1,0)</f>
        <v/>
      </c>
    </row>
    <row r="169" ht="15" customHeight="1" s="20">
      <c r="A169" s="19" t="inlineStr">
        <is>
          <t>s2031</t>
        </is>
      </c>
      <c r="B169" s="19" t="inlineStr">
        <is>
          <t>Movie</t>
        </is>
      </c>
      <c r="C169" s="19" t="inlineStr">
        <is>
          <t>Cargo</t>
        </is>
      </c>
      <c r="D169" s="19" t="inlineStr">
        <is>
          <t>Arati Kadav</t>
        </is>
      </c>
      <c r="E169" s="19" t="inlineStr">
        <is>
          <t>Vikrant Massey, Shweta Tripathi, Nandu Madhav, Konkona Sen Sharma, Biswapati Sarkar, Ritwik Bhaumik, Prabal Panjabi, Hansal Mehta</t>
        </is>
      </c>
      <c r="F169" s="19" t="inlineStr">
        <is>
          <t>India</t>
        </is>
      </c>
      <c r="G169" s="19" t="inlineStr">
        <is>
          <t>2020-09-09</t>
        </is>
      </c>
      <c r="H169" s="19" t="n">
        <v>2020</v>
      </c>
      <c r="I169" s="19" t="inlineStr">
        <is>
          <t>TV-14</t>
        </is>
      </c>
      <c r="J169" s="19" t="inlineStr">
        <is>
          <t>113 min</t>
        </is>
      </c>
      <c r="K169" s="19" t="inlineStr">
        <is>
          <t>Comedies, Dramas, Independent Movies</t>
        </is>
      </c>
      <c r="L169" s="19" t="inlineStr">
        <is>
          <t>Aboard a spaceship where souls of the deceased are readied for reincarnation, a lone crew member’s rigid existence is disrupted by a spry new assistant.</t>
        </is>
      </c>
      <c r="M169" s="19" t="n">
        <v>2020</v>
      </c>
      <c r="N169" s="19">
        <f>IF(AND(OR(YearFilter="All",$M169=YearFilter),OR(RatingFilter="All",$I169=RatingFilter),OR(TypeFilter="All",$B169=TypeFilter),OR(GenreFilter="All",COUNTIFS(tblGenre[show_id],$A169,tblGenre[Genre],GenreFilter)&gt;0)),1,0)</f>
        <v/>
      </c>
    </row>
    <row r="170" ht="15" customHeight="1" s="20">
      <c r="A170" s="19" t="inlineStr">
        <is>
          <t>s2075</t>
        </is>
      </c>
      <c r="B170" s="19" t="inlineStr">
        <is>
          <t>Movie</t>
        </is>
      </c>
      <c r="C170" s="19" t="inlineStr">
        <is>
          <t>Soldier</t>
        </is>
      </c>
      <c r="D170" s="19" t="inlineStr">
        <is>
          <t>Abbas Mustan</t>
        </is>
      </c>
      <c r="E170" s="19" t="inlineStr">
        <is>
          <t>Rakhee Gulzar, Bobby Deol, Preity Zinta</t>
        </is>
      </c>
      <c r="F170" s="19" t="inlineStr">
        <is>
          <t>India</t>
        </is>
      </c>
      <c r="G170" s="19" t="inlineStr">
        <is>
          <t>2020-09-01</t>
        </is>
      </c>
      <c r="H170" s="19" t="n">
        <v>1998</v>
      </c>
      <c r="I170" s="19" t="inlineStr">
        <is>
          <t>TV-14</t>
        </is>
      </c>
      <c r="J170" s="19" t="inlineStr">
        <is>
          <t>155 min</t>
        </is>
      </c>
      <c r="K170" s="19" t="inlineStr">
        <is>
          <t>Comedies, Dramas, International Movies</t>
        </is>
      </c>
      <c r="L170" s="19" t="inlineStr">
        <is>
          <t>On the run from Indian police, a mysterious man escapes to Australia and falls in love with the daughter of an Indian criminal who lives there.</t>
        </is>
      </c>
      <c r="M170" s="19" t="n">
        <v>2020</v>
      </c>
      <c r="N170" s="19">
        <f>IF(AND(OR(YearFilter="All",$M170=YearFilter),OR(RatingFilter="All",$I170=RatingFilter),OR(TypeFilter="All",$B170=TypeFilter),OR(GenreFilter="All",COUNTIFS(tblGenre[show_id],$A170,tblGenre[Genre],GenreFilter)&gt;0)),1,0)</f>
        <v/>
      </c>
    </row>
    <row r="171" ht="15" customHeight="1" s="20">
      <c r="A171" s="19" t="inlineStr">
        <is>
          <t>s2083</t>
        </is>
      </c>
      <c r="B171" s="19" t="inlineStr">
        <is>
          <t>Movie</t>
        </is>
      </c>
      <c r="C171" s="19" t="inlineStr">
        <is>
          <t>Maniyarayile Ashokan</t>
        </is>
      </c>
      <c r="D171" s="19" t="inlineStr">
        <is>
          <t>Shamzu Zayba</t>
        </is>
      </c>
      <c r="E171" s="19" t="inlineStr">
        <is>
          <t>Jacob Gregory, S.V. Krishna Shankar, Shine Tom Chacko, Vijayaraghavan, Sri Lakshmi, Anupama Parameswaran, Dulquer Salmaan, Nazriya Fahad</t>
        </is>
      </c>
      <c r="F171" s="19" t="inlineStr">
        <is>
          <t>India</t>
        </is>
      </c>
      <c r="G171" s="19" t="inlineStr">
        <is>
          <t>2020-08-31</t>
        </is>
      </c>
      <c r="H171" s="19" t="n">
        <v>2020</v>
      </c>
      <c r="I171" s="19" t="inlineStr">
        <is>
          <t>TV-14</t>
        </is>
      </c>
      <c r="J171" s="19" t="inlineStr">
        <is>
          <t>110 min</t>
        </is>
      </c>
      <c r="K171" s="19" t="inlineStr">
        <is>
          <t>Comedies, International Movies, Romantic Movies</t>
        </is>
      </c>
      <c r="L171" s="19" t="inlineStr">
        <is>
          <t>When his unlucky horoscope doesn’t bode well for his future wife, an earnest bachelor goes to surprising lengths to get the family he’s always wanted.</t>
        </is>
      </c>
      <c r="M171" s="19" t="n">
        <v>2020</v>
      </c>
      <c r="N171" s="19">
        <f>IF(AND(OR(YearFilter="All",$M171=YearFilter),OR(RatingFilter="All",$I171=RatingFilter),OR(TypeFilter="All",$B171=TypeFilter),OR(GenreFilter="All",COUNTIFS(tblGenre[show_id],$A171,tblGenre[Genre],GenreFilter)&gt;0)),1,0)</f>
        <v/>
      </c>
    </row>
    <row r="172" ht="15" customHeight="1" s="20">
      <c r="A172" s="19" t="inlineStr">
        <is>
          <t>s2087</t>
        </is>
      </c>
      <c r="B172" s="19" t="inlineStr">
        <is>
          <t>TV Show</t>
        </is>
      </c>
      <c r="C172" s="19" t="inlineStr">
        <is>
          <t>Masaba Masaba</t>
        </is>
      </c>
      <c r="E172" s="19" t="inlineStr">
        <is>
          <t>Masaba Gupta, Neena Gupta, Neil Bhoopalam, Rytasha Rathore, Smaran Sahu, Nayan Shukla, Pooja Bedi, Satyadeep Misra</t>
        </is>
      </c>
      <c r="F172" s="19" t="inlineStr">
        <is>
          <t>India</t>
        </is>
      </c>
      <c r="G172" s="19" t="inlineStr">
        <is>
          <t>2020-08-28</t>
        </is>
      </c>
      <c r="H172" s="19" t="n">
        <v>2020</v>
      </c>
      <c r="I172" s="19" t="inlineStr">
        <is>
          <t>TV-MA</t>
        </is>
      </c>
      <c r="J172" s="19" t="inlineStr">
        <is>
          <t>1 Season</t>
        </is>
      </c>
      <c r="K172" s="19" t="inlineStr">
        <is>
          <t>International TV Shows, TV Comedies, TV Dramas</t>
        </is>
      </c>
      <c r="L172" s="19" t="inlineStr">
        <is>
          <t>Real life mom-daughter duo Neena and Masaba Gupta play versions of themselves in this playful, fictional peek into their lives in fashion and film.</t>
        </is>
      </c>
      <c r="M172" s="19" t="n">
        <v>2020</v>
      </c>
      <c r="N172" s="19">
        <f>IF(AND(OR(YearFilter="All",$M172=YearFilter),OR(RatingFilter="All",$I172=RatingFilter),OR(TypeFilter="All",$B172=TypeFilter),OR(GenreFilter="All",COUNTIFS(tblGenre[show_id],$A172,tblGenre[Genre],GenreFilter)&gt;0)),1,0)</f>
        <v/>
      </c>
    </row>
    <row r="173" ht="15" customHeight="1" s="20">
      <c r="A173" s="19" t="inlineStr">
        <is>
          <t>s2104</t>
        </is>
      </c>
      <c r="B173" s="19" t="inlineStr">
        <is>
          <t>Movie</t>
        </is>
      </c>
      <c r="C173" s="19" t="inlineStr">
        <is>
          <t>Class of '83</t>
        </is>
      </c>
      <c r="D173" s="19" t="inlineStr">
        <is>
          <t>Atul Sabharwal</t>
        </is>
      </c>
      <c r="E173" s="19" t="inlineStr">
        <is>
          <t>Bobby Deol, Bhupendra Jadawat, Hitesh Bhojraj, Anup Soni, Joy Sengupta, Sameer Paranjape, Ninad Mahajani, Prithvik Pratap</t>
        </is>
      </c>
      <c r="F173" s="19" t="inlineStr">
        <is>
          <t>India</t>
        </is>
      </c>
      <c r="G173" s="19" t="inlineStr">
        <is>
          <t>2020-08-21</t>
        </is>
      </c>
      <c r="H173" s="19" t="n">
        <v>2020</v>
      </c>
      <c r="I173" s="19" t="inlineStr">
        <is>
          <t>TV-14</t>
        </is>
      </c>
      <c r="J173" s="19" t="inlineStr">
        <is>
          <t>98 min</t>
        </is>
      </c>
      <c r="K173" s="19" t="inlineStr">
        <is>
          <t>Dramas, International Movies, Thrillers</t>
        </is>
      </c>
      <c r="L173" s="19" t="inlineStr">
        <is>
          <t>Demoted to an academy job, a cop trains five foolhardy students as assassins in his risky revenge plot against police corruption and the underworld.</t>
        </is>
      </c>
      <c r="M173" s="19" t="n">
        <v>2020</v>
      </c>
      <c r="N173" s="19">
        <f>IF(AND(OR(YearFilter="All",$M173=YearFilter),OR(RatingFilter="All",$I173=RatingFilter),OR(TypeFilter="All",$B173=TypeFilter),OR(GenreFilter="All",COUNTIFS(tblGenre[show_id],$A173,tblGenre[Genre],GenreFilter)&gt;0)),1,0)</f>
        <v/>
      </c>
    </row>
    <row r="174" ht="15" customHeight="1" s="20">
      <c r="A174" s="19" t="inlineStr">
        <is>
          <t>s2127</t>
        </is>
      </c>
      <c r="B174" s="19" t="inlineStr">
        <is>
          <t>Movie</t>
        </is>
      </c>
      <c r="C174" s="19" t="inlineStr">
        <is>
          <t>What's Your Raashee?</t>
        </is>
      </c>
      <c r="D174" s="19" t="inlineStr">
        <is>
          <t>Ashutosh Gowariker</t>
        </is>
      </c>
      <c r="E174" s="19" t="inlineStr">
        <is>
          <t>Harman Baweja, Priyanka Chopra, Manju Singh, Anjan Srivastav, Darshan Jariwala, Dilip Joshi, Vishwa Badola, Rajesh Vivek, Daya Shankar Pandey, Yuri Suri</t>
        </is>
      </c>
      <c r="F174" s="19" t="inlineStr">
        <is>
          <t>India</t>
        </is>
      </c>
      <c r="G174" s="19" t="inlineStr">
        <is>
          <t>2020-08-15</t>
        </is>
      </c>
      <c r="H174" s="19" t="n">
        <v>2009</v>
      </c>
      <c r="I174" s="19" t="inlineStr">
        <is>
          <t>TV-PG</t>
        </is>
      </c>
      <c r="J174" s="19" t="inlineStr">
        <is>
          <t>203 min</t>
        </is>
      </c>
      <c r="K174" s="19" t="inlineStr">
        <is>
          <t>Comedies, International Movies, Music &amp; Musicals</t>
        </is>
      </c>
      <c r="L174" s="19" t="inlineStr">
        <is>
          <t>To protect his family from ruin, Yogesh must marry his dream girl in only ten days, so he rushes into dating women with different astrological signs.</t>
        </is>
      </c>
      <c r="M174" s="19" t="n">
        <v>2020</v>
      </c>
      <c r="N174" s="19">
        <f>IF(AND(OR(YearFilter="All",$M174=YearFilter),OR(RatingFilter="All",$I174=RatingFilter),OR(TypeFilter="All",$B174=TypeFilter),OR(GenreFilter="All",COUNTIFS(tblGenre[show_id],$A174,tblGenre[Genre],GenreFilter)&gt;0)),1,0)</f>
        <v/>
      </c>
    </row>
    <row r="175" ht="15" customHeight="1" s="20">
      <c r="A175" s="19" t="inlineStr">
        <is>
          <t>s2142</t>
        </is>
      </c>
      <c r="B175" s="19" t="inlineStr">
        <is>
          <t>Movie</t>
        </is>
      </c>
      <c r="C175" s="19" t="inlineStr">
        <is>
          <t>Gunjan Saxena: The Kargil Girl</t>
        </is>
      </c>
      <c r="D175" s="19" t="inlineStr">
        <is>
          <t>Sharan Sharma</t>
        </is>
      </c>
      <c r="E175" s="19" t="inlineStr">
        <is>
          <t>Janhvi Kapoor, Pankaj Tripathi, Angad Bedi, Viineet Kumar, Manav Vij, Ayesha Raza Mishra</t>
        </is>
      </c>
      <c r="F175" s="19" t="inlineStr">
        <is>
          <t>India</t>
        </is>
      </c>
      <c r="G175" s="19" t="inlineStr">
        <is>
          <t>2020-08-12</t>
        </is>
      </c>
      <c r="H175" s="19" t="n">
        <v>2020</v>
      </c>
      <c r="I175" s="19" t="inlineStr">
        <is>
          <t>TV-14</t>
        </is>
      </c>
      <c r="J175" s="19" t="inlineStr">
        <is>
          <t>113 min</t>
        </is>
      </c>
      <c r="K175" s="19" t="inlineStr">
        <is>
          <t>Action &amp; Adventure, Dramas, International Movies</t>
        </is>
      </c>
      <c r="L175" s="19" t="inlineStr">
        <is>
          <t>Flight Lieutenant Gunjan Saxena makes history in her journey from aspiring aviator to India’s first female combat pilot in the Kargil War.</t>
        </is>
      </c>
      <c r="M175" s="19" t="n">
        <v>2020</v>
      </c>
      <c r="N175" s="19">
        <f>IF(AND(OR(YearFilter="All",$M175=YearFilter),OR(RatingFilter="All",$I175=RatingFilter),OR(TypeFilter="All",$B175=TypeFilter),OR(GenreFilter="All",COUNTIFS(tblGenre[show_id],$A175,tblGenre[Genre],GenreFilter)&gt;0)),1,0)</f>
        <v/>
      </c>
    </row>
    <row r="176" ht="15" customHeight="1" s="20">
      <c r="A176" s="19" t="inlineStr">
        <is>
          <t>s2187</t>
        </is>
      </c>
      <c r="B176" s="19" t="inlineStr">
        <is>
          <t>Movie</t>
        </is>
      </c>
      <c r="C176" s="19" t="inlineStr">
        <is>
          <t>Raat Akeli Hai</t>
        </is>
      </c>
      <c r="D176" s="19" t="inlineStr">
        <is>
          <t>Honey Trehan</t>
        </is>
      </c>
      <c r="E176" s="19" t="inlineStr">
        <is>
          <t>Nawazuddin Siddiqui, Radhika Apte, Khalid Tyabji, Aditya Srivastava, Padmavati Rao, Shivani Raghuvanshi, Nishant Dahiya, Shweta Tripathi, Gyanendra Tripathi, Shreedhar Dubey, Swanand Kirkire, Riya Shukla, Tigmanshu Dhulia, Ila Arun, Natasha Rastogi</t>
        </is>
      </c>
      <c r="F176" s="19" t="inlineStr">
        <is>
          <t>India</t>
        </is>
      </c>
      <c r="G176" s="19" t="inlineStr">
        <is>
          <t>2020-07-31</t>
        </is>
      </c>
      <c r="H176" s="19" t="n">
        <v>2020</v>
      </c>
      <c r="I176" s="19" t="inlineStr">
        <is>
          <t>TV-MA</t>
        </is>
      </c>
      <c r="J176" s="19" t="inlineStr">
        <is>
          <t>150 min</t>
        </is>
      </c>
      <c r="K176" s="19" t="inlineStr">
        <is>
          <t>Dramas, International Movies, Thrillers</t>
        </is>
      </c>
      <c r="L176" s="19" t="inlineStr">
        <is>
          <t>When a newly married landlord is murdered, a misfit cop’s investigation is complicated by the victim’s secretive family and his own conflicted heart.</t>
        </is>
      </c>
      <c r="M176" s="19" t="n">
        <v>2020</v>
      </c>
      <c r="N176" s="19">
        <f>IF(AND(OR(YearFilter="All",$M176=YearFilter),OR(RatingFilter="All",$I176=RatingFilter),OR(TypeFilter="All",$B176=TypeFilter),OR(GenreFilter="All",COUNTIFS(tblGenre[show_id],$A176,tblGenre[Genre],GenreFilter)&gt;0)),1,0)</f>
        <v/>
      </c>
    </row>
    <row r="177" ht="15" customHeight="1" s="20">
      <c r="A177" s="19" t="inlineStr">
        <is>
          <t>s2194</t>
        </is>
      </c>
      <c r="B177" s="19" t="inlineStr">
        <is>
          <t>Movie</t>
        </is>
      </c>
      <c r="C177" s="19" t="inlineStr">
        <is>
          <t>Uma Maheswara Ugra Roopasya</t>
        </is>
      </c>
      <c r="D177" s="19" t="inlineStr">
        <is>
          <t>Venkatesh Maha</t>
        </is>
      </c>
      <c r="E177" s="19" t="inlineStr">
        <is>
          <t>Satya Dev, VK Naresh, Raghavan, Suhas P, Ravindra Vijay, Chandana Koppisetti, Roopa Koduvayur, Kushalini Pulapa</t>
        </is>
      </c>
      <c r="F177" s="19" t="inlineStr">
        <is>
          <t>India</t>
        </is>
      </c>
      <c r="G177" s="19" t="inlineStr">
        <is>
          <t>2020-07-30</t>
        </is>
      </c>
      <c r="H177" s="19" t="n">
        <v>2020</v>
      </c>
      <c r="I177" s="19" t="inlineStr">
        <is>
          <t>TV-MA</t>
        </is>
      </c>
      <c r="J177" s="19" t="inlineStr">
        <is>
          <t>137 min</t>
        </is>
      </c>
      <c r="K177" s="19" t="inlineStr">
        <is>
          <t>Comedies, Dramas, Independent Movies</t>
        </is>
      </c>
      <c r="L177" s="19" t="inlineStr">
        <is>
          <t>Defeated and humiliated in a fight while trying to defuse a conflict among his fellow villagers, a photographer vows revenge on his attacker.</t>
        </is>
      </c>
      <c r="M177" s="19" t="n">
        <v>2020</v>
      </c>
      <c r="N177" s="19">
        <f>IF(AND(OR(YearFilter="All",$M177=YearFilter),OR(RatingFilter="All",$I177=RatingFilter),OR(TypeFilter="All",$B177=TypeFilter),OR(GenreFilter="All",COUNTIFS(tblGenre[show_id],$A177,tblGenre[Genre],GenreFilter)&gt;0)),1,0)</f>
        <v/>
      </c>
    </row>
    <row r="178" ht="15" customHeight="1" s="20">
      <c r="A178" s="19" t="inlineStr">
        <is>
          <t>s2205</t>
        </is>
      </c>
      <c r="B178" s="19" t="inlineStr">
        <is>
          <t>Movie</t>
        </is>
      </c>
      <c r="C178" s="19" t="inlineStr">
        <is>
          <t>Door Ke Darshan</t>
        </is>
      </c>
      <c r="D178" s="19" t="inlineStr">
        <is>
          <t>Gagan Puri</t>
        </is>
      </c>
      <c r="E178" s="19" t="inlineStr">
        <is>
          <t>Dolly Ahluwalia, Manu Rishi Chadha, Mahie Gill, Shardul Rana, Archita Sharma, Rajesh Sharma, Supriya Shukla, Mehak Manwani</t>
        </is>
      </c>
      <c r="F178" s="19" t="inlineStr">
        <is>
          <t>India</t>
        </is>
      </c>
      <c r="G178" s="19" t="inlineStr">
        <is>
          <t>2020-07-25</t>
        </is>
      </c>
      <c r="H178" s="19" t="n">
        <v>2020</v>
      </c>
      <c r="I178" s="19" t="inlineStr">
        <is>
          <t>TV-14</t>
        </is>
      </c>
      <c r="J178" s="19" t="inlineStr">
        <is>
          <t>114 min</t>
        </is>
      </c>
      <c r="K178" s="19" t="inlineStr">
        <is>
          <t>Comedies, International Movies</t>
        </is>
      </c>
      <c r="L178" s="19" t="inlineStr">
        <is>
          <t>When a matriarch wakes from a 30-year coma, her wacky family frantically recreates a bygone era to keep her from noticing how much time has passed.</t>
        </is>
      </c>
      <c r="M178" s="19" t="n">
        <v>2020</v>
      </c>
      <c r="N178" s="19">
        <f>IF(AND(OR(YearFilter="All",$M178=YearFilter),OR(RatingFilter="All",$I178=RatingFilter),OR(TypeFilter="All",$B178=TypeFilter),OR(GenreFilter="All",COUNTIFS(tblGenre[show_id],$A178,tblGenre[Genre],GenreFilter)&gt;0)),1,0)</f>
        <v/>
      </c>
    </row>
    <row r="179" ht="15" customHeight="1" s="20">
      <c r="A179" s="19" t="inlineStr">
        <is>
          <t>s2207</t>
        </is>
      </c>
      <c r="B179" s="19" t="inlineStr">
        <is>
          <t>Movie</t>
        </is>
      </c>
      <c r="C179" s="19" t="inlineStr">
        <is>
          <t>Project Marathwada</t>
        </is>
      </c>
      <c r="D179" s="19" t="inlineStr">
        <is>
          <t>Bhavin Wadia</t>
        </is>
      </c>
      <c r="E179" s="19" t="inlineStr">
        <is>
          <t>Om Puri, Seema Biswas, Kunal Sheth, Rahul Patel, Katarina Kajkus, Farrah Kader, Govind Namdeo, Dalip Tahil</t>
        </is>
      </c>
      <c r="F179" s="19" t="inlineStr">
        <is>
          <t>India</t>
        </is>
      </c>
      <c r="G179" s="19" t="inlineStr">
        <is>
          <t>2020-07-25</t>
        </is>
      </c>
      <c r="H179" s="19" t="n">
        <v>2016</v>
      </c>
      <c r="I179" s="19" t="inlineStr">
        <is>
          <t>TV-MA</t>
        </is>
      </c>
      <c r="J179" s="19" t="inlineStr">
        <is>
          <t>103 min</t>
        </is>
      </c>
      <c r="K179" s="19" t="inlineStr">
        <is>
          <t>Dramas, Independent Movies, International Movies</t>
        </is>
      </c>
      <c r="L179" s="19" t="inlineStr">
        <is>
          <t>After his son’s suicide, a debt-ridden farmer seeks justice from the government. But as his pleas are mocked and rebuffed, his own will to live erodes.</t>
        </is>
      </c>
      <c r="M179" s="19" t="n">
        <v>2020</v>
      </c>
      <c r="N179" s="19">
        <f>IF(AND(OR(YearFilter="All",$M179=YearFilter),OR(RatingFilter="All",$I179=RatingFilter),OR(TypeFilter="All",$B179=TypeFilter),OR(GenreFilter="All",COUNTIFS(tblGenre[show_id],$A179,tblGenre[Genre],GenreFilter)&gt;0)),1,0)</f>
        <v/>
      </c>
    </row>
    <row r="180" ht="15" customHeight="1" s="20">
      <c r="A180" s="19" t="inlineStr">
        <is>
          <t>s2265</t>
        </is>
      </c>
      <c r="B180" s="19" t="inlineStr">
        <is>
          <t>Movie</t>
        </is>
      </c>
      <c r="C180" s="19" t="inlineStr">
        <is>
          <t>Aiyyaa</t>
        </is>
      </c>
      <c r="D180" s="19" t="inlineStr">
        <is>
          <t>Sachin Kundalkar</t>
        </is>
      </c>
      <c r="E180" s="19" t="inlineStr">
        <is>
          <t>Rani Mukerji, Prithviraj Sukumaran, Nirmiti Sawant, Subodh Bhave, Jyoti Subhash, Satish Alekar, Anita Date, Amey Wagh, Kishori Balal, Pakoda Pandi</t>
        </is>
      </c>
      <c r="F180" s="19" t="inlineStr">
        <is>
          <t>India</t>
        </is>
      </c>
      <c r="G180" s="19" t="inlineStr">
        <is>
          <t>2020-07-05</t>
        </is>
      </c>
      <c r="H180" s="19" t="n">
        <v>2012</v>
      </c>
      <c r="I180" s="19" t="inlineStr">
        <is>
          <t>TV-14</t>
        </is>
      </c>
      <c r="J180" s="19" t="inlineStr">
        <is>
          <t>151 min</t>
        </is>
      </c>
      <c r="K180" s="19" t="inlineStr">
        <is>
          <t>Comedies, International Movies, Music &amp; Musicals</t>
        </is>
      </c>
      <c r="L180" s="19" t="inlineStr">
        <is>
          <t>An outspoken, imaginative girl from a conservative family pursues her dream man while fending off the prospect of an arranged marriage.</t>
        </is>
      </c>
      <c r="M180" s="19" t="n">
        <v>2020</v>
      </c>
      <c r="N180" s="19">
        <f>IF(AND(OR(YearFilter="All",$M180=YearFilter),OR(RatingFilter="All",$I180=RatingFilter),OR(TypeFilter="All",$B180=TypeFilter),OR(GenreFilter="All",COUNTIFS(tblGenre[show_id],$A180,tblGenre[Genre],GenreFilter)&gt;0)),1,0)</f>
        <v/>
      </c>
    </row>
    <row r="181" ht="15" customHeight="1" s="20">
      <c r="A181" s="19" t="inlineStr">
        <is>
          <t>s2266</t>
        </is>
      </c>
      <c r="B181" s="19" t="inlineStr">
        <is>
          <t>Movie</t>
        </is>
      </c>
      <c r="C181" s="19" t="inlineStr">
        <is>
          <t>Bbuddah Hoga Terra Baap</t>
        </is>
      </c>
      <c r="D181" s="19" t="inlineStr">
        <is>
          <t>Puri Jagannadh</t>
        </is>
      </c>
      <c r="E181" s="19" t="inlineStr">
        <is>
          <t>Amitabh Bachchan, Hema Malini, Raveena Tandon, Sonu Sood, Sonal Chauhan, Charmy Kaur, Prakash Raj, Makrand Deshpande, Subbaraju, Shawar Ali, Rajeev Verma</t>
        </is>
      </c>
      <c r="F181" s="19" t="inlineStr">
        <is>
          <t>India</t>
        </is>
      </c>
      <c r="G181" s="19" t="inlineStr">
        <is>
          <t>2020-07-05</t>
        </is>
      </c>
      <c r="H181" s="19" t="n">
        <v>2011</v>
      </c>
      <c r="I181" s="19" t="inlineStr">
        <is>
          <t>TV-14</t>
        </is>
      </c>
      <c r="J181" s="19" t="inlineStr">
        <is>
          <t>116 min</t>
        </is>
      </c>
      <c r="K181" s="19" t="inlineStr">
        <is>
          <t>Action &amp; Adventure, Comedies, Dramas</t>
        </is>
      </c>
      <c r="L181" s="19" t="inlineStr">
        <is>
          <t>A cooly confident aging hit man returns from exile in Paris to his old city, Mumbai, to revisit his past and perform one last job.</t>
        </is>
      </c>
      <c r="M181" s="19" t="n">
        <v>2020</v>
      </c>
      <c r="N181" s="19">
        <f>IF(AND(OR(YearFilter="All",$M181=YearFilter),OR(RatingFilter="All",$I181=RatingFilter),OR(TypeFilter="All",$B181=TypeFilter),OR(GenreFilter="All",COUNTIFS(tblGenre[show_id],$A181,tblGenre[Genre],GenreFilter)&gt;0)),1,0)</f>
        <v/>
      </c>
    </row>
    <row r="182" ht="15" customHeight="1" s="20">
      <c r="A182" s="19" t="inlineStr">
        <is>
          <t>s2267</t>
        </is>
      </c>
      <c r="B182" s="19" t="inlineStr">
        <is>
          <t>Movie</t>
        </is>
      </c>
      <c r="C182" s="19" t="inlineStr">
        <is>
          <t>Blood Money</t>
        </is>
      </c>
      <c r="D182" s="19" t="inlineStr">
        <is>
          <t>Vishal Mahadkar</t>
        </is>
      </c>
      <c r="E182" s="19" t="inlineStr">
        <is>
          <t>Manish Chaudhary, Kunal Kemmu, Amrita Puri, Shekar Shukla, Teeshay, Mia Evonne Uyeda</t>
        </is>
      </c>
      <c r="F182" s="19" t="inlineStr">
        <is>
          <t>India</t>
        </is>
      </c>
      <c r="G182" s="19" t="inlineStr">
        <is>
          <t>2020-07-05</t>
        </is>
      </c>
      <c r="H182" s="19" t="n">
        <v>2012</v>
      </c>
      <c r="I182" s="19" t="inlineStr">
        <is>
          <t>TV-14</t>
        </is>
      </c>
      <c r="J182" s="19" t="inlineStr">
        <is>
          <t>110 min</t>
        </is>
      </c>
      <c r="K182" s="19" t="inlineStr">
        <is>
          <t>Dramas, International Movies, Romantic Movies</t>
        </is>
      </c>
      <c r="L182" s="19" t="inlineStr">
        <is>
          <t>Ambitious Kunal takes a job in the diamond business, but his life is thrown into turmoil when he's drawn into the seedy underworld of his new career.</t>
        </is>
      </c>
      <c r="M182" s="19" t="n">
        <v>2020</v>
      </c>
      <c r="N182" s="19">
        <f>IF(AND(OR(YearFilter="All",$M182=YearFilter),OR(RatingFilter="All",$I182=RatingFilter),OR(TypeFilter="All",$B182=TypeFilter),OR(GenreFilter="All",COUNTIFS(tblGenre[show_id],$A182,tblGenre[Genre],GenreFilter)&gt;0)),1,0)</f>
        <v/>
      </c>
    </row>
    <row r="183" ht="15" customHeight="1" s="20">
      <c r="A183" s="19" t="inlineStr">
        <is>
          <t>s2268</t>
        </is>
      </c>
      <c r="B183" s="19" t="inlineStr">
        <is>
          <t>Movie</t>
        </is>
      </c>
      <c r="C183" s="19" t="inlineStr">
        <is>
          <t>Bombay Talkies</t>
        </is>
      </c>
      <c r="D183" s="19" t="inlineStr">
        <is>
          <t>Anurag Kashyap, Dibakar Banerjee, Karan Johar, Zoya Akhtar</t>
        </is>
      </c>
      <c r="E183" s="19" t="inlineStr">
        <is>
          <t>Rani Mukerji, Randeep Hooda, Saqib Saleem, Nawazuddin Siddiqui, Sadashiv Amrapurkar, Amitabh Bachchan, Ranvir Shorey, Katrina Kaif, Diana Penty</t>
        </is>
      </c>
      <c r="F183" s="19" t="inlineStr">
        <is>
          <t>India</t>
        </is>
      </c>
      <c r="G183" s="19" t="inlineStr">
        <is>
          <t>2020-07-05</t>
        </is>
      </c>
      <c r="H183" s="19" t="n">
        <v>2013</v>
      </c>
      <c r="I183" s="19" t="inlineStr">
        <is>
          <t>TV-MA</t>
        </is>
      </c>
      <c r="J183" s="19" t="inlineStr">
        <is>
          <t>123 min</t>
        </is>
      </c>
      <c r="K183" s="19" t="inlineStr">
        <is>
          <t>Dramas, International Movies</t>
        </is>
      </c>
      <c r="L183" s="19" t="inlineStr">
        <is>
          <t>A gay man deals with his sexuality, a struggling actor has an epiphany, a boy becomes a dancer, and a man tries to fulfill his father's dying wish.</t>
        </is>
      </c>
      <c r="M183" s="19" t="n">
        <v>2020</v>
      </c>
      <c r="N183" s="19">
        <f>IF(AND(OR(YearFilter="All",$M183=YearFilter),OR(RatingFilter="All",$I183=RatingFilter),OR(TypeFilter="All",$B183=TypeFilter),OR(GenreFilter="All",COUNTIFS(tblGenre[show_id],$A183,tblGenre[Genre],GenreFilter)&gt;0)),1,0)</f>
        <v/>
      </c>
    </row>
    <row r="184" ht="15" customHeight="1" s="20">
      <c r="A184" s="19" t="inlineStr">
        <is>
          <t>s2269</t>
        </is>
      </c>
      <c r="B184" s="19" t="inlineStr">
        <is>
          <t>Movie</t>
        </is>
      </c>
      <c r="C184" s="19" t="inlineStr">
        <is>
          <t>Boss</t>
        </is>
      </c>
      <c r="D184" s="19" t="inlineStr">
        <is>
          <t>Anthony D'Souza</t>
        </is>
      </c>
      <c r="E184" s="19" t="inlineStr">
        <is>
          <t>Akshay Kumar, Ronit Roy, Shiv Pandit, Mithun Chakraborty, Johny Lever, Aditi Rao Hydari, Danny Denzongpa, Govind Namdeo, Parikshat Sahni, Aakash Dabhade</t>
        </is>
      </c>
      <c r="F184" s="19" t="inlineStr">
        <is>
          <t>India</t>
        </is>
      </c>
      <c r="G184" s="19" t="inlineStr">
        <is>
          <t>2020-07-05</t>
        </is>
      </c>
      <c r="H184" s="19" t="n">
        <v>2013</v>
      </c>
      <c r="I184" s="19" t="inlineStr">
        <is>
          <t>TV-14</t>
        </is>
      </c>
      <c r="J184" s="19" t="inlineStr">
        <is>
          <t>139 min</t>
        </is>
      </c>
      <c r="K184" s="19" t="inlineStr">
        <is>
          <t>Action &amp; Adventure, Comedies, Dramas</t>
        </is>
      </c>
      <c r="L184" s="19" t="inlineStr">
        <is>
          <t>Disowned by his father as a boy, Surya is taken in by a crime boss. When his brother Shiv is wrongly imprisoned, his father pleads for Surya's help.</t>
        </is>
      </c>
      <c r="M184" s="19" t="n">
        <v>2020</v>
      </c>
      <c r="N184" s="19">
        <f>IF(AND(OR(YearFilter="All",$M184=YearFilter),OR(RatingFilter="All",$I184=RatingFilter),OR(TypeFilter="All",$B184=TypeFilter),OR(GenreFilter="All",COUNTIFS(tblGenre[show_id],$A184,tblGenre[Genre],GenreFilter)&gt;0)),1,0)</f>
        <v/>
      </c>
    </row>
    <row r="185" ht="15" customHeight="1" s="20">
      <c r="A185" s="19" t="inlineStr">
        <is>
          <t>s2270</t>
        </is>
      </c>
      <c r="B185" s="19" t="inlineStr">
        <is>
          <t>Movie</t>
        </is>
      </c>
      <c r="C185" s="19" t="inlineStr">
        <is>
          <t>Budhia Singh: Born to Run</t>
        </is>
      </c>
      <c r="D185" s="19" t="inlineStr">
        <is>
          <t>Soumendra Padhi</t>
        </is>
      </c>
      <c r="E185" s="19" t="inlineStr">
        <is>
          <t>Manoj Bajpayee, Mayur Mahendra Patole, Tillotama Shome, Shruti Marathe, Chhaya Kadam, Gajraj Rao</t>
        </is>
      </c>
      <c r="F185" s="19" t="inlineStr">
        <is>
          <t>India</t>
        </is>
      </c>
      <c r="G185" s="19" t="inlineStr">
        <is>
          <t>2020-07-05</t>
        </is>
      </c>
      <c r="H185" s="19" t="n">
        <v>2016</v>
      </c>
      <c r="I185" s="19" t="inlineStr">
        <is>
          <t>TV-MA</t>
        </is>
      </c>
      <c r="J185" s="19" t="inlineStr">
        <is>
          <t>95 min</t>
        </is>
      </c>
      <c r="K185" s="19" t="inlineStr">
        <is>
          <t>Dramas, Independent Movies, International Movies</t>
        </is>
      </c>
      <c r="L185" s="19" t="inlineStr">
        <is>
          <t>In this thought-provoking biopic, an idealistic judo trainer adopts a boy from the slums and grooms him into the world's youngest marathon runner.</t>
        </is>
      </c>
      <c r="M185" s="19" t="n">
        <v>2020</v>
      </c>
      <c r="N185" s="19">
        <f>IF(AND(OR(YearFilter="All",$M185=YearFilter),OR(RatingFilter="All",$I185=RatingFilter),OR(TypeFilter="All",$B185=TypeFilter),OR(GenreFilter="All",COUNTIFS(tblGenre[show_id],$A185,tblGenre[Genre],GenreFilter)&gt;0)),1,0)</f>
        <v/>
      </c>
    </row>
    <row r="186" ht="15" customHeight="1" s="20">
      <c r="A186" s="19" t="inlineStr">
        <is>
          <t>s2271</t>
        </is>
      </c>
      <c r="B186" s="19" t="inlineStr">
        <is>
          <t>Movie</t>
        </is>
      </c>
      <c r="C186" s="19" t="inlineStr">
        <is>
          <t>Chashme Baddoor</t>
        </is>
      </c>
      <c r="D186" s="19" t="inlineStr">
        <is>
          <t>David Dhawan</t>
        </is>
      </c>
      <c r="E186" s="19" t="inlineStr">
        <is>
          <t>Rishi Kapoor, Ali Zafar, Taapsee Pannu, Siddharth, Divyendu Sharma, Anupam Kher, Bharati Achrekar, Lillete Dubey, Ayaz Khan</t>
        </is>
      </c>
      <c r="F186" s="19" t="inlineStr">
        <is>
          <t>India</t>
        </is>
      </c>
      <c r="G186" s="19" t="inlineStr">
        <is>
          <t>2020-07-05</t>
        </is>
      </c>
      <c r="H186" s="19" t="n">
        <v>2013</v>
      </c>
      <c r="I186" s="19" t="inlineStr">
        <is>
          <t>TV-14</t>
        </is>
      </c>
      <c r="J186" s="19" t="inlineStr">
        <is>
          <t>121 min</t>
        </is>
      </c>
      <c r="K186" s="19" t="inlineStr">
        <is>
          <t>Comedies, International Movies, Music &amp; Musicals</t>
        </is>
      </c>
      <c r="L186" s="19" t="inlineStr">
        <is>
          <t>When pretty new neighbor Seema falls for their shy roommate Sid, jealous womanizers Omi and Jai plot to break up the new lovebirds.</t>
        </is>
      </c>
      <c r="M186" s="19" t="n">
        <v>2020</v>
      </c>
      <c r="N186" s="19">
        <f>IF(AND(OR(YearFilter="All",$M186=YearFilter),OR(RatingFilter="All",$I186=RatingFilter),OR(TypeFilter="All",$B186=TypeFilter),OR(GenreFilter="All",COUNTIFS(tblGenre[show_id],$A186,tblGenre[Genre],GenreFilter)&gt;0)),1,0)</f>
        <v/>
      </c>
    </row>
    <row r="187" ht="15" customHeight="1" s="20">
      <c r="A187" s="19" t="inlineStr">
        <is>
          <t>s2272</t>
        </is>
      </c>
      <c r="B187" s="19" t="inlineStr">
        <is>
          <t>Movie</t>
        </is>
      </c>
      <c r="C187" s="19" t="inlineStr">
        <is>
          <t>Dharam Sankat Mein</t>
        </is>
      </c>
      <c r="D187" s="19" t="inlineStr">
        <is>
          <t>Fuwad Khan</t>
        </is>
      </c>
      <c r="E187" s="19" t="inlineStr">
        <is>
          <t>Paresh Rawal, Annu Kapoor, Alka Badola Kaushal, Auritra Ghosh, Naseeruddin Shah, Manoj Raghubir Sharma, Rushita Pandya, Murli Sharma</t>
        </is>
      </c>
      <c r="F187" s="19" t="inlineStr">
        <is>
          <t>India</t>
        </is>
      </c>
      <c r="G187" s="19" t="inlineStr">
        <is>
          <t>2020-07-05</t>
        </is>
      </c>
      <c r="H187" s="19" t="n">
        <v>2015</v>
      </c>
      <c r="I187" s="19" t="inlineStr">
        <is>
          <t>TV-PG</t>
        </is>
      </c>
      <c r="J187" s="19" t="inlineStr">
        <is>
          <t>127 min</t>
        </is>
      </c>
      <c r="K187" s="19" t="inlineStr">
        <is>
          <t>Comedies, Dramas, International Movies</t>
        </is>
      </c>
      <c r="L187" s="19" t="inlineStr">
        <is>
          <t>After learning he was adopted from a Muslim couple, a Hindu man seeks his birth father but finds he must confront his bigotry to realize his quest.</t>
        </is>
      </c>
      <c r="M187" s="19" t="n">
        <v>2020</v>
      </c>
      <c r="N187" s="19">
        <f>IF(AND(OR(YearFilter="All",$M187=YearFilter),OR(RatingFilter="All",$I187=RatingFilter),OR(TypeFilter="All",$B187=TypeFilter),OR(GenreFilter="All",COUNTIFS(tblGenre[show_id],$A187,tblGenre[Genre],GenreFilter)&gt;0)),1,0)</f>
        <v/>
      </c>
    </row>
    <row r="188" ht="15" customHeight="1" s="20">
      <c r="A188" s="19" t="inlineStr">
        <is>
          <t>s2273</t>
        </is>
      </c>
      <c r="B188" s="19" t="inlineStr">
        <is>
          <t>Movie</t>
        </is>
      </c>
      <c r="C188" s="19" t="inlineStr">
        <is>
          <t>Drishyam</t>
        </is>
      </c>
      <c r="D188" s="19" t="inlineStr">
        <is>
          <t>Nishikant Kamat</t>
        </is>
      </c>
      <c r="E188" s="19" t="inlineStr">
        <is>
          <t>Ajay Devgn, Shriya Saran, Tabu, Rajat Kapoor, Ishita Dutta, Mrunal Jadhav, Prasanna Ketkar, Yogesh Sonam, Prathamesh Parab, Rishabh Chaddha</t>
        </is>
      </c>
      <c r="F188" s="19" t="inlineStr">
        <is>
          <t>India</t>
        </is>
      </c>
      <c r="G188" s="19" t="inlineStr">
        <is>
          <t>2020-07-05</t>
        </is>
      </c>
      <c r="H188" s="19" t="n">
        <v>2015</v>
      </c>
      <c r="I188" s="19" t="inlineStr">
        <is>
          <t>TV-14</t>
        </is>
      </c>
      <c r="J188" s="19" t="inlineStr">
        <is>
          <t>162 min</t>
        </is>
      </c>
      <c r="K188" s="19" t="inlineStr">
        <is>
          <t>Dramas, International Movies, Thrillers</t>
        </is>
      </c>
      <c r="L188" s="19" t="inlineStr">
        <is>
          <t>An unexceptional man becomes a murder suspect when the son of a high-ranking police official who harassed his daughter goes missing.</t>
        </is>
      </c>
      <c r="M188" s="19" t="n">
        <v>2020</v>
      </c>
      <c r="N188" s="19">
        <f>IF(AND(OR(YearFilter="All",$M188=YearFilter),OR(RatingFilter="All",$I188=RatingFilter),OR(TypeFilter="All",$B188=TypeFilter),OR(GenreFilter="All",COUNTIFS(tblGenre[show_id],$A188,tblGenre[Genre],GenreFilter)&gt;0)),1,0)</f>
        <v/>
      </c>
    </row>
    <row r="189" ht="15" customHeight="1" s="20">
      <c r="A189" s="19" t="inlineStr">
        <is>
          <t>s2274</t>
        </is>
      </c>
      <c r="B189" s="19" t="inlineStr">
        <is>
          <t>Movie</t>
        </is>
      </c>
      <c r="C189" s="19" t="inlineStr">
        <is>
          <t>Gabbar Is Back</t>
        </is>
      </c>
      <c r="D189" s="19" t="inlineStr">
        <is>
          <t>Krish</t>
        </is>
      </c>
      <c r="E189" s="19" t="inlineStr">
        <is>
          <t>Akshay Kumar, Shruti Haasan, Sunil Grover, Kareena Kapoor, Ishita Vyas, Suman Talwar, Jaideep Ahlawat, Shruti Bapna</t>
        </is>
      </c>
      <c r="F189" s="19" t="inlineStr">
        <is>
          <t>India</t>
        </is>
      </c>
      <c r="G189" s="19" t="inlineStr">
        <is>
          <t>2020-07-05</t>
        </is>
      </c>
      <c r="H189" s="19" t="n">
        <v>2015</v>
      </c>
      <c r="I189" s="19" t="inlineStr">
        <is>
          <t>TV-14</t>
        </is>
      </c>
      <c r="J189" s="19" t="inlineStr">
        <is>
          <t>128 min</t>
        </is>
      </c>
      <c r="K189" s="19" t="inlineStr">
        <is>
          <t>Action &amp; Adventure, Dramas, International Movies</t>
        </is>
      </c>
      <c r="L189" s="19" t="inlineStr">
        <is>
          <t>After a vengeful college professor targets corruption in the government, he adopts the name "Gabbar" and becomes a hero to a weary public.</t>
        </is>
      </c>
      <c r="M189" s="19" t="n">
        <v>2020</v>
      </c>
      <c r="N189" s="19">
        <f>IF(AND(OR(YearFilter="All",$M189=YearFilter),OR(RatingFilter="All",$I189=RatingFilter),OR(TypeFilter="All",$B189=TypeFilter),OR(GenreFilter="All",COUNTIFS(tblGenre[show_id],$A189,tblGenre[Genre],GenreFilter)&gt;0)),1,0)</f>
        <v/>
      </c>
    </row>
    <row r="190" ht="15" customHeight="1" s="20">
      <c r="A190" s="19" t="inlineStr">
        <is>
          <t>s2275</t>
        </is>
      </c>
      <c r="B190" s="19" t="inlineStr">
        <is>
          <t>Movie</t>
        </is>
      </c>
      <c r="C190" s="19" t="inlineStr">
        <is>
          <t>Gollu Aur Pappu</t>
        </is>
      </c>
      <c r="D190" s="19" t="inlineStr">
        <is>
          <t>Kabir Sadanand</t>
        </is>
      </c>
      <c r="E190" s="19" t="inlineStr">
        <is>
          <t>Vir Das, Sandeepa Dhar, Dimple Kapadia, Kunaal Roy Kapur, Deepak Tijori</t>
        </is>
      </c>
      <c r="F190" s="19" t="inlineStr">
        <is>
          <t>India</t>
        </is>
      </c>
      <c r="G190" s="19" t="inlineStr">
        <is>
          <t>2020-07-05</t>
        </is>
      </c>
      <c r="H190" s="19" t="n">
        <v>2014</v>
      </c>
      <c r="I190" s="19" t="inlineStr">
        <is>
          <t>TV-14</t>
        </is>
      </c>
      <c r="J190" s="19" t="inlineStr">
        <is>
          <t>112 min</t>
        </is>
      </c>
      <c r="K190" s="19" t="inlineStr">
        <is>
          <t>Action &amp; Adventure, Comedies, International Movies</t>
        </is>
      </c>
      <c r="L190" s="19" t="inlineStr">
        <is>
          <t>Hapless brothers Gollu and Pappu stumble into a terrorist plot and end up being ordered to detonate a bomb, a task they are destined to bungle.</t>
        </is>
      </c>
      <c r="M190" s="19" t="n">
        <v>2020</v>
      </c>
      <c r="N190" s="19">
        <f>IF(AND(OR(YearFilter="All",$M190=YearFilter),OR(RatingFilter="All",$I190=RatingFilter),OR(TypeFilter="All",$B190=TypeFilter),OR(GenreFilter="All",COUNTIFS(tblGenre[show_id],$A190,tblGenre[Genre],GenreFilter)&gt;0)),1,0)</f>
        <v/>
      </c>
    </row>
    <row r="191" ht="15" customHeight="1" s="20">
      <c r="A191" s="19" t="inlineStr">
        <is>
          <t>s2277</t>
        </is>
      </c>
      <c r="B191" s="19" t="inlineStr">
        <is>
          <t>Movie</t>
        </is>
      </c>
      <c r="C191" s="19" t="inlineStr">
        <is>
          <t>Inkaar</t>
        </is>
      </c>
      <c r="D191" s="19" t="inlineStr">
        <is>
          <t>Sudhir Mishra</t>
        </is>
      </c>
      <c r="E191" s="19" t="inlineStr">
        <is>
          <t>Arjun Rampal, Chitrangada Singh, Deepti Naval, Kanwaljeet Singh, Rehana Sultan, Vipin Sharma, Kaizaad Kotwal, Sujata Sehgal, Shivani Tanksale, Asheesh Kapur</t>
        </is>
      </c>
      <c r="F191" s="19" t="inlineStr">
        <is>
          <t>India</t>
        </is>
      </c>
      <c r="G191" s="19" t="inlineStr">
        <is>
          <t>2020-07-05</t>
        </is>
      </c>
      <c r="H191" s="19" t="n">
        <v>2013</v>
      </c>
      <c r="I191" s="19" t="inlineStr">
        <is>
          <t>TV-MA</t>
        </is>
      </c>
      <c r="J191" s="19" t="inlineStr">
        <is>
          <t>125 min</t>
        </is>
      </c>
      <c r="K191" s="19" t="inlineStr">
        <is>
          <t>Dramas, International Movies, Romantic Movies</t>
        </is>
      </c>
      <c r="L191" s="19" t="inlineStr">
        <is>
          <t>An ad agency CEO is put under investigation when his ambitious protégée – and lover – accuses him of sexual harassment, vying for his top position.</t>
        </is>
      </c>
      <c r="M191" s="19" t="n">
        <v>2020</v>
      </c>
      <c r="N191" s="19">
        <f>IF(AND(OR(YearFilter="All",$M191=YearFilter),OR(RatingFilter="All",$I191=RatingFilter),OR(TypeFilter="All",$B191=TypeFilter),OR(GenreFilter="All",COUNTIFS(tblGenre[show_id],$A191,tblGenre[Genre],GenreFilter)&gt;0)),1,0)</f>
        <v/>
      </c>
    </row>
    <row r="192" ht="15" customHeight="1" s="20">
      <c r="A192" s="19" t="inlineStr">
        <is>
          <t>s2278</t>
        </is>
      </c>
      <c r="B192" s="19" t="inlineStr">
        <is>
          <t>Movie</t>
        </is>
      </c>
      <c r="C192" s="19" t="inlineStr">
        <is>
          <t>Madras Café</t>
        </is>
      </c>
      <c r="D192" s="19" t="inlineStr">
        <is>
          <t>Shoojit Sircar</t>
        </is>
      </c>
      <c r="E192" s="19" t="inlineStr">
        <is>
          <t>John Abraham, Nargis Fakhri, Rashi Khanna, Avijit Dutt, Prakash Belawadi, Ajay Ratnam, Siddartha Basu, Agnello Dias, Dibang</t>
        </is>
      </c>
      <c r="F192" s="19" t="inlineStr">
        <is>
          <t>India</t>
        </is>
      </c>
      <c r="G192" s="19" t="inlineStr">
        <is>
          <t>2020-07-05</t>
        </is>
      </c>
      <c r="H192" s="19" t="n">
        <v>2013</v>
      </c>
      <c r="I192" s="19" t="inlineStr">
        <is>
          <t>TV-14</t>
        </is>
      </c>
      <c r="J192" s="19" t="inlineStr">
        <is>
          <t>128 min</t>
        </is>
      </c>
      <c r="K192" s="19" t="inlineStr">
        <is>
          <t>Dramas, International Movies, Thrillers</t>
        </is>
      </c>
      <c r="L192" s="19" t="inlineStr">
        <is>
          <t>An Indian intelligence agent journeys to a war-torn coastal island to break a resolute rebel group and meets a passionate journalist.</t>
        </is>
      </c>
      <c r="M192" s="19" t="n">
        <v>2020</v>
      </c>
      <c r="N192" s="19">
        <f>IF(AND(OR(YearFilter="All",$M192=YearFilter),OR(RatingFilter="All",$I192=RatingFilter),OR(TypeFilter="All",$B192=TypeFilter),OR(GenreFilter="All",COUNTIFS(tblGenre[show_id],$A192,tblGenre[Genre],GenreFilter)&gt;0)),1,0)</f>
        <v/>
      </c>
    </row>
    <row r="193" ht="15" customHeight="1" s="20">
      <c r="A193" s="19" t="inlineStr">
        <is>
          <t>s2279</t>
        </is>
      </c>
      <c r="B193" s="19" t="inlineStr">
        <is>
          <t>Movie</t>
        </is>
      </c>
      <c r="C193" s="19" t="inlineStr">
        <is>
          <t>Mary Kom</t>
        </is>
      </c>
      <c r="D193" s="19" t="inlineStr">
        <is>
          <t>Omung Kumar</t>
        </is>
      </c>
      <c r="E193" s="19" t="inlineStr">
        <is>
          <t>Priyanka Chopra, Darshan Kumar, Sunil Thapa, Kenny Basumatary, Shishir Sharma, Robin Das, Rajni Basumatary, Lin Laishram, Shakti Singh</t>
        </is>
      </c>
      <c r="F193" s="19" t="inlineStr">
        <is>
          <t>India</t>
        </is>
      </c>
      <c r="G193" s="19" t="inlineStr">
        <is>
          <t>2020-07-05</t>
        </is>
      </c>
      <c r="H193" s="19" t="n">
        <v>2014</v>
      </c>
      <c r="I193" s="19" t="inlineStr">
        <is>
          <t>TV-PG</t>
        </is>
      </c>
      <c r="J193" s="19" t="inlineStr">
        <is>
          <t>120 min</t>
        </is>
      </c>
      <c r="K193" s="19" t="inlineStr">
        <is>
          <t>Dramas, International Movies, Sports Movies</t>
        </is>
      </c>
      <c r="L193" s="19" t="inlineStr">
        <is>
          <t>The daughter of a poor rice farmer overcomes the objections of her father and the demands of a male-dominated society to pursue a career in boxing.</t>
        </is>
      </c>
      <c r="M193" s="19" t="n">
        <v>2020</v>
      </c>
      <c r="N193" s="19">
        <f>IF(AND(OR(YearFilter="All",$M193=YearFilter),OR(RatingFilter="All",$I193=RatingFilter),OR(TypeFilter="All",$B193=TypeFilter),OR(GenreFilter="All",COUNTIFS(tblGenre[show_id],$A193,tblGenre[Genre],GenreFilter)&gt;0)),1,0)</f>
        <v/>
      </c>
    </row>
    <row r="194" ht="15" customHeight="1" s="20">
      <c r="A194" s="19" t="inlineStr">
        <is>
          <t>s2280</t>
        </is>
      </c>
      <c r="B194" s="19" t="inlineStr">
        <is>
          <t>Movie</t>
        </is>
      </c>
      <c r="C194" s="19" t="inlineStr">
        <is>
          <t>Michael</t>
        </is>
      </c>
      <c r="D194" s="19" t="inlineStr">
        <is>
          <t>Ribhu Dasgupta</t>
        </is>
      </c>
      <c r="E194" s="19" t="inlineStr">
        <is>
          <t>Naseeruddin Shah, Mahie Gill, Sabyasachi Chakraborty, Rudranil Ghosh, Iravati Harshe, Churni Ganguly, June Maliah, Purav Bhandare, Shridhar Watsar</t>
        </is>
      </c>
      <c r="F194" s="19" t="inlineStr">
        <is>
          <t>India</t>
        </is>
      </c>
      <c r="G194" s="19" t="inlineStr">
        <is>
          <t>2020-07-05</t>
        </is>
      </c>
      <c r="H194" s="19" t="n">
        <v>2011</v>
      </c>
      <c r="I194" s="19" t="inlineStr">
        <is>
          <t>TV-MA</t>
        </is>
      </c>
      <c r="J194" s="19" t="inlineStr">
        <is>
          <t>86 min</t>
        </is>
      </c>
      <c r="K194" s="19" t="inlineStr">
        <is>
          <t>Dramas, Independent Movies, International Movies</t>
        </is>
      </c>
      <c r="L194" s="19" t="inlineStr">
        <is>
          <t>After a dedicated cop accidentally kills a 12-year-old boy, he's fired, harassed and forced to take menial work as he tries to keep his life together.</t>
        </is>
      </c>
      <c r="M194" s="19" t="n">
        <v>2020</v>
      </c>
      <c r="N194" s="19">
        <f>IF(AND(OR(YearFilter="All",$M194=YearFilter),OR(RatingFilter="All",$I194=RatingFilter),OR(TypeFilter="All",$B194=TypeFilter),OR(GenreFilter="All",COUNTIFS(tblGenre[show_id],$A194,tblGenre[Genre],GenreFilter)&gt;0)),1,0)</f>
        <v/>
      </c>
    </row>
    <row r="195" ht="15" customHeight="1" s="20">
      <c r="A195" s="19" t="inlineStr">
        <is>
          <t>s2281</t>
        </is>
      </c>
      <c r="B195" s="19" t="inlineStr">
        <is>
          <t>Movie</t>
        </is>
      </c>
      <c r="C195" s="19" t="inlineStr">
        <is>
          <t>Mumbai Delhi Mumbai</t>
        </is>
      </c>
      <c r="D195" s="19" t="inlineStr">
        <is>
          <t>Satish Rajwade</t>
        </is>
      </c>
      <c r="E195" s="19" t="inlineStr">
        <is>
          <t>Shiv Pandit, Piaa Bajpai</t>
        </is>
      </c>
      <c r="F195" s="19" t="inlineStr">
        <is>
          <t>India</t>
        </is>
      </c>
      <c r="G195" s="19" t="inlineStr">
        <is>
          <t>2020-07-05</t>
        </is>
      </c>
      <c r="H195" s="19" t="n">
        <v>2014</v>
      </c>
      <c r="I195" s="19" t="inlineStr">
        <is>
          <t>TV-MA</t>
        </is>
      </c>
      <c r="J195" s="19" t="inlineStr">
        <is>
          <t>107 min</t>
        </is>
      </c>
      <c r="K195" s="19" t="inlineStr">
        <is>
          <t>Comedies, International Movies, Romantic Movies</t>
        </is>
      </c>
      <c r="L195" s="19" t="inlineStr">
        <is>
          <t>In Delhi for the first time, a Mumbai girl loses her phone but gets a surprise chance at true love with a local boy who begrudgingly helps her.</t>
        </is>
      </c>
      <c r="M195" s="19" t="n">
        <v>2020</v>
      </c>
      <c r="N195" s="19">
        <f>IF(AND(OR(YearFilter="All",$M195=YearFilter),OR(RatingFilter="All",$I195=RatingFilter),OR(TypeFilter="All",$B195=TypeFilter),OR(GenreFilter="All",COUNTIFS(tblGenre[show_id],$A195,tblGenre[Genre],GenreFilter)&gt;0)),1,0)</f>
        <v/>
      </c>
    </row>
    <row r="196" ht="15" customHeight="1" s="20">
      <c r="A196" s="19" t="inlineStr">
        <is>
          <t>s2282</t>
        </is>
      </c>
      <c r="B196" s="19" t="inlineStr">
        <is>
          <t>Movie</t>
        </is>
      </c>
      <c r="C196" s="19" t="inlineStr">
        <is>
          <t>Oh My God</t>
        </is>
      </c>
      <c r="D196" s="19" t="inlineStr">
        <is>
          <t>Umesh Shukla</t>
        </is>
      </c>
      <c r="E196" s="19" t="inlineStr">
        <is>
          <t>Akshay Kumar, Paresh Rawal, Mithun Chakraborty, Om Puri, Apoorva Arora, Arun Bali, Honey Chaaya, Poonam Jhawer, Mahesh Manjrekar, Govind Namdeo</t>
        </is>
      </c>
      <c r="F196" s="19" t="inlineStr">
        <is>
          <t>India</t>
        </is>
      </c>
      <c r="G196" s="19" t="inlineStr">
        <is>
          <t>2020-07-05</t>
        </is>
      </c>
      <c r="H196" s="19" t="n">
        <v>2012</v>
      </c>
      <c r="I196" s="19" t="inlineStr">
        <is>
          <t>TV-PG</t>
        </is>
      </c>
      <c r="J196" s="19" t="inlineStr">
        <is>
          <t>129 min</t>
        </is>
      </c>
      <c r="K196" s="19" t="inlineStr">
        <is>
          <t>Comedies, Dramas, International Movies</t>
        </is>
      </c>
      <c r="L196" s="19" t="inlineStr">
        <is>
          <t>Mumbai shopkeeper Kanji Bhai files a lawsuit against God when an earthquake destroys his store and his insurance policy won't cover the damage.</t>
        </is>
      </c>
      <c r="M196" s="19" t="n">
        <v>2020</v>
      </c>
      <c r="N196" s="19">
        <f>IF(AND(OR(YearFilter="All",$M196=YearFilter),OR(RatingFilter="All",$I196=RatingFilter),OR(TypeFilter="All",$B196=TypeFilter),OR(GenreFilter="All",COUNTIFS(tblGenre[show_id],$A196,tblGenre[Genre],GenreFilter)&gt;0)),1,0)</f>
        <v/>
      </c>
    </row>
    <row r="197" ht="15" customHeight="1" s="20">
      <c r="A197" s="19" t="inlineStr">
        <is>
          <t>s2283</t>
        </is>
      </c>
      <c r="B197" s="19" t="inlineStr">
        <is>
          <t>Movie</t>
        </is>
      </c>
      <c r="C197" s="19" t="inlineStr">
        <is>
          <t>One by Two</t>
        </is>
      </c>
      <c r="D197" s="19" t="inlineStr">
        <is>
          <t>Devika Bhagat</t>
        </is>
      </c>
      <c r="E197" s="19" t="inlineStr">
        <is>
          <t>Abhay Deol, Preeti Desai, Lillete Dubey, Rati Agnihotri, Jayant Kripalani, Darshan Jariwala, Anish Trivedi, Geetika Tyagi, Preetika Chawla, Tahir Raj Bhasin</t>
        </is>
      </c>
      <c r="F197" s="19" t="inlineStr">
        <is>
          <t>India</t>
        </is>
      </c>
      <c r="G197" s="19" t="inlineStr">
        <is>
          <t>2020-07-05</t>
        </is>
      </c>
      <c r="H197" s="19" t="n">
        <v>2014</v>
      </c>
      <c r="I197" s="19" t="inlineStr">
        <is>
          <t>TV-14</t>
        </is>
      </c>
      <c r="J197" s="19" t="inlineStr">
        <is>
          <t>135 min</t>
        </is>
      </c>
      <c r="K197" s="19" t="inlineStr">
        <is>
          <t>Comedies, Dramas, International Movies</t>
        </is>
      </c>
      <c r="L197" s="19" t="inlineStr">
        <is>
          <t>The lives of a Mumbai man and woman who are both dealing with issues intersect through a TV dance show that she wants to win but he wants to sabotage.</t>
        </is>
      </c>
      <c r="M197" s="19" t="n">
        <v>2020</v>
      </c>
      <c r="N197" s="19">
        <f>IF(AND(OR(YearFilter="All",$M197=YearFilter),OR(RatingFilter="All",$I197=RatingFilter),OR(TypeFilter="All",$B197=TypeFilter),OR(GenreFilter="All",COUNTIFS(tblGenre[show_id],$A197,tblGenre[Genre],GenreFilter)&gt;0)),1,0)</f>
        <v/>
      </c>
    </row>
    <row r="198" ht="15" customHeight="1" s="20">
      <c r="A198" s="19" t="inlineStr">
        <is>
          <t>s2285</t>
        </is>
      </c>
      <c r="B198" s="19" t="inlineStr">
        <is>
          <t>Movie</t>
        </is>
      </c>
      <c r="C198" s="19" t="inlineStr">
        <is>
          <t>Penalty</t>
        </is>
      </c>
      <c r="D198" s="19" t="inlineStr">
        <is>
          <t>Shubham Singh</t>
        </is>
      </c>
      <c r="E198" s="19" t="inlineStr">
        <is>
          <t>Lukram Smil, Manjot Singh, Shashank Arora, Kay Kay Menon, Aakash Dabhade, Srishti Jain, Bijou Thaangjam, Mohit Nain, Ashwin Kaushal</t>
        </is>
      </c>
      <c r="F198" s="19" t="inlineStr">
        <is>
          <t>India</t>
        </is>
      </c>
      <c r="G198" s="19" t="inlineStr">
        <is>
          <t>2020-07-05</t>
        </is>
      </c>
      <c r="H198" s="19" t="n">
        <v>2019</v>
      </c>
      <c r="I198" s="19" t="inlineStr">
        <is>
          <t>TV-14</t>
        </is>
      </c>
      <c r="J198" s="19" t="inlineStr">
        <is>
          <t>125 min</t>
        </is>
      </c>
      <c r="K198" s="19" t="inlineStr">
        <is>
          <t>Dramas, Independent Movies, International Movies</t>
        </is>
      </c>
      <c r="L198" s="19" t="inlineStr">
        <is>
          <t>At a Lucknow college, an aspiring football player’s dream of playing nationally is threatened when he faces discrimination for his Manipuri background.</t>
        </is>
      </c>
      <c r="M198" s="19" t="n">
        <v>2020</v>
      </c>
      <c r="N198" s="19">
        <f>IF(AND(OR(YearFilter="All",$M198=YearFilter),OR(RatingFilter="All",$I198=RatingFilter),OR(TypeFilter="All",$B198=TypeFilter),OR(GenreFilter="All",COUNTIFS(tblGenre[show_id],$A198,tblGenre[Genre],GenreFilter)&gt;0)),1,0)</f>
        <v/>
      </c>
    </row>
    <row r="199" ht="15" customHeight="1" s="20">
      <c r="A199" s="19" t="inlineStr">
        <is>
          <t>s2286</t>
        </is>
      </c>
      <c r="B199" s="19" t="inlineStr">
        <is>
          <t>Movie</t>
        </is>
      </c>
      <c r="C199" s="19" t="inlineStr">
        <is>
          <t>Players</t>
        </is>
      </c>
      <c r="D199" s="19" t="inlineStr">
        <is>
          <t>Abbas Alibhai Burmawalla, Mastan Alibhai Burmawalla</t>
        </is>
      </c>
      <c r="E199" s="19" t="inlineStr">
        <is>
          <t>Vinod Khanna, Abhishek Bachchan, Bobby Deol, Sonam Kapoor, Bipasha Basu, Neil Nitin Mukesh, Sikander Kher, Omi Vaidya, Johny Lever, Shweta Bhardwaj</t>
        </is>
      </c>
      <c r="F199" s="19" t="inlineStr">
        <is>
          <t>India</t>
        </is>
      </c>
      <c r="G199" s="19" t="inlineStr">
        <is>
          <t>2020-07-05</t>
        </is>
      </c>
      <c r="H199" s="19" t="n">
        <v>2012</v>
      </c>
      <c r="I199" s="19" t="inlineStr">
        <is>
          <t>TV-14</t>
        </is>
      </c>
      <c r="J199" s="19" t="inlineStr">
        <is>
          <t>162 min</t>
        </is>
      </c>
      <c r="K199" s="19" t="inlineStr">
        <is>
          <t>Action &amp; Adventure, International Movies</t>
        </is>
      </c>
      <c r="L199" s="19" t="inlineStr">
        <is>
          <t>Learning of a fortune in gold being secretly shipped to Romania, master thieves Charlie and Riya assemble a crack team to steal it.</t>
        </is>
      </c>
      <c r="M199" s="19" t="n">
        <v>2020</v>
      </c>
      <c r="N199" s="19">
        <f>IF(AND(OR(YearFilter="All",$M199=YearFilter),OR(RatingFilter="All",$I199=RatingFilter),OR(TypeFilter="All",$B199=TypeFilter),OR(GenreFilter="All",COUNTIFS(tblGenre[show_id],$A199,tblGenre[Genre],GenreFilter)&gt;0)),1,0)</f>
        <v/>
      </c>
    </row>
    <row r="200" ht="15" customHeight="1" s="20">
      <c r="A200" s="19" t="inlineStr">
        <is>
          <t>s2287</t>
        </is>
      </c>
      <c r="B200" s="19" t="inlineStr">
        <is>
          <t>Movie</t>
        </is>
      </c>
      <c r="C200" s="19" t="inlineStr">
        <is>
          <t>Pyaar Ka Punchnama 2</t>
        </is>
      </c>
      <c r="D200" s="19" t="inlineStr">
        <is>
          <t>Luv Ranjan</t>
        </is>
      </c>
      <c r="E200" s="19" t="inlineStr">
        <is>
          <t>Kartik Aaryan, Nushrat Bharucha, Sonalli Sehgall, Sunny Singh, Ishita Raj, Omkar Kapoor, Sharat Saxena, Mona Ambegaonkar</t>
        </is>
      </c>
      <c r="F200" s="19" t="inlineStr">
        <is>
          <t>India</t>
        </is>
      </c>
      <c r="G200" s="19" t="inlineStr">
        <is>
          <t>2020-07-05</t>
        </is>
      </c>
      <c r="H200" s="19" t="n">
        <v>2015</v>
      </c>
      <c r="I200" s="19" t="inlineStr">
        <is>
          <t>TV-MA</t>
        </is>
      </c>
      <c r="J200" s="19" t="inlineStr">
        <is>
          <t>136 min</t>
        </is>
      </c>
      <c r="K200" s="19" t="inlineStr">
        <is>
          <t>Comedies, Dramas, International Movies</t>
        </is>
      </c>
      <c r="L200" s="19" t="inlineStr">
        <is>
          <t>Three young bachelors find the reality of relationships to be far removed from the idea of true romance that they had once pursued.</t>
        </is>
      </c>
      <c r="M200" s="19" t="n">
        <v>2020</v>
      </c>
      <c r="N200" s="19">
        <f>IF(AND(OR(YearFilter="All",$M200=YearFilter),OR(RatingFilter="All",$I200=RatingFilter),OR(TypeFilter="All",$B200=TypeFilter),OR(GenreFilter="All",COUNTIFS(tblGenre[show_id],$A200,tblGenre[Genre],GenreFilter)&gt;0)),1,0)</f>
        <v/>
      </c>
    </row>
    <row r="201" ht="15" customHeight="1" s="20">
      <c r="A201" s="19" t="inlineStr">
        <is>
          <t>s2288</t>
        </is>
      </c>
      <c r="B201" s="19" t="inlineStr">
        <is>
          <t>Movie</t>
        </is>
      </c>
      <c r="C201" s="19" t="inlineStr">
        <is>
          <t>Queen</t>
        </is>
      </c>
      <c r="D201" s="19" t="inlineStr">
        <is>
          <t>Vikas Bahl</t>
        </is>
      </c>
      <c r="E201" s="19" t="inlineStr">
        <is>
          <t>Kangana Ranaut, Rajkummar Rao, Lisa Haydon, Mish Boyko, Jeffrey Chee Eng Ho, Marco Canadea, Sabeeka Imam, Yogendra Tikku</t>
        </is>
      </c>
      <c r="F201" s="19" t="inlineStr">
        <is>
          <t>India</t>
        </is>
      </c>
      <c r="G201" s="19" t="inlineStr">
        <is>
          <t>2020-07-05</t>
        </is>
      </c>
      <c r="H201" s="19" t="n">
        <v>2014</v>
      </c>
      <c r="I201" s="19" t="inlineStr">
        <is>
          <t>TV-MA</t>
        </is>
      </c>
      <c r="J201" s="19" t="inlineStr">
        <is>
          <t>138 min</t>
        </is>
      </c>
      <c r="K201" s="19" t="inlineStr">
        <is>
          <t>Comedies, Dramas, International Movies</t>
        </is>
      </c>
      <c r="L201" s="19" t="inlineStr">
        <is>
          <t>Dumped by her fiancé, a sheltered young woman decides to go on her honeymoon to Europe alone, embarking on an exhilarating journey of self-discovery.</t>
        </is>
      </c>
      <c r="M201" s="19" t="n">
        <v>2020</v>
      </c>
      <c r="N201" s="19">
        <f>IF(AND(OR(YearFilter="All",$M201=YearFilter),OR(RatingFilter="All",$I201=RatingFilter),OR(TypeFilter="All",$B201=TypeFilter),OR(GenreFilter="All",COUNTIFS(tblGenre[show_id],$A201,tblGenre[Genre],GenreFilter)&gt;0)),1,0)</f>
        <v/>
      </c>
    </row>
    <row r="202" ht="15" customHeight="1" s="20">
      <c r="A202" s="19" t="inlineStr">
        <is>
          <t>s2289</t>
        </is>
      </c>
      <c r="B202" s="19" t="inlineStr">
        <is>
          <t>Movie</t>
        </is>
      </c>
      <c r="C202" s="19" t="inlineStr">
        <is>
          <t>Shaitan</t>
        </is>
      </c>
      <c r="D202" s="19" t="inlineStr">
        <is>
          <t>Bejoy Nambiar</t>
        </is>
      </c>
      <c r="E202" s="19" t="inlineStr">
        <is>
          <t>Rajeev Khandelwal, Kalki Koechlin, Gulshan Devaiah, Shiv Pandit, Kirti Kulhari, Neil Bhoopalam, Nikhil Chinappa, Rajit Kapoor, Rajkummar Rao, Pavan Malhotra</t>
        </is>
      </c>
      <c r="F202" s="19" t="inlineStr">
        <is>
          <t>India</t>
        </is>
      </c>
      <c r="G202" s="19" t="inlineStr">
        <is>
          <t>2020-07-05</t>
        </is>
      </c>
      <c r="H202" s="19" t="n">
        <v>2011</v>
      </c>
      <c r="I202" s="19" t="inlineStr">
        <is>
          <t>TV-MA</t>
        </is>
      </c>
      <c r="J202" s="19" t="inlineStr">
        <is>
          <t>126 min</t>
        </is>
      </c>
      <c r="K202" s="19" t="inlineStr">
        <is>
          <t>Action &amp; Adventure, Dramas, Independent Movies</t>
        </is>
      </c>
      <c r="L202" s="19" t="inlineStr">
        <is>
          <t>When they're blackmailed after a hit-and-run, a troubled rich girl and her wild friends stage a fake kidnapping with a plan to collect the ransom.</t>
        </is>
      </c>
      <c r="M202" s="19" t="n">
        <v>2020</v>
      </c>
      <c r="N202" s="19">
        <f>IF(AND(OR(YearFilter="All",$M202=YearFilter),OR(RatingFilter="All",$I202=RatingFilter),OR(TypeFilter="All",$B202=TypeFilter),OR(GenreFilter="All",COUNTIFS(tblGenre[show_id],$A202,tblGenre[Genre],GenreFilter)&gt;0)),1,0)</f>
        <v/>
      </c>
    </row>
    <row r="203" ht="15" customHeight="1" s="20">
      <c r="A203" s="19" t="inlineStr">
        <is>
          <t>s2290</t>
        </is>
      </c>
      <c r="B203" s="19" t="inlineStr">
        <is>
          <t>Movie</t>
        </is>
      </c>
      <c r="C203" s="19" t="inlineStr">
        <is>
          <t>Special 26</t>
        </is>
      </c>
      <c r="D203" s="19" t="inlineStr">
        <is>
          <t>Neeraj Pandey</t>
        </is>
      </c>
      <c r="E203" s="19" t="inlineStr">
        <is>
          <t>Akshay Kumar, Manoj Bajpayee, Anupam Kher, Jimmy Shergill, Kajal Aggarwal, Divya Dutta, Kharaj Mukherjee, Rajesh Sharma, Kishore Kadam, Neeru Bajwa, Deep Raj Rana, Neetu Singh</t>
        </is>
      </c>
      <c r="F203" s="19" t="inlineStr">
        <is>
          <t>India</t>
        </is>
      </c>
      <c r="G203" s="19" t="inlineStr">
        <is>
          <t>2020-07-05</t>
        </is>
      </c>
      <c r="H203" s="19" t="n">
        <v>2013</v>
      </c>
      <c r="I203" s="19" t="inlineStr">
        <is>
          <t>TV-PG</t>
        </is>
      </c>
      <c r="J203" s="19" t="inlineStr">
        <is>
          <t>137 min</t>
        </is>
      </c>
      <c r="K203" s="19" t="inlineStr">
        <is>
          <t>Dramas, International Movies, Thrillers</t>
        </is>
      </c>
      <c r="L203" s="19" t="inlineStr">
        <is>
          <t>In this fact-based crime drama, a gang of con artists posing as government officials executes a heist in the form of a raid on a prominent jeweler.</t>
        </is>
      </c>
      <c r="M203" s="19" t="n">
        <v>2020</v>
      </c>
      <c r="N203" s="19">
        <f>IF(AND(OR(YearFilter="All",$M203=YearFilter),OR(RatingFilter="All",$I203=RatingFilter),OR(TypeFilter="All",$B203=TypeFilter),OR(GenreFilter="All",COUNTIFS(tblGenre[show_id],$A203,tblGenre[Genre],GenreFilter)&gt;0)),1,0)</f>
        <v/>
      </c>
    </row>
    <row r="204" ht="15" customHeight="1" s="20">
      <c r="A204" s="19" t="inlineStr">
        <is>
          <t>s2291</t>
        </is>
      </c>
      <c r="B204" s="19" t="inlineStr">
        <is>
          <t>Movie</t>
        </is>
      </c>
      <c r="C204" s="19" t="inlineStr">
        <is>
          <t>Tanu Weds Manu</t>
        </is>
      </c>
      <c r="D204" s="19" t="inlineStr">
        <is>
          <t>Aanand Rai</t>
        </is>
      </c>
      <c r="E204" s="19" t="inlineStr">
        <is>
          <t>Madhavan, Kangana Ranaut, Jimmy Shergill, Deepak Dobriyal, Swara Bhaskar, Eijaz Khan, K.K. Raina, Rajendra Gupta, Ravi Kishan, Navni Parihar</t>
        </is>
      </c>
      <c r="F204" s="19" t="inlineStr">
        <is>
          <t>India</t>
        </is>
      </c>
      <c r="G204" s="19" t="inlineStr">
        <is>
          <t>2020-07-05</t>
        </is>
      </c>
      <c r="H204" s="19" t="n">
        <v>2011</v>
      </c>
      <c r="I204" s="19" t="inlineStr">
        <is>
          <t>TV-14</t>
        </is>
      </c>
      <c r="J204" s="19" t="inlineStr">
        <is>
          <t>114 min</t>
        </is>
      </c>
      <c r="K204" s="19" t="inlineStr">
        <is>
          <t>Comedies, Dramas, International Movies</t>
        </is>
      </c>
      <c r="L204" s="19" t="inlineStr">
        <is>
          <t>When London-based doctor Manu reluctantly returns to India to find a bride, he meets the girl of his dreams – only to discover she loves another man.</t>
        </is>
      </c>
      <c r="M204" s="19" t="n">
        <v>2020</v>
      </c>
      <c r="N204" s="19">
        <f>IF(AND(OR(YearFilter="All",$M204=YearFilter),OR(RatingFilter="All",$I204=RatingFilter),OR(TypeFilter="All",$B204=TypeFilter),OR(GenreFilter="All",COUNTIFS(tblGenre[show_id],$A204,tblGenre[Genre],GenreFilter)&gt;0)),1,0)</f>
        <v/>
      </c>
    </row>
    <row r="205" ht="15" customHeight="1" s="20">
      <c r="A205" s="19" t="inlineStr">
        <is>
          <t>s2292</t>
        </is>
      </c>
      <c r="B205" s="19" t="inlineStr">
        <is>
          <t>Movie</t>
        </is>
      </c>
      <c r="C205" s="19" t="inlineStr">
        <is>
          <t>What the Fish</t>
        </is>
      </c>
      <c r="D205" s="19" t="inlineStr">
        <is>
          <t>Gurmmeet Singh</t>
        </is>
      </c>
      <c r="E205" s="19" t="inlineStr">
        <is>
          <t>Dimple Kapadia, Vishal Sharma, Sumit Suri, Anand Tiwari, Deepti Pujari, Manu Rishi Chadha, Geetika Tyagi, Manjot Singh, Sabina Sheema</t>
        </is>
      </c>
      <c r="F205" s="19" t="inlineStr">
        <is>
          <t>India</t>
        </is>
      </c>
      <c r="G205" s="19" t="inlineStr">
        <is>
          <t>2020-07-05</t>
        </is>
      </c>
      <c r="H205" s="19" t="n">
        <v>2013</v>
      </c>
      <c r="I205" s="19" t="inlineStr">
        <is>
          <t>TV-14</t>
        </is>
      </c>
      <c r="J205" s="19" t="inlineStr">
        <is>
          <t>96 min</t>
        </is>
      </c>
      <c r="K205" s="19" t="inlineStr">
        <is>
          <t>Comedies, International Movies</t>
        </is>
      </c>
      <c r="L205" s="19" t="inlineStr">
        <is>
          <t>A crabby woman leaves home for a vacation and entrusts her niece's fiancé to feed her fish and adhere to a strict set of rules. He has other ideas.</t>
        </is>
      </c>
      <c r="M205" s="19" t="n">
        <v>2020</v>
      </c>
      <c r="N205" s="19">
        <f>IF(AND(OR(YearFilter="All",$M205=YearFilter),OR(RatingFilter="All",$I205=RatingFilter),OR(TypeFilter="All",$B205=TypeFilter),OR(GenreFilter="All",COUNTIFS(tblGenre[show_id],$A205,tblGenre[Genre],GenreFilter)&gt;0)),1,0)</f>
        <v/>
      </c>
    </row>
    <row r="206" ht="15" customHeight="1" s="20">
      <c r="A206" s="19" t="inlineStr">
        <is>
          <t>s2293</t>
        </is>
      </c>
      <c r="B206" s="19" t="inlineStr">
        <is>
          <t>TV Show</t>
        </is>
      </c>
      <c r="C206" s="19" t="inlineStr">
        <is>
          <t>Little Singham</t>
        </is>
      </c>
      <c r="E206" s="19" t="inlineStr">
        <is>
          <t>Swapnil Kumari, Jigna Bhardwaj, Sonal Kaushal, Neshma Chemburkar, Ganesh Divekar, Shaily Dube, Saumya Daan, Anamaya Verma, Parminder Ghumman, Pawan Kalra</t>
        </is>
      </c>
      <c r="F206" s="19" t="inlineStr">
        <is>
          <t>India</t>
        </is>
      </c>
      <c r="G206" s="19" t="inlineStr">
        <is>
          <t>2020-07-04</t>
        </is>
      </c>
      <c r="H206" s="19" t="n">
        <v>2020</v>
      </c>
      <c r="I206" s="19" t="inlineStr">
        <is>
          <t>TV-Y7</t>
        </is>
      </c>
      <c r="J206" s="19" t="inlineStr">
        <is>
          <t>2 Seasons</t>
        </is>
      </c>
      <c r="K206" s="19" t="inlineStr">
        <is>
          <t>Kids' TV, TV Comedies</t>
        </is>
      </c>
      <c r="L206" s="19" t="inlineStr">
        <is>
          <t>A spinoff of Rohit Shetty's action franchise, this animated series follows brave kid cop Little Singham’s adventures as he defends his town from evil.</t>
        </is>
      </c>
      <c r="M206" s="19" t="n">
        <v>2020</v>
      </c>
      <c r="N206" s="19">
        <f>IF(AND(OR(YearFilter="All",$M206=YearFilter),OR(RatingFilter="All",$I206=RatingFilter),OR(TypeFilter="All",$B206=TypeFilter),OR(GenreFilter="All",COUNTIFS(tblGenre[show_id],$A206,tblGenre[Genre],GenreFilter)&gt;0)),1,0)</f>
        <v/>
      </c>
    </row>
    <row r="207" ht="15" customHeight="1" s="20">
      <c r="A207" s="19" t="inlineStr">
        <is>
          <t>s2335</t>
        </is>
      </c>
      <c r="B207" s="19" t="inlineStr">
        <is>
          <t>Movie</t>
        </is>
      </c>
      <c r="C207" s="19" t="inlineStr">
        <is>
          <t>Seven (Tamil)</t>
        </is>
      </c>
      <c r="F207" s="19" t="inlineStr">
        <is>
          <t>India</t>
        </is>
      </c>
      <c r="G207" s="19" t="inlineStr">
        <is>
          <t>2020-06-26</t>
        </is>
      </c>
      <c r="H207" s="19" t="n">
        <v>2019</v>
      </c>
      <c r="I207" s="19" t="inlineStr">
        <is>
          <t>TV-MA</t>
        </is>
      </c>
      <c r="J207" s="19" t="inlineStr">
        <is>
          <t>111 min</t>
        </is>
      </c>
      <c r="K207" s="19" t="inlineStr">
        <is>
          <t>Dramas, International Movies, Romantic Movies</t>
        </is>
      </c>
      <c r="L207" s="19" t="inlineStr">
        <is>
          <t>Multiple women report their husbands as missing but when it appears they are looking for the same man, a police officer traces their cryptic connection.</t>
        </is>
      </c>
      <c r="M207" s="19" t="n">
        <v>2020</v>
      </c>
      <c r="N207" s="19">
        <f>IF(AND(OR(YearFilter="All",$M207=YearFilter),OR(RatingFilter="All",$I207=RatingFilter),OR(TypeFilter="All",$B207=TypeFilter),OR(GenreFilter="All",COUNTIFS(tblGenre[show_id],$A207,tblGenre[Genre],GenreFilter)&gt;0)),1,0)</f>
        <v/>
      </c>
    </row>
    <row r="208" ht="15" customHeight="1" s="20">
      <c r="A208" s="19" t="inlineStr">
        <is>
          <t>s2337</t>
        </is>
      </c>
      <c r="B208" s="19" t="inlineStr">
        <is>
          <t>Movie</t>
        </is>
      </c>
      <c r="C208" s="19" t="inlineStr">
        <is>
          <t>Thackeray (Hindi)</t>
        </is>
      </c>
      <c r="D208" s="19" t="inlineStr">
        <is>
          <t>Abhijit Panse</t>
        </is>
      </c>
      <c r="E208" s="19" t="inlineStr">
        <is>
          <t>Nawazuddin Siddiqui, Amrita Rao, Rajeev Panday, Sanjay Narvekar, Rajesh Khera, Prakash Belawadi, Avantika Akerkar</t>
        </is>
      </c>
      <c r="F208" s="19" t="inlineStr">
        <is>
          <t>India</t>
        </is>
      </c>
      <c r="G208" s="19" t="inlineStr">
        <is>
          <t>2020-06-26</t>
        </is>
      </c>
      <c r="H208" s="19" t="n">
        <v>2019</v>
      </c>
      <c r="I208" s="19" t="inlineStr">
        <is>
          <t>TV-14</t>
        </is>
      </c>
      <c r="J208" s="19" t="inlineStr">
        <is>
          <t>135 min</t>
        </is>
      </c>
      <c r="K208" s="19" t="inlineStr">
        <is>
          <t>Dramas, International Movies</t>
        </is>
      </c>
      <c r="L208" s="19" t="inlineStr">
        <is>
          <t>From controversial cartoonist to powerful Mumbai politician, this biopic maps the meteoric rise of far-right Shiv Sena party founder, Bal Thackeray.</t>
        </is>
      </c>
      <c r="M208" s="19" t="n">
        <v>2020</v>
      </c>
      <c r="N208" s="19">
        <f>IF(AND(OR(YearFilter="All",$M208=YearFilter),OR(RatingFilter="All",$I208=RatingFilter),OR(TypeFilter="All",$B208=TypeFilter),OR(GenreFilter="All",COUNTIFS(tblGenre[show_id],$A208,tblGenre[Genre],GenreFilter)&gt;0)),1,0)</f>
        <v/>
      </c>
    </row>
    <row r="209" ht="15" customHeight="1" s="20">
      <c r="A209" s="19" t="inlineStr">
        <is>
          <t>s2339</t>
        </is>
      </c>
      <c r="B209" s="19" t="inlineStr">
        <is>
          <t>Movie</t>
        </is>
      </c>
      <c r="C209" s="19" t="inlineStr">
        <is>
          <t>Krishna and His Leela</t>
        </is>
      </c>
      <c r="D209" s="19" t="inlineStr">
        <is>
          <t>Ravikanth Perepu</t>
        </is>
      </c>
      <c r="E209" s="19" t="inlineStr">
        <is>
          <t>Siddhu Jonnalagadda, Shraddha Srinath, Seerat Kapoor, Shalini Vadnikatti, Jhansi, Viva Harsha, Sampath Raj, Samyuktha Hornad</t>
        </is>
      </c>
      <c r="F209" s="19" t="inlineStr">
        <is>
          <t>India</t>
        </is>
      </c>
      <c r="G209" s="19" t="inlineStr">
        <is>
          <t>2020-06-25</t>
        </is>
      </c>
      <c r="H209" s="19" t="n">
        <v>2020</v>
      </c>
      <c r="I209" s="19" t="inlineStr">
        <is>
          <t>TV-MA</t>
        </is>
      </c>
      <c r="J209" s="19" t="inlineStr">
        <is>
          <t>126 min</t>
        </is>
      </c>
      <c r="K209" s="19" t="inlineStr">
        <is>
          <t>International Movies, Romantic Movies</t>
        </is>
      </c>
      <c r="L209" s="19" t="inlineStr">
        <is>
          <t>Torn between his past and present girlfriends, a confused bachelor’s indecisiveness spins a web of lies and cheating as he struggles to commit.</t>
        </is>
      </c>
      <c r="M209" s="19" t="n">
        <v>2020</v>
      </c>
      <c r="N209" s="19">
        <f>IF(AND(OR(YearFilter="All",$M209=YearFilter),OR(RatingFilter="All",$I209=RatingFilter),OR(TypeFilter="All",$B209=TypeFilter),OR(GenreFilter="All",COUNTIFS(tblGenre[show_id],$A209,tblGenre[Genre],GenreFilter)&gt;0)),1,0)</f>
        <v/>
      </c>
    </row>
    <row r="210" ht="15" customHeight="1" s="20">
      <c r="A210" s="19" t="inlineStr">
        <is>
          <t>s2340</t>
        </is>
      </c>
      <c r="B210" s="19" t="inlineStr">
        <is>
          <t>Movie</t>
        </is>
      </c>
      <c r="C210" s="19" t="inlineStr">
        <is>
          <t>Prem Ratan Dhan Payo</t>
        </is>
      </c>
      <c r="D210" s="19" t="inlineStr">
        <is>
          <t>Sooraj R. Barjatya</t>
        </is>
      </c>
      <c r="E210" s="19" t="inlineStr">
        <is>
          <t>Salman Khan, Sonam Kapoor, Anupam Kher, Neil Nitin Mukesh, Sanjay Mishra, Swara Bhaskar, Deepak Dobriyal, Arman Kohli, Manoj Joshi, Samaira Rao, Karuna Pandey, Sucheta Khanna</t>
        </is>
      </c>
      <c r="F210" s="19" t="inlineStr">
        <is>
          <t>India</t>
        </is>
      </c>
      <c r="G210" s="19" t="inlineStr">
        <is>
          <t>2020-06-25</t>
        </is>
      </c>
      <c r="H210" s="19" t="n">
        <v>2015</v>
      </c>
      <c r="I210" s="19" t="inlineStr">
        <is>
          <t>TV-14</t>
        </is>
      </c>
      <c r="J210" s="19" t="inlineStr">
        <is>
          <t>164 min</t>
        </is>
      </c>
      <c r="K210" s="19" t="inlineStr">
        <is>
          <t>Action &amp; Adventure, Dramas, International Movies</t>
        </is>
      </c>
      <c r="L210" s="19" t="inlineStr">
        <is>
          <t>While recovering from an assassination attempt four days prior to his coronation, a stern prince is replaced by a joyful and generous doppelgänger.</t>
        </is>
      </c>
      <c r="M210" s="19" t="n">
        <v>2020</v>
      </c>
      <c r="N210" s="19">
        <f>IF(AND(OR(YearFilter="All",$M210=YearFilter),OR(RatingFilter="All",$I210=RatingFilter),OR(TypeFilter="All",$B210=TypeFilter),OR(GenreFilter="All",COUNTIFS(tblGenre[show_id],$A210,tblGenre[Genre],GenreFilter)&gt;0)),1,0)</f>
        <v/>
      </c>
    </row>
    <row r="211" ht="15" customHeight="1" s="20">
      <c r="A211" s="19" t="inlineStr">
        <is>
          <t>s2341</t>
        </is>
      </c>
      <c r="B211" s="19" t="inlineStr">
        <is>
          <t>Movie</t>
        </is>
      </c>
      <c r="C211" s="19" t="inlineStr">
        <is>
          <t>Vivah</t>
        </is>
      </c>
      <c r="D211" s="19" t="inlineStr">
        <is>
          <t>Sooraj R. Barjatya</t>
        </is>
      </c>
      <c r="E211" s="19" t="inlineStr">
        <is>
          <t>Shahid Kapoor, Amrita Rao, Anupam Kher, Alok Nath, Seema Biswas, Samir Soni, Lata Sabharwal, Manoj Joshi, Dinesh Lamba, Amrita Prakash</t>
        </is>
      </c>
      <c r="F211" s="19" t="inlineStr">
        <is>
          <t>India</t>
        </is>
      </c>
      <c r="G211" s="19" t="inlineStr">
        <is>
          <t>2020-06-25</t>
        </is>
      </c>
      <c r="H211" s="19" t="n">
        <v>2006</v>
      </c>
      <c r="I211" s="19" t="inlineStr">
        <is>
          <t>TV-14</t>
        </is>
      </c>
      <c r="J211" s="19" t="inlineStr">
        <is>
          <t>166 min</t>
        </is>
      </c>
      <c r="K211" s="19" t="inlineStr">
        <is>
          <t>Dramas, International Movies, Romantic Movies</t>
        </is>
      </c>
      <c r="L211" s="19" t="inlineStr">
        <is>
          <t>Set up for an arranged marriage, a young couple enjoys an old-fashioned courtship, until an accident days before their wedding tests their nascent love.</t>
        </is>
      </c>
      <c r="M211" s="19" t="n">
        <v>2020</v>
      </c>
      <c r="N211" s="19">
        <f>IF(AND(OR(YearFilter="All",$M211=YearFilter),OR(RatingFilter="All",$I211=RatingFilter),OR(TypeFilter="All",$B211=TypeFilter),OR(GenreFilter="All",COUNTIFS(tblGenre[show_id],$A211,tblGenre[Genre],GenreFilter)&gt;0)),1,0)</f>
        <v/>
      </c>
    </row>
    <row r="212" ht="15" customHeight="1" s="20">
      <c r="A212" s="19" t="inlineStr">
        <is>
          <t>s2343</t>
        </is>
      </c>
      <c r="B212" s="19" t="inlineStr">
        <is>
          <t>Movie</t>
        </is>
      </c>
      <c r="C212" s="19" t="inlineStr">
        <is>
          <t>Bulbbul</t>
        </is>
      </c>
      <c r="D212" s="19" t="inlineStr">
        <is>
          <t>Anvita Dutt</t>
        </is>
      </c>
      <c r="E212" s="19" t="inlineStr">
        <is>
          <t>Tripti Dimri, Avinash Tiwary, Rahul Bose, Parambrata Chatterjee, Paoli Dam, Veera Kapur Ee</t>
        </is>
      </c>
      <c r="F212" s="19" t="inlineStr">
        <is>
          <t>India</t>
        </is>
      </c>
      <c r="G212" s="19" t="inlineStr">
        <is>
          <t>2020-06-24</t>
        </is>
      </c>
      <c r="H212" s="19" t="n">
        <v>2020</v>
      </c>
      <c r="I212" s="19" t="inlineStr">
        <is>
          <t>TV-MA</t>
        </is>
      </c>
      <c r="J212" s="19" t="inlineStr">
        <is>
          <t>94 min</t>
        </is>
      </c>
      <c r="K212" s="19" t="inlineStr">
        <is>
          <t>Horror Movies, International Movies</t>
        </is>
      </c>
      <c r="L212" s="19" t="inlineStr">
        <is>
          <t>A child bride grows up to be an enigmatic woman presiding over her household, harboring a painful past as supernatural murders of men plague her village.</t>
        </is>
      </c>
      <c r="M212" s="19" t="n">
        <v>2020</v>
      </c>
      <c r="N212" s="19">
        <f>IF(AND(OR(YearFilter="All",$M212=YearFilter),OR(RatingFilter="All",$I212=RatingFilter),OR(TypeFilter="All",$B212=TypeFilter),OR(GenreFilter="All",COUNTIFS(tblGenre[show_id],$A212,tblGenre[Genre],GenreFilter)&gt;0)),1,0)</f>
        <v/>
      </c>
    </row>
    <row r="213" ht="15" customHeight="1" s="20">
      <c r="A213" s="19" t="inlineStr">
        <is>
          <t>s2348</t>
        </is>
      </c>
      <c r="B213" s="19" t="inlineStr">
        <is>
          <t>Movie</t>
        </is>
      </c>
      <c r="C213" s="19" t="inlineStr">
        <is>
          <t>Kappela</t>
        </is>
      </c>
      <c r="D213" s="19" t="inlineStr">
        <is>
          <t>Musthafa</t>
        </is>
      </c>
      <c r="E213" s="19" t="inlineStr">
        <is>
          <t>Anna Ben, Roshan Mathew, Sreenath Bhasi, Sudhi Koppa, Tanvi Ram, Musthafa, James Eliya, Vijilesh</t>
        </is>
      </c>
      <c r="F213" s="19" t="inlineStr">
        <is>
          <t>India</t>
        </is>
      </c>
      <c r="G213" s="19" t="inlineStr">
        <is>
          <t>2020-06-22</t>
        </is>
      </c>
      <c r="H213" s="19" t="n">
        <v>2020</v>
      </c>
      <c r="I213" s="19" t="inlineStr">
        <is>
          <t>TV-14</t>
        </is>
      </c>
      <c r="J213" s="19" t="inlineStr">
        <is>
          <t>112 min</t>
        </is>
      </c>
      <c r="K213" s="19" t="inlineStr">
        <is>
          <t>Dramas, Independent Movies, International Movies</t>
        </is>
      </c>
      <c r="L213" s="19" t="inlineStr">
        <is>
          <t>Falling into an over-the-phone romance with a rickshaw driver, a young woman visits his city when an encounter with a stranger derails their meeting.</t>
        </is>
      </c>
      <c r="M213" s="19" t="n">
        <v>2020</v>
      </c>
      <c r="N213" s="19">
        <f>IF(AND(OR(YearFilter="All",$M213=YearFilter),OR(RatingFilter="All",$I213=RatingFilter),OR(TypeFilter="All",$B213=TypeFilter),OR(GenreFilter="All",COUNTIFS(tblGenre[show_id],$A213,tblGenre[Genre],GenreFilter)&gt;0)),1,0)</f>
        <v/>
      </c>
    </row>
    <row r="214" ht="15" customHeight="1" s="20">
      <c r="A214" s="19" t="inlineStr">
        <is>
          <t>s2354</t>
        </is>
      </c>
      <c r="B214" s="19" t="inlineStr">
        <is>
          <t>Movie</t>
        </is>
      </c>
      <c r="C214" s="19" t="inlineStr">
        <is>
          <t>Chaman Bahaar</t>
        </is>
      </c>
      <c r="D214" s="19" t="inlineStr">
        <is>
          <t>Apurva Dhar Badgaiyann</t>
        </is>
      </c>
      <c r="E214" s="19" t="inlineStr">
        <is>
          <t>Jitendra Kumar, Ritika Badiani, Yogendra Tikku, Bhuvan Arora, Alam Khan, Dhirendra Tiwari, Ashwani Kumar, Bhagwan Tiwari</t>
        </is>
      </c>
      <c r="F214" s="19" t="inlineStr">
        <is>
          <t>India</t>
        </is>
      </c>
      <c r="G214" s="19" t="inlineStr">
        <is>
          <t>2020-06-19</t>
        </is>
      </c>
      <c r="H214" s="19" t="n">
        <v>2020</v>
      </c>
      <c r="I214" s="19" t="inlineStr">
        <is>
          <t>TV-MA</t>
        </is>
      </c>
      <c r="J214" s="19" t="inlineStr">
        <is>
          <t>112 min</t>
        </is>
      </c>
      <c r="K214" s="19" t="inlineStr">
        <is>
          <t>Comedies, Dramas, International Movies</t>
        </is>
      </c>
      <c r="L214" s="19" t="inlineStr">
        <is>
          <t>A local shop becomes a hub for young men taken with the new neighbor. But as business booms, it may leave the equally smitten storeowner heartbroken.</t>
        </is>
      </c>
      <c r="M214" s="19" t="n">
        <v>2020</v>
      </c>
      <c r="N214" s="19">
        <f>IF(AND(OR(YearFilter="All",$M214=YearFilter),OR(RatingFilter="All",$I214=RatingFilter),OR(TypeFilter="All",$B214=TypeFilter),OR(GenreFilter="All",COUNTIFS(tblGenre[show_id],$A214,tblGenre[Genre],GenreFilter)&gt;0)),1,0)</f>
        <v/>
      </c>
    </row>
    <row r="215" ht="15" customHeight="1" s="20">
      <c r="A215" s="19" t="inlineStr">
        <is>
          <t>s2390</t>
        </is>
      </c>
      <c r="B215" s="19" t="inlineStr">
        <is>
          <t>Movie</t>
        </is>
      </c>
      <c r="C215" s="19" t="inlineStr">
        <is>
          <t>Asura Guru</t>
        </is>
      </c>
      <c r="D215" s="19" t="inlineStr">
        <is>
          <t>A. Raajdheep</t>
        </is>
      </c>
      <c r="E215" s="19" t="inlineStr">
        <is>
          <t>Vikram Prabhu, Subbaraju, Mahima Nambiar, Yogi Babu, Jagan</t>
        </is>
      </c>
      <c r="F215" s="19" t="inlineStr">
        <is>
          <t>India</t>
        </is>
      </c>
      <c r="G215" s="19" t="inlineStr">
        <is>
          <t>2020-06-13</t>
        </is>
      </c>
      <c r="H215" s="19" t="n">
        <v>2020</v>
      </c>
      <c r="I215" s="19" t="inlineStr">
        <is>
          <t>TV-14</t>
        </is>
      </c>
      <c r="J215" s="19" t="inlineStr">
        <is>
          <t>117 min</t>
        </is>
      </c>
      <c r="K215" s="19" t="inlineStr">
        <is>
          <t>Dramas, International Movies</t>
        </is>
      </c>
      <c r="L215" s="19" t="inlineStr">
        <is>
          <t>For a tech-savvy thief, elaborate robberies and evading the police are second nature until a private detective is hired to investigate his latest heist.</t>
        </is>
      </c>
      <c r="M215" s="19" t="n">
        <v>2020</v>
      </c>
      <c r="N215" s="19">
        <f>IF(AND(OR(YearFilter="All",$M215=YearFilter),OR(RatingFilter="All",$I215=RatingFilter),OR(TypeFilter="All",$B215=TypeFilter),OR(GenreFilter="All",COUNTIFS(tblGenre[show_id],$A215,tblGenre[Genre],GenreFilter)&gt;0)),1,0)</f>
        <v/>
      </c>
    </row>
    <row r="216" ht="15" customHeight="1" s="20">
      <c r="A216" s="19" t="inlineStr">
        <is>
          <t>s2393</t>
        </is>
      </c>
      <c r="B216" s="19" t="inlineStr">
        <is>
          <t>Movie</t>
        </is>
      </c>
      <c r="C216" s="19" t="inlineStr">
        <is>
          <t>Axone</t>
        </is>
      </c>
      <c r="D216" s="19" t="inlineStr">
        <is>
          <t>Nicholas Kharkongor</t>
        </is>
      </c>
      <c r="E216" s="19" t="inlineStr">
        <is>
          <t>Sayani Gupta, Lin Laishram, Tenzing Dalha, Dolly Ahluwalia, Vinay Pathak, Lanuakam Ao, Rohan Joshi, Adil Hussain, Asenla Jamir</t>
        </is>
      </c>
      <c r="F216" s="19" t="inlineStr">
        <is>
          <t>India</t>
        </is>
      </c>
      <c r="G216" s="19" t="inlineStr">
        <is>
          <t>2020-06-12</t>
        </is>
      </c>
      <c r="H216" s="19" t="n">
        <v>2020</v>
      </c>
      <c r="I216" s="19" t="inlineStr">
        <is>
          <t>TV-MA</t>
        </is>
      </c>
      <c r="J216" s="19" t="inlineStr">
        <is>
          <t>101 min</t>
        </is>
      </c>
      <c r="K216" s="19" t="inlineStr">
        <is>
          <t>Comedies, Dramas, Independent Movies</t>
        </is>
      </c>
      <c r="L216" s="19" t="inlineStr">
        <is>
          <t>In Delhi, friends from Northeast India prepare a pungent delicacy for a wedding party, sparking conflict and comedy with their unaccustomed neighbors.</t>
        </is>
      </c>
      <c r="M216" s="19" t="n">
        <v>2020</v>
      </c>
      <c r="N216" s="19">
        <f>IF(AND(OR(YearFilter="All",$M216=YearFilter),OR(RatingFilter="All",$I216=RatingFilter),OR(TypeFilter="All",$B216=TypeFilter),OR(GenreFilter="All",COUNTIFS(tblGenre[show_id],$A216,tblGenre[Genre],GenreFilter)&gt;0)),1,0)</f>
        <v/>
      </c>
    </row>
    <row r="217" ht="15" customHeight="1" s="20">
      <c r="A217" s="19" t="inlineStr">
        <is>
          <t>s2414</t>
        </is>
      </c>
      <c r="B217" s="19" t="inlineStr">
        <is>
          <t>Movie</t>
        </is>
      </c>
      <c r="C217" s="19" t="inlineStr">
        <is>
          <t>Forensic</t>
        </is>
      </c>
      <c r="D217" s="19" t="inlineStr">
        <is>
          <t>Akhil Paul, Anas Khan</t>
        </is>
      </c>
      <c r="E217" s="19" t="inlineStr">
        <is>
          <t>Tovino Thomas, Mamtha Mohandas, Renji Panicker, Saiju Kurup, Reba Monica John, Pratap Pothen, Giju John, Sreekanth Murali</t>
        </is>
      </c>
      <c r="F217" s="19" t="inlineStr">
        <is>
          <t>India</t>
        </is>
      </c>
      <c r="G217" s="19" t="inlineStr">
        <is>
          <t>2020-06-07</t>
        </is>
      </c>
      <c r="H217" s="19" t="n">
        <v>2020</v>
      </c>
      <c r="I217" s="19" t="inlineStr">
        <is>
          <t>TV-14</t>
        </is>
      </c>
      <c r="J217" s="19" t="inlineStr">
        <is>
          <t>132 min</t>
        </is>
      </c>
      <c r="K217" s="19" t="inlineStr">
        <is>
          <t>International Movies, Thrillers</t>
        </is>
      </c>
      <c r="L217" s="19" t="inlineStr">
        <is>
          <t>A pair of officers with history navigates clues from the past, false leads and a ticking clock to nab an elusive serial killer who targets young girls.</t>
        </is>
      </c>
      <c r="M217" s="19" t="n">
        <v>2020</v>
      </c>
      <c r="N217" s="19">
        <f>IF(AND(OR(YearFilter="All",$M217=YearFilter),OR(RatingFilter="All",$I217=RatingFilter),OR(TypeFilter="All",$B217=TypeFilter),OR(GenreFilter="All",COUNTIFS(tblGenre[show_id],$A217,tblGenre[Genre],GenreFilter)&gt;0)),1,0)</f>
        <v/>
      </c>
    </row>
    <row r="218" ht="15" customHeight="1" s="20">
      <c r="A218" s="19" t="inlineStr">
        <is>
          <t>s2415</t>
        </is>
      </c>
      <c r="B218" s="19" t="inlineStr">
        <is>
          <t>Movie</t>
        </is>
      </c>
      <c r="C218" s="19" t="inlineStr">
        <is>
          <t>Project Papa</t>
        </is>
      </c>
      <c r="D218" s="19" t="inlineStr">
        <is>
          <t>Kanika Batra</t>
        </is>
      </c>
      <c r="E218" s="19" t="inlineStr">
        <is>
          <t>Rakesh Batra, Kanika Batra, Sneha Kapoor, Rohn Malhotra, Munira Sen, Anaitha Nair, Rajit Kapoor</t>
        </is>
      </c>
      <c r="F218" s="19" t="inlineStr">
        <is>
          <t>India</t>
        </is>
      </c>
      <c r="G218" s="19" t="inlineStr">
        <is>
          <t>2020-06-07</t>
        </is>
      </c>
      <c r="H218" s="19" t="n">
        <v>2018</v>
      </c>
      <c r="I218" s="19" t="inlineStr">
        <is>
          <t>TV-14</t>
        </is>
      </c>
      <c r="J218" s="19" t="inlineStr">
        <is>
          <t>92 min</t>
        </is>
      </c>
      <c r="K218" s="19" t="inlineStr">
        <is>
          <t>Dramas, Independent Movies, International Movies</t>
        </is>
      </c>
      <c r="L218" s="19" t="inlineStr">
        <is>
          <t>When a busy entrepreneur pauses her career to spend time with her aging father, both learn valuable lessons on happiness, love and living in the moment.</t>
        </is>
      </c>
      <c r="M218" s="19" t="n">
        <v>2020</v>
      </c>
      <c r="N218" s="19">
        <f>IF(AND(OR(YearFilter="All",$M218=YearFilter),OR(RatingFilter="All",$I218=RatingFilter),OR(TypeFilter="All",$B218=TypeFilter),OR(GenreFilter="All",COUNTIFS(tblGenre[show_id],$A218,tblGenre[Genre],GenreFilter)&gt;0)),1,0)</f>
        <v/>
      </c>
    </row>
    <row r="219" ht="15" customHeight="1" s="20">
      <c r="A219" s="19" t="inlineStr">
        <is>
          <t>s2421</t>
        </is>
      </c>
      <c r="B219" s="19" t="inlineStr">
        <is>
          <t>Movie</t>
        </is>
      </c>
      <c r="C219" s="19" t="inlineStr">
        <is>
          <t>Choked: Paisa Bolta Hai</t>
        </is>
      </c>
      <c r="D219" s="19" t="inlineStr">
        <is>
          <t>Anurag Kashyap</t>
        </is>
      </c>
      <c r="E219" s="19" t="inlineStr">
        <is>
          <t>Saiyami Kher, Roshan Mathew, Amruta Subhash, Upendra Limaye, Tushar Dalvi, Rajshri Deshpande, Vaisnavi RP, Uday Nene, Parthveer Shukla, Sanjay Bhatia, Aditya Kumar, Milind Pathak</t>
        </is>
      </c>
      <c r="F219" s="19" t="inlineStr">
        <is>
          <t>India</t>
        </is>
      </c>
      <c r="G219" s="19" t="inlineStr">
        <is>
          <t>2020-06-05</t>
        </is>
      </c>
      <c r="H219" s="19" t="n">
        <v>2020</v>
      </c>
      <c r="I219" s="19" t="inlineStr">
        <is>
          <t>TV-14</t>
        </is>
      </c>
      <c r="J219" s="19" t="inlineStr">
        <is>
          <t>114 min</t>
        </is>
      </c>
      <c r="K219" s="19" t="inlineStr">
        <is>
          <t>Dramas, International Movies</t>
        </is>
      </c>
      <c r="L219" s="19" t="inlineStr">
        <is>
          <t>A bank employee weighed down by her jobless husband's debts — and her own broken dreams — finds a secret source of seemingly unlimited cash in her home.</t>
        </is>
      </c>
      <c r="M219" s="19" t="n">
        <v>2020</v>
      </c>
      <c r="N219" s="19">
        <f>IF(AND(OR(YearFilter="All",$M219=YearFilter),OR(RatingFilter="All",$I219=RatingFilter),OR(TypeFilter="All",$B219=TypeFilter),OR(GenreFilter="All",COUNTIFS(tblGenre[show_id],$A219,tblGenre[Genre],GenreFilter)&gt;0)),1,0)</f>
        <v/>
      </c>
    </row>
    <row r="220" ht="15" customHeight="1" s="20">
      <c r="A220" s="19" t="inlineStr">
        <is>
          <t>s2446</t>
        </is>
      </c>
      <c r="B220" s="19" t="inlineStr">
        <is>
          <t>Movie</t>
        </is>
      </c>
      <c r="C220" s="19" t="inlineStr">
        <is>
          <t>Chippa</t>
        </is>
      </c>
      <c r="D220" s="19" t="inlineStr">
        <is>
          <t>Safdar Rahman</t>
        </is>
      </c>
      <c r="E220" s="19" t="inlineStr">
        <is>
          <t>Sunny Pawar, Chandan Roy Sanyal, Gautam Sarkar, Sumeet Thakur, Mala Mukherjee, Masood Akhtar, Veer Rajwant Singh, Joyraj Bhattacharya</t>
        </is>
      </c>
      <c r="F220" s="19" t="inlineStr">
        <is>
          <t>India</t>
        </is>
      </c>
      <c r="G220" s="19" t="inlineStr">
        <is>
          <t>2020-06-01</t>
        </is>
      </c>
      <c r="H220" s="19" t="n">
        <v>2020</v>
      </c>
      <c r="I220" s="19" t="inlineStr">
        <is>
          <t>TV-14</t>
        </is>
      </c>
      <c r="J220" s="19" t="inlineStr">
        <is>
          <t>92 min</t>
        </is>
      </c>
      <c r="K220" s="19" t="inlineStr">
        <is>
          <t>Comedies, Dramas, Independent Movies</t>
        </is>
      </c>
      <c r="L220" s="19" t="inlineStr">
        <is>
          <t>At midnight on his 10th birthday, a boy scours the lesser-known Kolkata streets in search of a father he’s never met, carrying a letter he can’t read.</t>
        </is>
      </c>
      <c r="M220" s="19" t="n">
        <v>2020</v>
      </c>
      <c r="N220" s="19">
        <f>IF(AND(OR(YearFilter="All",$M220=YearFilter),OR(RatingFilter="All",$I220=RatingFilter),OR(TypeFilter="All",$B220=TypeFilter),OR(GenreFilter="All",COUNTIFS(tblGenre[show_id],$A220,tblGenre[Genre],GenreFilter)&gt;0)),1,0)</f>
        <v/>
      </c>
    </row>
    <row r="221" ht="15" customHeight="1" s="20">
      <c r="A221" s="19" t="inlineStr">
        <is>
          <t>s2459</t>
        </is>
      </c>
      <c r="B221" s="19" t="inlineStr">
        <is>
          <t>Movie</t>
        </is>
      </c>
      <c r="C221" s="19" t="inlineStr">
        <is>
          <t>Kenny Sebastian: The Most Interesting Person in the Room</t>
        </is>
      </c>
      <c r="D221" s="19" t="inlineStr">
        <is>
          <t>Angshuman Ghosh</t>
        </is>
      </c>
      <c r="E221" s="19" t="inlineStr">
        <is>
          <t>Kenny Sebastian</t>
        </is>
      </c>
      <c r="F221" s="19" t="inlineStr">
        <is>
          <t>India</t>
        </is>
      </c>
      <c r="G221" s="19" t="inlineStr">
        <is>
          <t>2020-05-29</t>
        </is>
      </c>
      <c r="H221" s="19" t="n">
        <v>2020</v>
      </c>
      <c r="I221" s="19" t="inlineStr">
        <is>
          <t>TV-MA</t>
        </is>
      </c>
      <c r="J221" s="19" t="inlineStr">
        <is>
          <t>68 min</t>
        </is>
      </c>
      <c r="K221" s="19" t="inlineStr">
        <is>
          <t>Stand-Up Comedy</t>
        </is>
      </c>
      <c r="L221" s="19" t="inlineStr">
        <is>
          <t>Fusing his musical and stand-up chops, Kenny Sebastian gets analytical about frumpy footwear, flightless birds and his fear of not being funny enough.</t>
        </is>
      </c>
      <c r="M221" s="19" t="n">
        <v>2020</v>
      </c>
      <c r="N221" s="19">
        <f>IF(AND(OR(YearFilter="All",$M221=YearFilter),OR(RatingFilter="All",$I221=RatingFilter),OR(TypeFilter="All",$B221=TypeFilter),OR(GenreFilter="All",COUNTIFS(tblGenre[show_id],$A221,tblGenre[Genre],GenreFilter)&gt;0)),1,0)</f>
        <v/>
      </c>
    </row>
    <row r="222" ht="15" customHeight="1" s="20">
      <c r="A222" s="19" t="inlineStr">
        <is>
          <t>s2473</t>
        </is>
      </c>
      <c r="B222" s="19" t="inlineStr">
        <is>
          <t>TV Show</t>
        </is>
      </c>
      <c r="C222" s="19" t="inlineStr">
        <is>
          <t>Betaal</t>
        </is>
      </c>
      <c r="E222" s="19" t="inlineStr">
        <is>
          <t>Viineet Kumar, Aahana Kumra, Suchitra Pillai, Jatin Goswami, Siddharth Menon, Manjiri Pupala, Yashwant Wasnik, Savita Bajaj, Jitendra Joshi, Syna Anand</t>
        </is>
      </c>
      <c r="F222" s="19" t="inlineStr">
        <is>
          <t>India</t>
        </is>
      </c>
      <c r="G222" s="19" t="inlineStr">
        <is>
          <t>2020-05-24</t>
        </is>
      </c>
      <c r="H222" s="19" t="n">
        <v>2020</v>
      </c>
      <c r="I222" s="19" t="inlineStr">
        <is>
          <t>TV-MA</t>
        </is>
      </c>
      <c r="J222" s="19" t="inlineStr">
        <is>
          <t>1 Season</t>
        </is>
      </c>
      <c r="K222" s="19" t="inlineStr">
        <is>
          <t>International TV Shows, TV Action &amp; Adventure, TV Horror</t>
        </is>
      </c>
      <c r="L222" s="19" t="inlineStr">
        <is>
          <t>Hired to displace tribal villagers to make way for a new highway, officials unearth an old curse and an army of British soldier-zombies.</t>
        </is>
      </c>
      <c r="M222" s="19" t="n">
        <v>2020</v>
      </c>
      <c r="N222" s="19">
        <f>IF(AND(OR(YearFilter="All",$M222=YearFilter),OR(RatingFilter="All",$I222=RatingFilter),OR(TypeFilter="All",$B222=TypeFilter),OR(GenreFilter="All",COUNTIFS(tblGenre[show_id],$A222,tblGenre[Genre],GenreFilter)&gt;0)),1,0)</f>
        <v/>
      </c>
    </row>
    <row r="223" ht="15" customHeight="1" s="20">
      <c r="A223" s="19" t="inlineStr">
        <is>
          <t>s2501</t>
        </is>
      </c>
      <c r="B223" s="19" t="inlineStr">
        <is>
          <t>Movie</t>
        </is>
      </c>
      <c r="C223" s="19" t="inlineStr">
        <is>
          <t>What Are the Odds?</t>
        </is>
      </c>
      <c r="D223" s="19" t="inlineStr">
        <is>
          <t>Megha Ramaswamy</t>
        </is>
      </c>
      <c r="E223" s="19" t="inlineStr">
        <is>
          <t>Yashaswini Dayama, Karanvir Malhotra, Abhay Deol, Priyanka Bose, Monica Dogra, Sulabha Arya, Manu Rishi Chadha, Ananya Melkote</t>
        </is>
      </c>
      <c r="F223" s="19" t="inlineStr">
        <is>
          <t>India</t>
        </is>
      </c>
      <c r="G223" s="19" t="inlineStr">
        <is>
          <t>2020-05-20</t>
        </is>
      </c>
      <c r="H223" s="19" t="n">
        <v>2020</v>
      </c>
      <c r="I223" s="19" t="inlineStr">
        <is>
          <t>TV-MA</t>
        </is>
      </c>
      <c r="J223" s="19" t="inlineStr">
        <is>
          <t>92 min</t>
        </is>
      </c>
      <c r="K223" s="19" t="inlineStr">
        <is>
          <t>Comedies, Dramas, Independent Movies</t>
        </is>
      </c>
      <c r="L223" s="19" t="inlineStr">
        <is>
          <t>When two unlikely friends play hooky from school, accidental encounters and otherworldly events turn their day into a whimsical coming-of-age journey.</t>
        </is>
      </c>
      <c r="M223" s="19" t="n">
        <v>2020</v>
      </c>
      <c r="N223" s="19">
        <f>IF(AND(OR(YearFilter="All",$M223=YearFilter),OR(RatingFilter="All",$I223=RatingFilter),OR(TypeFilter="All",$B223=TypeFilter),OR(GenreFilter="All",COUNTIFS(tblGenre[show_id],$A223,tblGenre[Genre],GenreFilter)&gt;0)),1,0)</f>
        <v/>
      </c>
    </row>
    <row r="224" ht="15" customHeight="1" s="20">
      <c r="A224" s="19" t="inlineStr">
        <is>
          <t>s2535</t>
        </is>
      </c>
      <c r="B224" s="19" t="inlineStr">
        <is>
          <t>Movie</t>
        </is>
      </c>
      <c r="C224" s="19" t="inlineStr">
        <is>
          <t>Malang</t>
        </is>
      </c>
      <c r="D224" s="19" t="inlineStr">
        <is>
          <t>Mohit Suri</t>
        </is>
      </c>
      <c r="E224" s="19" t="inlineStr">
        <is>
          <t>Anil Kapoor, Aditya Roy Kapur, Disha Patani, Kunal Khemu, Makrand Deshpande, Vatsal Seth, Amruta Khanvilkar, Shaad Randhawa</t>
        </is>
      </c>
      <c r="F224" s="19" t="inlineStr">
        <is>
          <t>India</t>
        </is>
      </c>
      <c r="G224" s="19" t="inlineStr">
        <is>
          <t>2020-05-14</t>
        </is>
      </c>
      <c r="H224" s="19" t="n">
        <v>2020</v>
      </c>
      <c r="I224" s="19" t="inlineStr">
        <is>
          <t>TV-MA</t>
        </is>
      </c>
      <c r="J224" s="19" t="inlineStr">
        <is>
          <t>131 min</t>
        </is>
      </c>
      <c r="K224" s="19" t="inlineStr">
        <is>
          <t>Action &amp; Adventure, International Movies, Romantic Movies</t>
        </is>
      </c>
      <c r="L224" s="19" t="inlineStr">
        <is>
          <t>Years after a police encounter separates him from his lover, an angry young man goes on a killing spree, with an equally vengeful cop on his heels.</t>
        </is>
      </c>
      <c r="M224" s="19" t="n">
        <v>2020</v>
      </c>
      <c r="N224" s="19">
        <f>IF(AND(OR(YearFilter="All",$M224=YearFilter),OR(RatingFilter="All",$I224=RatingFilter),OR(TypeFilter="All",$B224=TypeFilter),OR(GenreFilter="All",COUNTIFS(tblGenre[show_id],$A224,tblGenre[Genre],GenreFilter)&gt;0)),1,0)</f>
        <v/>
      </c>
    </row>
    <row r="225" ht="15" customHeight="1" s="20">
      <c r="A225" s="19" t="inlineStr">
        <is>
          <t>s2540</t>
        </is>
      </c>
      <c r="B225" s="19" t="inlineStr">
        <is>
          <t>Movie</t>
        </is>
      </c>
      <c r="C225" s="19" t="inlineStr">
        <is>
          <t>Fire in the Blood</t>
        </is>
      </c>
      <c r="D225" s="19" t="inlineStr">
        <is>
          <t>Dylan Mohan Gray</t>
        </is>
      </c>
      <c r="E225" s="19" t="inlineStr">
        <is>
          <t>William Hurt</t>
        </is>
      </c>
      <c r="F225" s="19" t="inlineStr">
        <is>
          <t>India</t>
        </is>
      </c>
      <c r="G225" s="19" t="inlineStr">
        <is>
          <t>2020-05-13</t>
        </is>
      </c>
      <c r="H225" s="19" t="n">
        <v>2012</v>
      </c>
      <c r="I225" s="19" t="inlineStr">
        <is>
          <t>TV-14</t>
        </is>
      </c>
      <c r="J225" s="19" t="inlineStr">
        <is>
          <t>83 min</t>
        </is>
      </c>
      <c r="K225" s="19" t="inlineStr">
        <is>
          <t>Documentaries, International Movies</t>
        </is>
      </c>
      <c r="L225" s="19" t="inlineStr">
        <is>
          <t>Dylan Mohan Gray examines Africa's AIDS crisis and activists' battle with pharmaceutical companies to make life-saving HIV drugs more affordable.</t>
        </is>
      </c>
      <c r="M225" s="19" t="n">
        <v>2020</v>
      </c>
      <c r="N225" s="19">
        <f>IF(AND(OR(YearFilter="All",$M225=YearFilter),OR(RatingFilter="All",$I225=RatingFilter),OR(TypeFilter="All",$B225=TypeFilter),OR(GenreFilter="All",COUNTIFS(tblGenre[show_id],$A225,tblGenre[Genre],GenreFilter)&gt;0)),1,0)</f>
        <v/>
      </c>
    </row>
    <row r="226" ht="15" customHeight="1" s="20">
      <c r="A226" s="19" t="inlineStr">
        <is>
          <t>s2545</t>
        </is>
      </c>
      <c r="B226" s="19" t="inlineStr">
        <is>
          <t>Movie</t>
        </is>
      </c>
      <c r="C226" s="19" t="inlineStr">
        <is>
          <t>Action Replayy</t>
        </is>
      </c>
      <c r="D226" s="19" t="inlineStr">
        <is>
          <t>Vipul Amrutlal Shah</t>
        </is>
      </c>
      <c r="E226" s="19" t="inlineStr">
        <is>
          <t>Akshay Kumar, Aishwarya Rai Bachchan, Om Puri, Kiron Kher, Neha Dhupia, Rannvijay Singh, Aditya Roy Kapur, Sudeepa Singh, Randhir Kapoor, Rajpal Yadav</t>
        </is>
      </c>
      <c r="F226" s="19" t="inlineStr">
        <is>
          <t>India</t>
        </is>
      </c>
      <c r="G226" s="19" t="inlineStr">
        <is>
          <t>2020-05-11</t>
        </is>
      </c>
      <c r="H226" s="19" t="n">
        <v>2010</v>
      </c>
      <c r="I226" s="19" t="inlineStr">
        <is>
          <t>TV-PG</t>
        </is>
      </c>
      <c r="J226" s="19" t="inlineStr">
        <is>
          <t>129 min</t>
        </is>
      </c>
      <c r="K226" s="19" t="inlineStr">
        <is>
          <t>Children &amp; Family Movies, Comedies, International Movies</t>
        </is>
      </c>
      <c r="L226" s="19" t="inlineStr">
        <is>
          <t>Sick of his parents’ constant squabbling, a young man travels back in time to the onset of their romance, with plans to set them up for marital bliss.</t>
        </is>
      </c>
      <c r="M226" s="19" t="n">
        <v>2020</v>
      </c>
      <c r="N226" s="19">
        <f>IF(AND(OR(YearFilter="All",$M226=YearFilter),OR(RatingFilter="All",$I226=RatingFilter),OR(TypeFilter="All",$B226=TypeFilter),OR(GenreFilter="All",COUNTIFS(tblGenre[show_id],$A226,tblGenre[Genre],GenreFilter)&gt;0)),1,0)</f>
        <v/>
      </c>
    </row>
    <row r="227" ht="15" customHeight="1" s="20">
      <c r="A227" s="19" t="inlineStr">
        <is>
          <t>s2546</t>
        </is>
      </c>
      <c r="B227" s="19" t="inlineStr">
        <is>
          <t>Movie</t>
        </is>
      </c>
      <c r="C227" s="19" t="inlineStr">
        <is>
          <t>Andaz Apna Apna</t>
        </is>
      </c>
      <c r="D227" s="19" t="inlineStr">
        <is>
          <t>Rajkumar Santoshi</t>
        </is>
      </c>
      <c r="E227" s="19" t="inlineStr">
        <is>
          <t>Aamir Khan, Salman Khan, Raveena Tandon, Karisma Kapoor, Paresh Rawal, Mehmood, Deven Verma, Jagdeep, Shakti Kapoor</t>
        </is>
      </c>
      <c r="F227" s="19" t="inlineStr">
        <is>
          <t>India</t>
        </is>
      </c>
      <c r="G227" s="19" t="inlineStr">
        <is>
          <t>2020-05-11</t>
        </is>
      </c>
      <c r="H227" s="19" t="n">
        <v>1994</v>
      </c>
      <c r="I227" s="19" t="inlineStr">
        <is>
          <t>TV-14</t>
        </is>
      </c>
      <c r="J227" s="19" t="inlineStr">
        <is>
          <t>160 min</t>
        </is>
      </c>
      <c r="K227" s="19" t="inlineStr">
        <is>
          <t>Action &amp; Adventure, Comedies, Cult Movies</t>
        </is>
      </c>
      <c r="L227" s="19" t="inlineStr">
        <is>
          <t>Broke and with no concrete plans for the future, two young men discover that a stunning heiress lives nearby and try to charm her into marriage.</t>
        </is>
      </c>
      <c r="M227" s="19" t="n">
        <v>2020</v>
      </c>
      <c r="N227" s="19">
        <f>IF(AND(OR(YearFilter="All",$M227=YearFilter),OR(RatingFilter="All",$I227=RatingFilter),OR(TypeFilter="All",$B227=TypeFilter),OR(GenreFilter="All",COUNTIFS(tblGenre[show_id],$A227,tblGenre[Genre],GenreFilter)&gt;0)),1,0)</f>
        <v/>
      </c>
    </row>
    <row r="228" ht="15" customHeight="1" s="20">
      <c r="A228" s="19" t="inlineStr">
        <is>
          <t>s2563</t>
        </is>
      </c>
      <c r="B228" s="19" t="inlineStr">
        <is>
          <t>Movie</t>
        </is>
      </c>
      <c r="C228" s="19" t="inlineStr">
        <is>
          <t>Arctic Dogs</t>
        </is>
      </c>
      <c r="D228" s="19" t="inlineStr">
        <is>
          <t>Aaron Woodley</t>
        </is>
      </c>
      <c r="E228" s="19" t="inlineStr">
        <is>
          <t>Jeremy Renner, Heidi Klum, James Franco, John Cleese, Omar Sy, Michael Madsen, Laurie Holden, Anjelica Huston, Alec Baldwin, Donny Falsetti</t>
        </is>
      </c>
      <c r="F228" s="19" t="inlineStr">
        <is>
          <t>India, United Kingdom, China, Canada, Japan, South Korea, United States</t>
        </is>
      </c>
      <c r="G228" s="19" t="inlineStr">
        <is>
          <t>2020-05-04</t>
        </is>
      </c>
      <c r="H228" s="19" t="n">
        <v>2019</v>
      </c>
      <c r="I228" s="19" t="inlineStr">
        <is>
          <t>PG</t>
        </is>
      </c>
      <c r="J228" s="19" t="inlineStr">
        <is>
          <t>93 min</t>
        </is>
      </c>
      <c r="K228" s="19" t="inlineStr">
        <is>
          <t>Children &amp; Family Movies, Comedies</t>
        </is>
      </c>
      <c r="L228" s="19" t="inlineStr">
        <is>
          <t>When he stumbles upon evil Otto Von Walrus's scheme to melt the Arctic, ambitious delivery fox Swifty assembles a ragtag crew to protect the planet.</t>
        </is>
      </c>
      <c r="M228" s="19" t="n">
        <v>2020</v>
      </c>
      <c r="N228" s="19">
        <f>IF(AND(OR(YearFilter="All",$M228=YearFilter),OR(RatingFilter="All",$I228=RatingFilter),OR(TypeFilter="All",$B228=TypeFilter),OR(GenreFilter="All",COUNTIFS(tblGenre[show_id],$A228,tblGenre[Genre],GenreFilter)&gt;0)),1,0)</f>
        <v/>
      </c>
    </row>
    <row r="229" ht="15" customHeight="1" s="20">
      <c r="A229" s="19" t="inlineStr">
        <is>
          <t>s2565</t>
        </is>
      </c>
      <c r="B229" s="19" t="inlineStr">
        <is>
          <t>Movie</t>
        </is>
      </c>
      <c r="C229" s="19" t="inlineStr">
        <is>
          <t>One Day: Justice Delivered</t>
        </is>
      </c>
      <c r="D229" s="19" t="inlineStr">
        <is>
          <t>Ashok Nanda</t>
        </is>
      </c>
      <c r="E229" s="19" t="inlineStr">
        <is>
          <t>Anupam Kher, Esha Gupta, Kumud Mishra, Kashyap Bharbhaya, Anusmiritu Sarkar, Zakir Hussain, Rajesh Sharma, Murli Sharma, Ananth Narayan Mahadevan, Deepshikha</t>
        </is>
      </c>
      <c r="F229" s="19" t="inlineStr">
        <is>
          <t>India</t>
        </is>
      </c>
      <c r="G229" s="19" t="inlineStr">
        <is>
          <t>2020-05-03</t>
        </is>
      </c>
      <c r="H229" s="19" t="n">
        <v>2019</v>
      </c>
      <c r="I229" s="19" t="inlineStr">
        <is>
          <t>TV-14</t>
        </is>
      </c>
      <c r="J229" s="19" t="inlineStr">
        <is>
          <t>120 min</t>
        </is>
      </c>
      <c r="K229" s="19" t="inlineStr">
        <is>
          <t>Dramas, International Movies</t>
        </is>
      </c>
      <c r="L229" s="19" t="inlineStr">
        <is>
          <t>A former judge in retirement finds and punishes the culprits he could not convict in court, spurring a crime branch officer to investigate.</t>
        </is>
      </c>
      <c r="M229" s="19" t="n">
        <v>2020</v>
      </c>
      <c r="N229" s="19">
        <f>IF(AND(OR(YearFilter="All",$M229=YearFilter),OR(RatingFilter="All",$I229=RatingFilter),OR(TypeFilter="All",$B229=TypeFilter),OR(GenreFilter="All",COUNTIFS(tblGenre[show_id],$A229,tblGenre[Genre],GenreFilter)&gt;0)),1,0)</f>
        <v/>
      </c>
    </row>
    <row r="230" ht="15" customHeight="1" s="20">
      <c r="A230" s="19" t="inlineStr">
        <is>
          <t>s2588</t>
        </is>
      </c>
      <c r="B230" s="19" t="inlineStr">
        <is>
          <t>Movie</t>
        </is>
      </c>
      <c r="C230" s="19" t="inlineStr">
        <is>
          <t>Mrs. Serial Killer</t>
        </is>
      </c>
      <c r="D230" s="19" t="inlineStr">
        <is>
          <t>Shirish Kunder</t>
        </is>
      </c>
      <c r="E230" s="19" t="inlineStr">
        <is>
          <t>Jacqueline Fernandez, Manoj Bajpayee, Mohit Raina, Zayn Marie Khan</t>
        </is>
      </c>
      <c r="F230" s="19" t="inlineStr">
        <is>
          <t>India</t>
        </is>
      </c>
      <c r="G230" s="19" t="inlineStr">
        <is>
          <t>2020-05-01</t>
        </is>
      </c>
      <c r="H230" s="19" t="n">
        <v>2020</v>
      </c>
      <c r="I230" s="19" t="inlineStr">
        <is>
          <t>TV-MA</t>
        </is>
      </c>
      <c r="J230" s="19" t="inlineStr">
        <is>
          <t>107 min</t>
        </is>
      </c>
      <c r="K230" s="19" t="inlineStr">
        <is>
          <t>International Movies, Thrillers</t>
        </is>
      </c>
      <c r="L230" s="19" t="inlineStr">
        <is>
          <t>When a doctor gets jailed for a string of shocking murders, his loyal wife sets out to commit a copycat crime to prove his innocence.</t>
        </is>
      </c>
      <c r="M230" s="19" t="n">
        <v>2020</v>
      </c>
      <c r="N230" s="19">
        <f>IF(AND(OR(YearFilter="All",$M230=YearFilter),OR(RatingFilter="All",$I230=RatingFilter),OR(TypeFilter="All",$B230=TypeFilter),OR(GenreFilter="All",COUNTIFS(tblGenre[show_id],$A230,tblGenre[Genre],GenreFilter)&gt;0)),1,0)</f>
        <v/>
      </c>
    </row>
    <row r="231" ht="15" customHeight="1" s="20">
      <c r="A231" s="19" t="inlineStr">
        <is>
          <t>s2590</t>
        </is>
      </c>
      <c r="B231" s="19" t="inlineStr">
        <is>
          <t>Movie</t>
        </is>
      </c>
      <c r="C231" s="19" t="inlineStr">
        <is>
          <t>Psycho</t>
        </is>
      </c>
      <c r="D231" s="19" t="inlineStr">
        <is>
          <t>Mysskin</t>
        </is>
      </c>
      <c r="E231" s="19" t="inlineStr">
        <is>
          <t>Udhayanidhi Stalin, Aditi Rao Hydari, Nithya Menon, Ram, Rajkumar Pitchumani</t>
        </is>
      </c>
      <c r="F231" s="19" t="inlineStr">
        <is>
          <t>India</t>
        </is>
      </c>
      <c r="G231" s="19" t="inlineStr">
        <is>
          <t>2020-05-01</t>
        </is>
      </c>
      <c r="H231" s="19" t="n">
        <v>2020</v>
      </c>
      <c r="I231" s="19" t="inlineStr">
        <is>
          <t>TV-MA</t>
        </is>
      </c>
      <c r="J231" s="19" t="inlineStr">
        <is>
          <t>143 min</t>
        </is>
      </c>
      <c r="K231" s="19" t="inlineStr">
        <is>
          <t>Horror Movies, International Movies, Thrillers</t>
        </is>
      </c>
      <c r="L231" s="19" t="inlineStr">
        <is>
          <t>As a visually impaired man attempts to rescue his love interest from a serial killer, the dark story behind the murderer’s disturbing psyche emerges.</t>
        </is>
      </c>
      <c r="M231" s="19" t="n">
        <v>2020</v>
      </c>
      <c r="N231" s="19">
        <f>IF(AND(OR(YearFilter="All",$M231=YearFilter),OR(RatingFilter="All",$I231=RatingFilter),OR(TypeFilter="All",$B231=TypeFilter),OR(GenreFilter="All",COUNTIFS(tblGenre[show_id],$A231,tblGenre[Genre],GenreFilter)&gt;0)),1,0)</f>
        <v/>
      </c>
    </row>
    <row r="232" ht="15" customHeight="1" s="20">
      <c r="A232" s="19" t="inlineStr">
        <is>
          <t>s2611</t>
        </is>
      </c>
      <c r="B232" s="19" t="inlineStr">
        <is>
          <t>Movie</t>
        </is>
      </c>
      <c r="C232" s="19" t="inlineStr">
        <is>
          <t>R.K.Nagar</t>
        </is>
      </c>
      <c r="D232" s="19" t="inlineStr">
        <is>
          <t>Saravana Rajan</t>
        </is>
      </c>
      <c r="E232" s="19" t="inlineStr">
        <is>
          <t>Vaibhav Reddy, Sana Althaf, Sampath Raj, Inigo Prabhakaran, Anjana Keerthi, Subbu Panchu</t>
        </is>
      </c>
      <c r="F232" s="19" t="inlineStr">
        <is>
          <t>India</t>
        </is>
      </c>
      <c r="G232" s="19" t="inlineStr">
        <is>
          <t>2020-04-29</t>
        </is>
      </c>
      <c r="H232" s="19" t="n">
        <v>2019</v>
      </c>
      <c r="I232" s="19" t="inlineStr">
        <is>
          <t>TV-14</t>
        </is>
      </c>
      <c r="J232" s="19" t="inlineStr">
        <is>
          <t>132 min</t>
        </is>
      </c>
      <c r="K232" s="19" t="inlineStr">
        <is>
          <t>Action &amp; Adventure, Comedies, Dramas</t>
        </is>
      </c>
      <c r="L232" s="19" t="inlineStr">
        <is>
          <t>Things look up for a Chennai man struggling to make ends meet when he falls for a politician’s daughter – until he gets entangled in a murder case.</t>
        </is>
      </c>
      <c r="M232" s="19" t="n">
        <v>2020</v>
      </c>
      <c r="N232" s="19">
        <f>IF(AND(OR(YearFilter="All",$M232=YearFilter),OR(RatingFilter="All",$I232=RatingFilter),OR(TypeFilter="All",$B232=TypeFilter),OR(GenreFilter="All",COUNTIFS(tblGenre[show_id],$A232,tblGenre[Genre],GenreFilter)&gt;0)),1,0)</f>
        <v/>
      </c>
    </row>
    <row r="233" ht="15" customHeight="1" s="20">
      <c r="A233" s="19" t="inlineStr">
        <is>
          <t>s2614</t>
        </is>
      </c>
      <c r="B233" s="19" t="inlineStr">
        <is>
          <t>Movie</t>
        </is>
      </c>
      <c r="C233" s="19" t="inlineStr">
        <is>
          <t>Bir Baba Hindu</t>
        </is>
      </c>
      <c r="D233" s="19" t="inlineStr">
        <is>
          <t>Sermiyan Midyat</t>
        </is>
      </c>
      <c r="E233" s="19" t="inlineStr">
        <is>
          <t>Sermiyan Midyat, Şafak Sezer, Nicole Faria, Burak Satıbol</t>
        </is>
      </c>
      <c r="F233" s="19" t="inlineStr">
        <is>
          <t>Turkey, India</t>
        </is>
      </c>
      <c r="G233" s="19" t="inlineStr">
        <is>
          <t>2020-04-28</t>
        </is>
      </c>
      <c r="H233" s="19" t="n">
        <v>2016</v>
      </c>
      <c r="I233" s="19" t="inlineStr">
        <is>
          <t>TV-MA</t>
        </is>
      </c>
      <c r="J233" s="19" t="inlineStr">
        <is>
          <t>107 min</t>
        </is>
      </c>
      <c r="K233" s="19" t="inlineStr">
        <is>
          <t>Action &amp; Adventure, Comedies, International Movies</t>
        </is>
      </c>
      <c r="L233" s="19" t="inlineStr">
        <is>
          <t>A Istanbul mobster falls for an Indian yoga instructor whose abduction takes him on a wild rescue mission to Mumbai.</t>
        </is>
      </c>
      <c r="M233" s="19" t="n">
        <v>2020</v>
      </c>
      <c r="N233" s="19">
        <f>IF(AND(OR(YearFilter="All",$M233=YearFilter),OR(RatingFilter="All",$I233=RatingFilter),OR(TypeFilter="All",$B233=TypeFilter),OR(GenreFilter="All",COUNTIFS(tblGenre[show_id],$A233,tblGenre[Genre],GenreFilter)&gt;0)),1,0)</f>
        <v/>
      </c>
    </row>
    <row r="234" ht="15" customHeight="1" s="20">
      <c r="A234" s="19" t="inlineStr">
        <is>
          <t>s2626</t>
        </is>
      </c>
      <c r="B234" s="19" t="inlineStr">
        <is>
          <t>Movie</t>
        </is>
      </c>
      <c r="C234" s="19" t="inlineStr">
        <is>
          <t>Love Aaj Kal</t>
        </is>
      </c>
      <c r="D234" s="19" t="inlineStr">
        <is>
          <t>Imtiaz Ali</t>
        </is>
      </c>
      <c r="E234" s="19" t="inlineStr">
        <is>
          <t>Kartik Aaryan, Sara Ali Khan, Randeep Hooda, Arushi Sharma, Simone Singh, Monika Pawar, Amrit Arora, Siddharth Kak</t>
        </is>
      </c>
      <c r="F234" s="19" t="inlineStr">
        <is>
          <t>India</t>
        </is>
      </c>
      <c r="G234" s="19" t="inlineStr">
        <is>
          <t>2020-04-27</t>
        </is>
      </c>
      <c r="H234" s="19" t="n">
        <v>2020</v>
      </c>
      <c r="I234" s="19" t="inlineStr">
        <is>
          <t>TV-MA</t>
        </is>
      </c>
      <c r="J234" s="19" t="inlineStr">
        <is>
          <t>140 min</t>
        </is>
      </c>
      <c r="K234" s="19" t="inlineStr">
        <is>
          <t>Dramas, International Movies, Romantic Movies</t>
        </is>
      </c>
      <c r="L234" s="19" t="inlineStr">
        <is>
          <t>When professional ambitions clash with personal feelings for a modern-day couple, a love story from a bygone decade may offer some wisdom.</t>
        </is>
      </c>
      <c r="M234" s="19" t="n">
        <v>2020</v>
      </c>
      <c r="N234" s="19">
        <f>IF(AND(OR(YearFilter="All",$M234=YearFilter),OR(RatingFilter="All",$I234=RatingFilter),OR(TypeFilter="All",$B234=TypeFilter),OR(GenreFilter="All",COUNTIFS(tblGenre[show_id],$A234,tblGenre[Genre],GenreFilter)&gt;0)),1,0)</f>
        <v/>
      </c>
    </row>
    <row r="235" ht="15" customHeight="1" s="20">
      <c r="A235" s="19" t="inlineStr">
        <is>
          <t>s2627</t>
        </is>
      </c>
      <c r="B235" s="19" t="inlineStr">
        <is>
          <t>Movie</t>
        </is>
      </c>
      <c r="C235" s="19" t="inlineStr">
        <is>
          <t>The Lift Boy</t>
        </is>
      </c>
      <c r="D235" s="19" t="inlineStr">
        <is>
          <t>Jonathan Augustin</t>
        </is>
      </c>
      <c r="E235" s="19" t="inlineStr">
        <is>
          <t>Moin Khan, Nyla Masood, Saagar Kale, Neha Bam, Aneesha Shah, Damian Alexander D'Souza, Kaustubh Narain, Shilpa Iyer, Nil Mani, Pallas Prajapati</t>
        </is>
      </c>
      <c r="F235" s="19" t="inlineStr">
        <is>
          <t>India</t>
        </is>
      </c>
      <c r="G235" s="19" t="inlineStr">
        <is>
          <t>2020-04-27</t>
        </is>
      </c>
      <c r="H235" s="19" t="n">
        <v>2020</v>
      </c>
      <c r="I235" s="19" t="inlineStr">
        <is>
          <t>TV-MA</t>
        </is>
      </c>
      <c r="J235" s="19" t="inlineStr">
        <is>
          <t>107 min</t>
        </is>
      </c>
      <c r="K235" s="19" t="inlineStr">
        <is>
          <t>Dramas, Independent Movies, International Movies</t>
        </is>
      </c>
      <c r="L235" s="19" t="inlineStr">
        <is>
          <t>When a lazy young man replaces his father as the elevator operator of a posh residential complex, what he sees as menial work soon takes on new meaning.</t>
        </is>
      </c>
      <c r="M235" s="19" t="n">
        <v>2020</v>
      </c>
      <c r="N235" s="19">
        <f>IF(AND(OR(YearFilter="All",$M235=YearFilter),OR(RatingFilter="All",$I235=RatingFilter),OR(TypeFilter="All",$B235=TypeFilter),OR(GenreFilter="All",COUNTIFS(tblGenre[show_id],$A235,tblGenre[Genre],GenreFilter)&gt;0)),1,0)</f>
        <v/>
      </c>
    </row>
    <row r="236" ht="15" customHeight="1" s="20">
      <c r="A236" s="19" t="inlineStr">
        <is>
          <t>s2630</t>
        </is>
      </c>
      <c r="B236" s="19" t="inlineStr">
        <is>
          <t>Movie</t>
        </is>
      </c>
      <c r="C236" s="19" t="inlineStr">
        <is>
          <t>Bheeshma</t>
        </is>
      </c>
      <c r="D236" s="19" t="inlineStr">
        <is>
          <t>Venky Kudumula</t>
        </is>
      </c>
      <c r="E236" s="19" t="inlineStr">
        <is>
          <t>Nitin Reddy, Rashmika Mandanna, Sampath Raj, Jishu Sengupta, Anant Nag</t>
        </is>
      </c>
      <c r="F236" s="19" t="inlineStr">
        <is>
          <t>India</t>
        </is>
      </c>
      <c r="G236" s="19" t="inlineStr">
        <is>
          <t>2020-04-25</t>
        </is>
      </c>
      <c r="H236" s="19" t="n">
        <v>2020</v>
      </c>
      <c r="I236" s="19" t="inlineStr">
        <is>
          <t>TV-14</t>
        </is>
      </c>
      <c r="J236" s="19" t="inlineStr">
        <is>
          <t>138 min</t>
        </is>
      </c>
      <c r="K236" s="19" t="inlineStr">
        <is>
          <t>Action &amp; Adventure, Comedies, International Movies</t>
        </is>
      </c>
      <c r="L236" s="19" t="inlineStr">
        <is>
          <t>Tired of being single, a smart-aleck meme creator has a chance to prove himself to the girl he loves when he is suddenly appointed CEO of her workplace.</t>
        </is>
      </c>
      <c r="M236" s="19" t="n">
        <v>2020</v>
      </c>
      <c r="N236" s="19">
        <f>IF(AND(OR(YearFilter="All",$M236=YearFilter),OR(RatingFilter="All",$I236=RatingFilter),OR(TypeFilter="All",$B236=TypeFilter),OR(GenreFilter="All",COUNTIFS(tblGenre[show_id],$A236,tblGenre[Genre],GenreFilter)&gt;0)),1,0)</f>
        <v/>
      </c>
    </row>
    <row r="237" ht="15" customHeight="1" s="20">
      <c r="A237" s="19" t="inlineStr">
        <is>
          <t>s2643</t>
        </is>
      </c>
      <c r="B237" s="19" t="inlineStr">
        <is>
          <t>Movie</t>
        </is>
      </c>
      <c r="C237" s="19" t="inlineStr">
        <is>
          <t>Kolaiyuthir Kaalam</t>
        </is>
      </c>
      <c r="D237" s="19" t="inlineStr">
        <is>
          <t>Chakri Toleti</t>
        </is>
      </c>
      <c r="E237" s="19" t="inlineStr">
        <is>
          <t>Nayanthara, Bhoomika Chawla, Prem Kathir, Rohini Hattangadi, Pratap Pothen, Julian Freund</t>
        </is>
      </c>
      <c r="F237" s="19" t="inlineStr">
        <is>
          <t>India</t>
        </is>
      </c>
      <c r="G237" s="19" t="inlineStr">
        <is>
          <t>2020-04-24</t>
        </is>
      </c>
      <c r="H237" s="19" t="n">
        <v>2019</v>
      </c>
      <c r="I237" s="19" t="inlineStr">
        <is>
          <t>TV-14</t>
        </is>
      </c>
      <c r="J237" s="19" t="inlineStr">
        <is>
          <t>107 min</t>
        </is>
      </c>
      <c r="K237" s="19" t="inlineStr">
        <is>
          <t>International Movies, Thrillers</t>
        </is>
      </c>
      <c r="L237" s="19" t="inlineStr">
        <is>
          <t>The speech-and-hearing-impaired heiress of a palatial mansion must rely on basic instincts when a masked invader is determined to kill her.</t>
        </is>
      </c>
      <c r="M237" s="19" t="n">
        <v>2020</v>
      </c>
      <c r="N237" s="19">
        <f>IF(AND(OR(YearFilter="All",$M237=YearFilter),OR(RatingFilter="All",$I237=RatingFilter),OR(TypeFilter="All",$B237=TypeFilter),OR(GenreFilter="All",COUNTIFS(tblGenre[show_id],$A237,tblGenre[Genre],GenreFilter)&gt;0)),1,0)</f>
        <v/>
      </c>
    </row>
    <row r="238" ht="15" customHeight="1" s="20">
      <c r="A238" s="19" t="inlineStr">
        <is>
          <t>s2645</t>
        </is>
      </c>
      <c r="B238" s="19" t="inlineStr">
        <is>
          <t>Movie</t>
        </is>
      </c>
      <c r="C238" s="19" t="inlineStr">
        <is>
          <t>Yours Sincerely, Kanan Gill</t>
        </is>
      </c>
      <c r="D238" s="19" t="inlineStr">
        <is>
          <t>Neville Shah</t>
        </is>
      </c>
      <c r="E238" s="19" t="inlineStr">
        <is>
          <t>Kanan Gill</t>
        </is>
      </c>
      <c r="F238" s="19" t="inlineStr">
        <is>
          <t>India</t>
        </is>
      </c>
      <c r="G238" s="19" t="inlineStr">
        <is>
          <t>2020-04-24</t>
        </is>
      </c>
      <c r="H238" s="19" t="n">
        <v>2020</v>
      </c>
      <c r="I238" s="19" t="inlineStr">
        <is>
          <t>TV-MA</t>
        </is>
      </c>
      <c r="J238" s="19" t="inlineStr">
        <is>
          <t>72 min</t>
        </is>
      </c>
      <c r="K238" s="19" t="inlineStr">
        <is>
          <t>Stand-Up Comedy</t>
        </is>
      </c>
      <c r="L238" s="19" t="inlineStr">
        <is>
          <t>Revisiting life goals set in a letter written as a teen to his future self, comedian Kanan Gill reports back on if he's lived up to his own expectations.</t>
        </is>
      </c>
      <c r="M238" s="19" t="n">
        <v>2020</v>
      </c>
      <c r="N238" s="19">
        <f>IF(AND(OR(YearFilter="All",$M238=YearFilter),OR(RatingFilter="All",$I238=RatingFilter),OR(TypeFilter="All",$B238=TypeFilter),OR(GenreFilter="All",COUNTIFS(tblGenre[show_id],$A238,tblGenre[Genre],GenreFilter)&gt;0)),1,0)</f>
        <v/>
      </c>
    </row>
    <row r="239" ht="15" customHeight="1" s="20">
      <c r="A239" s="19" t="inlineStr">
        <is>
          <t>s2664</t>
        </is>
      </c>
      <c r="B239" s="19" t="inlineStr">
        <is>
          <t>Movie</t>
        </is>
      </c>
      <c r="C239" s="19" t="inlineStr">
        <is>
          <t>Varane Avashyamund</t>
        </is>
      </c>
      <c r="D239" s="19" t="inlineStr">
        <is>
          <t>Anoop Sathyan</t>
        </is>
      </c>
      <c r="E239" s="19" t="inlineStr">
        <is>
          <t>Shobana, Suresh Gopi, Dulquer Salmaan, Kalyani Priyadarshan, K.P.A.C. Lalitha, Sarvajith Santosh Sivan, Urvashi, Johny Antony, Lalu Alex, Lal Jose</t>
        </is>
      </c>
      <c r="F239" s="19" t="inlineStr">
        <is>
          <t>India</t>
        </is>
      </c>
      <c r="G239" s="19" t="inlineStr">
        <is>
          <t>2020-04-20</t>
        </is>
      </c>
      <c r="H239" s="19" t="n">
        <v>2020</v>
      </c>
      <c r="I239" s="19" t="inlineStr">
        <is>
          <t>TV-14</t>
        </is>
      </c>
      <c r="J239" s="19" t="inlineStr">
        <is>
          <t>144 min</t>
        </is>
      </c>
      <c r="K239" s="19" t="inlineStr">
        <is>
          <t>Comedies, Dramas, International Movies</t>
        </is>
      </c>
      <c r="L239" s="19" t="inlineStr">
        <is>
          <t>At an apartment complex, the lives of a mother, a daughter seeking an arranged marriage, a military retiree and a young man become intertwined.</t>
        </is>
      </c>
      <c r="M239" s="19" t="n">
        <v>2020</v>
      </c>
      <c r="N239" s="19">
        <f>IF(AND(OR(YearFilter="All",$M239=YearFilter),OR(RatingFilter="All",$I239=RatingFilter),OR(TypeFilter="All",$B239=TypeFilter),OR(GenreFilter="All",COUNTIFS(tblGenre[show_id],$A239,tblGenre[Genre],GenreFilter)&gt;0)),1,0)</f>
        <v/>
      </c>
    </row>
    <row r="240" ht="15" customHeight="1" s="20">
      <c r="A240" s="19" t="inlineStr">
        <is>
          <t>s2665</t>
        </is>
      </c>
      <c r="B240" s="19" t="inlineStr">
        <is>
          <t>TV Show</t>
        </is>
      </c>
      <c r="C240" s="19" t="inlineStr">
        <is>
          <t>ChuChu TV Nursery Rhymes &amp; Kids Songs (Hindi)</t>
        </is>
      </c>
      <c r="F240" s="19" t="inlineStr">
        <is>
          <t>India</t>
        </is>
      </c>
      <c r="G240" s="19" t="inlineStr">
        <is>
          <t>2020-04-18</t>
        </is>
      </c>
      <c r="H240" s="19" t="n">
        <v>2019</v>
      </c>
      <c r="I240" s="19" t="inlineStr">
        <is>
          <t>TV-Y</t>
        </is>
      </c>
      <c r="J240" s="19" t="inlineStr">
        <is>
          <t>1 Season</t>
        </is>
      </c>
      <c r="K240" s="19" t="inlineStr">
        <is>
          <t>Kids' TV</t>
        </is>
      </c>
      <c r="L240" s="19" t="inlineStr">
        <is>
          <t>This educational series for tiny tots features a toe-tapping spin on nursery rhymes with upbeat tunes and a diverse set of easy-to-follow lessons.</t>
        </is>
      </c>
      <c r="M240" s="19" t="n">
        <v>2020</v>
      </c>
      <c r="N240" s="19">
        <f>IF(AND(OR(YearFilter="All",$M240=YearFilter),OR(RatingFilter="All",$I240=RatingFilter),OR(TypeFilter="All",$B240=TypeFilter),OR(GenreFilter="All",COUNTIFS(tblGenre[show_id],$A240,tblGenre[Genre],GenreFilter)&gt;0)),1,0)</f>
        <v/>
      </c>
    </row>
    <row r="241" ht="15" customHeight="1" s="20">
      <c r="A241" s="19" t="inlineStr">
        <is>
          <t>s2671</t>
        </is>
      </c>
      <c r="B241" s="19" t="inlineStr">
        <is>
          <t>TV Show</t>
        </is>
      </c>
      <c r="C241" s="19" t="inlineStr">
        <is>
          <t>Hasmukh</t>
        </is>
      </c>
      <c r="E241" s="19" t="inlineStr">
        <is>
          <t>Vir Das, Ranvir Shorey, Manoj Pahwa, Ravi Kishan, Raza Murad, Inaamulhaq, Suhail Nayyar, Amrita Bagchi</t>
        </is>
      </c>
      <c r="F241" s="19" t="inlineStr">
        <is>
          <t>India</t>
        </is>
      </c>
      <c r="G241" s="19" t="inlineStr">
        <is>
          <t>2020-04-17</t>
        </is>
      </c>
      <c r="H241" s="19" t="n">
        <v>2020</v>
      </c>
      <c r="I241" s="19" t="inlineStr">
        <is>
          <t>TV-MA</t>
        </is>
      </c>
      <c r="J241" s="19" t="inlineStr">
        <is>
          <t>1 Season</t>
        </is>
      </c>
      <c r="K241" s="19" t="inlineStr">
        <is>
          <t>Crime TV Shows, International TV Shows, TV Comedies</t>
        </is>
      </c>
      <c r="L241" s="19" t="inlineStr">
        <is>
          <t>A timid, small-town comedian's long-awaited big break takes a dark turn when he realizes committing murder is the only way to keep his onstage mojo.</t>
        </is>
      </c>
      <c r="M241" s="19" t="n">
        <v>2020</v>
      </c>
      <c r="N241" s="19">
        <f>IF(AND(OR(YearFilter="All",$M241=YearFilter),OR(RatingFilter="All",$I241=RatingFilter),OR(TypeFilter="All",$B241=TypeFilter),OR(GenreFilter="All",COUNTIFS(tblGenre[show_id],$A241,tblGenre[Genre],GenreFilter)&gt;0)),1,0)</f>
        <v/>
      </c>
    </row>
    <row r="242" ht="15" customHeight="1" s="20">
      <c r="A242" s="19" t="inlineStr">
        <is>
          <t>s2684</t>
        </is>
      </c>
      <c r="B242" s="19" t="inlineStr">
        <is>
          <t>Movie</t>
        </is>
      </c>
      <c r="C242" s="19" t="inlineStr">
        <is>
          <t>Mischief</t>
        </is>
      </c>
      <c r="D242" s="19" t="inlineStr">
        <is>
          <t>Emcy Joseph</t>
        </is>
      </c>
      <c r="E242" s="19" t="inlineStr">
        <is>
          <t>Suraj Venjaramoodu, Soubin Shahir, Surabhi Lakshmi, Vincy Aloshious, Gracy Soudi, Mammukoya, Jaffer Idukki, Baburaj, Sudhi Koppa, Irshad</t>
        </is>
      </c>
      <c r="F242" s="19" t="inlineStr">
        <is>
          <t>India</t>
        </is>
      </c>
      <c r="G242" s="19" t="inlineStr">
        <is>
          <t>2020-04-15</t>
        </is>
      </c>
      <c r="H242" s="19" t="n">
        <v>2019</v>
      </c>
      <c r="I242" s="19" t="inlineStr">
        <is>
          <t>TV-PG</t>
        </is>
      </c>
      <c r="J242" s="19" t="inlineStr">
        <is>
          <t>120 min</t>
        </is>
      </c>
      <c r="K242" s="19" t="inlineStr">
        <is>
          <t>Comedies, Dramas, Independent Movies</t>
        </is>
      </c>
      <c r="L242" s="19" t="inlineStr">
        <is>
          <t>Mistaking the sleeping passenger on his train for a drunk, a young man posts a picture of him online, unaware of his impulsive act's ugly repercussions.</t>
        </is>
      </c>
      <c r="M242" s="19" t="n">
        <v>2020</v>
      </c>
      <c r="N242" s="19">
        <f>IF(AND(OR(YearFilter="All",$M242=YearFilter),OR(RatingFilter="All",$I242=RatingFilter),OR(TypeFilter="All",$B242=TypeFilter),OR(GenreFilter="All",COUNTIFS(tblGenre[show_id],$A242,tblGenre[Genre],GenreFilter)&gt;0)),1,0)</f>
        <v/>
      </c>
    </row>
    <row r="243" ht="15" customHeight="1" s="20">
      <c r="A243" s="19" t="inlineStr">
        <is>
          <t>s2686</t>
        </is>
      </c>
      <c r="B243" s="19" t="inlineStr">
        <is>
          <t>Movie</t>
        </is>
      </c>
      <c r="C243" s="19" t="inlineStr">
        <is>
          <t>World Famous Lover</t>
        </is>
      </c>
      <c r="D243" s="19" t="inlineStr">
        <is>
          <t>Kranthi Madhav</t>
        </is>
      </c>
      <c r="E243" s="19" t="inlineStr">
        <is>
          <t>Vijay Deverakonda, Raashi Khanna, Aishwarya Rajesh, Catherine Tresa, Izabelle Leite</t>
        </is>
      </c>
      <c r="F243" s="19" t="inlineStr">
        <is>
          <t>India</t>
        </is>
      </c>
      <c r="G243" s="19" t="inlineStr">
        <is>
          <t>2020-04-15</t>
        </is>
      </c>
      <c r="H243" s="19" t="n">
        <v>2020</v>
      </c>
      <c r="I243" s="19" t="inlineStr">
        <is>
          <t>TV-MA</t>
        </is>
      </c>
      <c r="J243" s="19" t="inlineStr">
        <is>
          <t>147 min</t>
        </is>
      </c>
      <c r="K243" s="19" t="inlineStr">
        <is>
          <t>Dramas, International Movies, Romantic Movies</t>
        </is>
      </c>
      <c r="L243" s="19" t="inlineStr">
        <is>
          <t>When his frustrated girlfriend decides to leave him, a struggling writer gets down to work on stories of romance he hopes will win her back.</t>
        </is>
      </c>
      <c r="M243" s="19" t="n">
        <v>2020</v>
      </c>
      <c r="N243" s="19">
        <f>IF(AND(OR(YearFilter="All",$M243=YearFilter),OR(RatingFilter="All",$I243=RatingFilter),OR(TypeFilter="All",$B243=TypeFilter),OR(GenreFilter="All",COUNTIFS(tblGenre[show_id],$A243,tblGenre[Genre],GenreFilter)&gt;0)),1,0)</f>
        <v/>
      </c>
    </row>
    <row r="244" ht="15" customHeight="1" s="20">
      <c r="A244" s="19" t="inlineStr">
        <is>
          <t>s2716</t>
        </is>
      </c>
      <c r="B244" s="19" t="inlineStr">
        <is>
          <t>Movie</t>
        </is>
      </c>
      <c r="C244" s="19" t="inlineStr">
        <is>
          <t>Agneepath</t>
        </is>
      </c>
      <c r="D244" s="19" t="inlineStr">
        <is>
          <t>Mukul Anand</t>
        </is>
      </c>
      <c r="E244" s="19" t="inlineStr">
        <is>
          <t>Amitabh Bachchan, Mithun Chakraborty, Danny Denzongpa, Madhavi, Neelam, Alok Nath, Rohini Hattangadi, Tinnu Anand, Vikram Gokhale, Archana Puran Singh</t>
        </is>
      </c>
      <c r="F244" s="19" t="inlineStr">
        <is>
          <t>India</t>
        </is>
      </c>
      <c r="G244" s="19" t="inlineStr">
        <is>
          <t>2020-04-01</t>
        </is>
      </c>
      <c r="H244" s="19" t="n">
        <v>1990</v>
      </c>
      <c r="I244" s="19" t="inlineStr">
        <is>
          <t>TV-14</t>
        </is>
      </c>
      <c r="J244" s="19" t="inlineStr">
        <is>
          <t>174 min</t>
        </is>
      </c>
      <c r="K244" s="19" t="inlineStr">
        <is>
          <t>Dramas, International Movies</t>
        </is>
      </c>
      <c r="L244" s="19" t="inlineStr">
        <is>
          <t>A boy grows up to become a gangster in pursuit of the mobster who killed his innocent father, but revenge and reparation may come at great costs.</t>
        </is>
      </c>
      <c r="M244" s="19" t="n">
        <v>2020</v>
      </c>
      <c r="N244" s="19">
        <f>IF(AND(OR(YearFilter="All",$M244=YearFilter),OR(RatingFilter="All",$I244=RatingFilter),OR(TypeFilter="All",$B244=TypeFilter),OR(GenreFilter="All",COUNTIFS(tblGenre[show_id],$A244,tblGenre[Genre],GenreFilter)&gt;0)),1,0)</f>
        <v/>
      </c>
    </row>
    <row r="245" ht="15" customHeight="1" s="20">
      <c r="A245" s="19" t="inlineStr">
        <is>
          <t>s2717</t>
        </is>
      </c>
      <c r="B245" s="19" t="inlineStr">
        <is>
          <t>Movie</t>
        </is>
      </c>
      <c r="C245" s="19" t="inlineStr">
        <is>
          <t>Brothers</t>
        </is>
      </c>
      <c r="D245" s="19" t="inlineStr">
        <is>
          <t>Karan Malhotra</t>
        </is>
      </c>
      <c r="E245" s="19" t="inlineStr">
        <is>
          <t>Akshay Kumar, Sidharth Malhotra, Jackie Shroff, Jacqueline Fernandez, Shefali Shah, Kulbhushan Kharbanda, Rajendranath Zutshi, Ashutosh Rana</t>
        </is>
      </c>
      <c r="F245" s="19" t="inlineStr">
        <is>
          <t>India, United States</t>
        </is>
      </c>
      <c r="G245" s="19" t="inlineStr">
        <is>
          <t>2020-04-01</t>
        </is>
      </c>
      <c r="H245" s="19" t="n">
        <v>2015</v>
      </c>
      <c r="I245" s="19" t="inlineStr">
        <is>
          <t>TV-14</t>
        </is>
      </c>
      <c r="J245" s="19" t="inlineStr">
        <is>
          <t>155 min</t>
        </is>
      </c>
      <c r="K245" s="19" t="inlineStr">
        <is>
          <t>Action &amp; Adventure, Dramas, International Movies</t>
        </is>
      </c>
      <c r="L245" s="19" t="inlineStr">
        <is>
          <t>After a troubled past with their alcoholic father, two estranged brothers prepare to face each other again as rivals in a street fighting tournament.</t>
        </is>
      </c>
      <c r="M245" s="19" t="n">
        <v>2020</v>
      </c>
      <c r="N245" s="19">
        <f>IF(AND(OR(YearFilter="All",$M245=YearFilter),OR(RatingFilter="All",$I245=RatingFilter),OR(TypeFilter="All",$B245=TypeFilter),OR(GenreFilter="All",COUNTIFS(tblGenre[show_id],$A245,tblGenre[Genre],GenreFilter)&gt;0)),1,0)</f>
        <v/>
      </c>
    </row>
    <row r="246" ht="15" customHeight="1" s="20">
      <c r="A246" s="19" t="inlineStr">
        <is>
          <t>s2718</t>
        </is>
      </c>
      <c r="B246" s="19" t="inlineStr">
        <is>
          <t>Movie</t>
        </is>
      </c>
      <c r="C246" s="19" t="inlineStr">
        <is>
          <t>Chhota Bheem and the Curse of Damyaan</t>
        </is>
      </c>
      <c r="D246" s="19" t="inlineStr">
        <is>
          <t>Rajiv Chilaka</t>
        </is>
      </c>
      <c r="E246" s="19" t="inlineStr">
        <is>
          <t>Kaustav Ghosh, Jigna Bhardwaj, Chutki, Rajesh Kava, Mausam, Guru Shambu, Arun Shekar, Julie Tejwani, Anamaya Verma</t>
        </is>
      </c>
      <c r="F246" s="19" t="inlineStr">
        <is>
          <t>India</t>
        </is>
      </c>
      <c r="G246" s="19" t="inlineStr">
        <is>
          <t>2020-04-01</t>
        </is>
      </c>
      <c r="H246" s="19" t="n">
        <v>2012</v>
      </c>
      <c r="I246" s="19" t="inlineStr">
        <is>
          <t>TV-Y7</t>
        </is>
      </c>
      <c r="J246" s="19" t="inlineStr">
        <is>
          <t>87 min</t>
        </is>
      </c>
      <c r="K246" s="19" t="inlineStr">
        <is>
          <t>Children &amp; Family Movies</t>
        </is>
      </c>
      <c r="L246" s="19" t="inlineStr">
        <is>
          <t>An evil demon who traded his freedom for immortality lures Chhota Bheem and his friends to the city of Sonapur with tales of hidden treasure.</t>
        </is>
      </c>
      <c r="M246" s="19" t="n">
        <v>2020</v>
      </c>
      <c r="N246" s="19">
        <f>IF(AND(OR(YearFilter="All",$M246=YearFilter),OR(RatingFilter="All",$I246=RatingFilter),OR(TypeFilter="All",$B246=TypeFilter),OR(GenreFilter="All",COUNTIFS(tblGenre[show_id],$A246,tblGenre[Genre],GenreFilter)&gt;0)),1,0)</f>
        <v/>
      </c>
    </row>
    <row r="247" ht="15" customHeight="1" s="20">
      <c r="A247" s="19" t="inlineStr">
        <is>
          <t>s2721</t>
        </is>
      </c>
      <c r="B247" s="19" t="inlineStr">
        <is>
          <t>Movie</t>
        </is>
      </c>
      <c r="C247" s="19" t="inlineStr">
        <is>
          <t>Dostana</t>
        </is>
      </c>
      <c r="D247" s="19" t="inlineStr">
        <is>
          <t>Tarun Mansukhani</t>
        </is>
      </c>
      <c r="E247" s="19" t="inlineStr">
        <is>
          <t>Abhishek Bachchan, John Abraham, Priyanka Chopra, Bobby Deol, Kiron Kher, Sushmita Mukherjee, Shrey Bawa, Boman Irani</t>
        </is>
      </c>
      <c r="F247" s="19" t="inlineStr">
        <is>
          <t>India, United States</t>
        </is>
      </c>
      <c r="G247" s="19" t="inlineStr">
        <is>
          <t>2020-04-01</t>
        </is>
      </c>
      <c r="H247" s="19" t="n">
        <v>2008</v>
      </c>
      <c r="I247" s="19" t="inlineStr">
        <is>
          <t>TV-14</t>
        </is>
      </c>
      <c r="J247" s="19" t="inlineStr">
        <is>
          <t>142 min</t>
        </is>
      </c>
      <c r="K247" s="19" t="inlineStr">
        <is>
          <t>Comedies, Dramas, International Movies</t>
        </is>
      </c>
      <c r="L247" s="19" t="inlineStr">
        <is>
          <t>To win over a landlady who only accepts women as tenants, two men pose as a couple – but the jig may be up when they both fall for their flatmate.</t>
        </is>
      </c>
      <c r="M247" s="19" t="n">
        <v>2020</v>
      </c>
      <c r="N247" s="19">
        <f>IF(AND(OR(YearFilter="All",$M247=YearFilter),OR(RatingFilter="All",$I247=RatingFilter),OR(TypeFilter="All",$B247=TypeFilter),OR(GenreFilter="All",COUNTIFS(tblGenre[show_id],$A247,tblGenre[Genre],GenreFilter)&gt;0)),1,0)</f>
        <v/>
      </c>
    </row>
    <row r="248" ht="15" customHeight="1" s="20">
      <c r="A248" s="19" t="inlineStr">
        <is>
          <t>s2722</t>
        </is>
      </c>
      <c r="B248" s="19" t="inlineStr">
        <is>
          <t>Movie</t>
        </is>
      </c>
      <c r="C248" s="19" t="inlineStr">
        <is>
          <t>Duniya</t>
        </is>
      </c>
      <c r="D248" s="19" t="inlineStr">
        <is>
          <t>Ramesh Talwar</t>
        </is>
      </c>
      <c r="E248" s="19" t="inlineStr">
        <is>
          <t>Dilip Kumar, Rishi Kapoor, Pran, Amrita Singh, Ashok Kumar, Prem Chopra, Amrish Puri, Satyen Kappu, Mac Mohan, Javed Khan</t>
        </is>
      </c>
      <c r="F248" s="19" t="inlineStr">
        <is>
          <t>India</t>
        </is>
      </c>
      <c r="G248" s="19" t="inlineStr">
        <is>
          <t>2020-04-01</t>
        </is>
      </c>
      <c r="H248" s="19" t="n">
        <v>1984</v>
      </c>
      <c r="I248" s="19" t="inlineStr">
        <is>
          <t>TV-14</t>
        </is>
      </c>
      <c r="J248" s="19" t="inlineStr">
        <is>
          <t>170 min</t>
        </is>
      </c>
      <c r="K248" s="19" t="inlineStr">
        <is>
          <t>Action &amp; Adventure, Dramas, International Movies</t>
        </is>
      </c>
      <c r="L248" s="19" t="inlineStr">
        <is>
          <t>A lawyer defends his childhood friend – and girlfriend's brother – in a murder case, unaware of his own deep connection to the attorney he’s up against.</t>
        </is>
      </c>
      <c r="M248" s="19" t="n">
        <v>2020</v>
      </c>
      <c r="N248" s="19">
        <f>IF(AND(OR(YearFilter="All",$M248=YearFilter),OR(RatingFilter="All",$I248=RatingFilter),OR(TypeFilter="All",$B248=TypeFilter),OR(GenreFilter="All",COUNTIFS(tblGenre[show_id],$A248,tblGenre[Genre],GenreFilter)&gt;0)),1,0)</f>
        <v/>
      </c>
    </row>
    <row r="249" ht="15" customHeight="1" s="20">
      <c r="A249" s="19" t="inlineStr">
        <is>
          <t>s2723</t>
        </is>
      </c>
      <c r="B249" s="19" t="inlineStr">
        <is>
          <t>Movie</t>
        </is>
      </c>
      <c r="C249" s="19" t="inlineStr">
        <is>
          <t>Duplicate</t>
        </is>
      </c>
      <c r="D249" s="19" t="inlineStr">
        <is>
          <t>Mahesh Bhatt</t>
        </is>
      </c>
      <c r="E249" s="19" t="inlineStr">
        <is>
          <t>Shah Rukh Khan, Juhi Chawla, Sonali Bendre, Farida Jalal, Mohnish Bahl, Tiku Talsania, Gulshan Grover, Sharat Saxena</t>
        </is>
      </c>
      <c r="F249" s="19" t="inlineStr">
        <is>
          <t>India</t>
        </is>
      </c>
      <c r="G249" s="19" t="inlineStr">
        <is>
          <t>2020-04-01</t>
        </is>
      </c>
      <c r="H249" s="19" t="n">
        <v>1998</v>
      </c>
      <c r="I249" s="19" t="inlineStr">
        <is>
          <t>TV-14</t>
        </is>
      </c>
      <c r="J249" s="19" t="inlineStr">
        <is>
          <t>165 min</t>
        </is>
      </c>
      <c r="K249" s="19" t="inlineStr">
        <is>
          <t>Comedies, Dramas, International Movies</t>
        </is>
      </c>
      <c r="L249" s="19" t="inlineStr">
        <is>
          <t>Hilarious mix-ups and deadly encounters ensue when a convict seeks to escape authorities by assuming the identity of his doppelgänger, a perky chef.</t>
        </is>
      </c>
      <c r="M249" s="19" t="n">
        <v>2020</v>
      </c>
      <c r="N249" s="19">
        <f>IF(AND(OR(YearFilter="All",$M249=YearFilter),OR(RatingFilter="All",$I249=RatingFilter),OR(TypeFilter="All",$B249=TypeFilter),OR(GenreFilter="All",COUNTIFS(tblGenre[show_id],$A249,tblGenre[Genre],GenreFilter)&gt;0)),1,0)</f>
        <v/>
      </c>
    </row>
    <row r="250" ht="15" customHeight="1" s="20">
      <c r="A250" s="19" t="inlineStr">
        <is>
          <t>s2724</t>
        </is>
      </c>
      <c r="B250" s="19" t="inlineStr">
        <is>
          <t>Movie</t>
        </is>
      </c>
      <c r="C250" s="19" t="inlineStr">
        <is>
          <t>Friendship</t>
        </is>
      </c>
      <c r="D250" s="19" t="inlineStr">
        <is>
          <t>Raj Khosla</t>
        </is>
      </c>
      <c r="E250" s="19" t="inlineStr">
        <is>
          <t>Amitabh Bachchan, Shatrughan Sinha, Zeenat Aman, Prem Chopra, Amrish Puri, Helen, Pran, Gajanan Jagirdar, Sajjan, Iftekhar</t>
        </is>
      </c>
      <c r="F250" s="19" t="inlineStr">
        <is>
          <t>India</t>
        </is>
      </c>
      <c r="G250" s="19" t="inlineStr">
        <is>
          <t>2020-04-01</t>
        </is>
      </c>
      <c r="H250" s="19" t="n">
        <v>1980</v>
      </c>
      <c r="I250" s="19" t="inlineStr">
        <is>
          <t>TV-14</t>
        </is>
      </c>
      <c r="J250" s="19" t="inlineStr">
        <is>
          <t>161 min</t>
        </is>
      </c>
      <c r="K250" s="19" t="inlineStr">
        <is>
          <t>Action &amp; Adventure, Dramas, International Movies</t>
        </is>
      </c>
      <c r="L250" s="19" t="inlineStr">
        <is>
          <t>Best friends since childhood, a righteous cop and a lawyer who represents criminals in court become rivals when they fall for the same woman.</t>
        </is>
      </c>
      <c r="M250" s="19" t="n">
        <v>2020</v>
      </c>
      <c r="N250" s="19">
        <f>IF(AND(OR(YearFilter="All",$M250=YearFilter),OR(RatingFilter="All",$I250=RatingFilter),OR(TypeFilter="All",$B250=TypeFilter),OR(GenreFilter="All",COUNTIFS(tblGenre[show_id],$A250,tblGenre[Genre],GenreFilter)&gt;0)),1,0)</f>
        <v/>
      </c>
    </row>
    <row r="251" ht="15" customHeight="1" s="20">
      <c r="A251" s="19" t="inlineStr">
        <is>
          <t>s2725</t>
        </is>
      </c>
      <c r="B251" s="19" t="inlineStr">
        <is>
          <t>Movie</t>
        </is>
      </c>
      <c r="C251" s="19" t="inlineStr">
        <is>
          <t>Gori Tere Pyaar Mein</t>
        </is>
      </c>
      <c r="D251" s="19" t="inlineStr">
        <is>
          <t>Punit Malhotra</t>
        </is>
      </c>
      <c r="E251" s="19" t="inlineStr">
        <is>
          <t>Imran Khan, Kareena Kapoor, Nizhalgal Ravi, Anupam Kher, Shraddha Kapoor, Esha Gupta, Sujata Kumar, Neelu Kohli</t>
        </is>
      </c>
      <c r="F251" s="19" t="inlineStr">
        <is>
          <t>India</t>
        </is>
      </c>
      <c r="G251" s="19" t="inlineStr">
        <is>
          <t>2020-04-01</t>
        </is>
      </c>
      <c r="H251" s="19" t="n">
        <v>2013</v>
      </c>
      <c r="I251" s="19" t="inlineStr">
        <is>
          <t>TV-14</t>
        </is>
      </c>
      <c r="J251" s="19" t="inlineStr">
        <is>
          <t>144 min</t>
        </is>
      </c>
      <c r="K251" s="19" t="inlineStr">
        <is>
          <t>Comedies, Dramas, International Movies</t>
        </is>
      </c>
      <c r="L251" s="19" t="inlineStr">
        <is>
          <t>Sriram is concerned only with spending money, until he meets Dia, a principled activist. Now he's determined to prove himself worthy of her affection.</t>
        </is>
      </c>
      <c r="M251" s="19" t="n">
        <v>2020</v>
      </c>
      <c r="N251" s="19">
        <f>IF(AND(OR(YearFilter="All",$M251=YearFilter),OR(RatingFilter="All",$I251=RatingFilter),OR(TypeFilter="All",$B251=TypeFilter),OR(GenreFilter="All",COUNTIFS(tblGenre[show_id],$A251,tblGenre[Genre],GenreFilter)&gt;0)),1,0)</f>
        <v/>
      </c>
    </row>
    <row r="252" ht="15" customHeight="1" s="20">
      <c r="A252" s="19" t="inlineStr">
        <is>
          <t>s2726</t>
        </is>
      </c>
      <c r="B252" s="19" t="inlineStr">
        <is>
          <t>Movie</t>
        </is>
      </c>
      <c r="C252" s="19" t="inlineStr">
        <is>
          <t>Gumrah</t>
        </is>
      </c>
      <c r="D252" s="19" t="inlineStr">
        <is>
          <t>Mahesh Bhatt</t>
        </is>
      </c>
      <c r="E252" s="19" t="inlineStr">
        <is>
          <t>Sanjay Dutt, Sridevi, Anupam Kher, Rahul Roy, Soni Razdan, Reema Lagoo, Kunika, Tom Alter, Bob Christo, Anang Desai</t>
        </is>
      </c>
      <c r="F252" s="19" t="inlineStr">
        <is>
          <t>India</t>
        </is>
      </c>
      <c r="G252" s="19" t="inlineStr">
        <is>
          <t>2020-04-01</t>
        </is>
      </c>
      <c r="H252" s="19" t="n">
        <v>1993</v>
      </c>
      <c r="I252" s="19" t="inlineStr">
        <is>
          <t>TV-14</t>
        </is>
      </c>
      <c r="J252" s="19" t="inlineStr">
        <is>
          <t>149 min</t>
        </is>
      </c>
      <c r="K252" s="19" t="inlineStr">
        <is>
          <t>Action &amp; Adventure, Dramas, International Movies</t>
        </is>
      </c>
      <c r="L252" s="19" t="inlineStr">
        <is>
          <t>Jailed for drug trafficking while searching for the dad she's never met, a singer gets unlikely support from a crook whose love she has long rejected.</t>
        </is>
      </c>
      <c r="M252" s="19" t="n">
        <v>2020</v>
      </c>
      <c r="N252" s="19">
        <f>IF(AND(OR(YearFilter="All",$M252=YearFilter),OR(RatingFilter="All",$I252=RatingFilter),OR(TypeFilter="All",$B252=TypeFilter),OR(GenreFilter="All",COUNTIFS(tblGenre[show_id],$A252,tblGenre[Genre],GenreFilter)&gt;0)),1,0)</f>
        <v/>
      </c>
    </row>
    <row r="253" ht="15" customHeight="1" s="20">
      <c r="A253" s="19" t="inlineStr">
        <is>
          <t>s2727</t>
        </is>
      </c>
      <c r="B253" s="19" t="inlineStr">
        <is>
          <t>Movie</t>
        </is>
      </c>
      <c r="C253" s="19" t="inlineStr">
        <is>
          <t>Hasee Toh Phasee</t>
        </is>
      </c>
      <c r="D253" s="19" t="inlineStr">
        <is>
          <t>Vinil Mathew</t>
        </is>
      </c>
      <c r="E253" s="19" t="inlineStr">
        <is>
          <t>Sidharth Malhotra, Parineeti Chopra, Adah Sharma, Manoj Joshi, Madhuri Sanjeev, Sharat Saxena, Nina Kulkarni, Anil Mange</t>
        </is>
      </c>
      <c r="F253" s="19" t="inlineStr">
        <is>
          <t>India</t>
        </is>
      </c>
      <c r="G253" s="19" t="inlineStr">
        <is>
          <t>2020-04-01</t>
        </is>
      </c>
      <c r="H253" s="19" t="n">
        <v>2014</v>
      </c>
      <c r="I253" s="19" t="inlineStr">
        <is>
          <t>TV-14</t>
        </is>
      </c>
      <c r="J253" s="19" t="inlineStr">
        <is>
          <t>135 min</t>
        </is>
      </c>
      <c r="K253" s="19" t="inlineStr">
        <is>
          <t>Comedies, Dramas, International Movies</t>
        </is>
      </c>
      <c r="L253" s="19" t="inlineStr">
        <is>
          <t>Nikhil is tasked with keeping his fiancée's troublemaking sister, Meeta, from ruining his wedding. But in the process, the two become inseparable.</t>
        </is>
      </c>
      <c r="M253" s="19" t="n">
        <v>2020</v>
      </c>
      <c r="N253" s="19">
        <f>IF(AND(OR(YearFilter="All",$M253=YearFilter),OR(RatingFilter="All",$I253=RatingFilter),OR(TypeFilter="All",$B253=TypeFilter),OR(GenreFilter="All",COUNTIFS(tblGenre[show_id],$A253,tblGenre[Genre],GenreFilter)&gt;0)),1,0)</f>
        <v/>
      </c>
    </row>
    <row r="254" ht="15" customHeight="1" s="20">
      <c r="A254" s="19" t="inlineStr">
        <is>
          <t>s2729</t>
        </is>
      </c>
      <c r="B254" s="19" t="inlineStr">
        <is>
          <t>Movie</t>
        </is>
      </c>
      <c r="C254" s="19" t="inlineStr">
        <is>
          <t>Humpty Sharma Ki Dulhania</t>
        </is>
      </c>
      <c r="D254" s="19" t="inlineStr">
        <is>
          <t>Shashank Khaitan</t>
        </is>
      </c>
      <c r="E254" s="19" t="inlineStr">
        <is>
          <t>Varun Dhawan, Alia Bhatt, Ashutosh Rana, Sidharth Shukla, Sahil Vaid, Gaurav Pandey, Jaswant Daman, Kenneth Desai, Deepika Amin, Mahnaz Damania</t>
        </is>
      </c>
      <c r="F254" s="19" t="inlineStr">
        <is>
          <t>India</t>
        </is>
      </c>
      <c r="G254" s="19" t="inlineStr">
        <is>
          <t>2020-04-01</t>
        </is>
      </c>
      <c r="H254" s="19" t="n">
        <v>2014</v>
      </c>
      <c r="I254" s="19" t="inlineStr">
        <is>
          <t>TV-14</t>
        </is>
      </c>
      <c r="J254" s="19" t="inlineStr">
        <is>
          <t>131 min</t>
        </is>
      </c>
      <c r="K254" s="19" t="inlineStr">
        <is>
          <t>Comedies, International Movies, Romantic Movies</t>
        </is>
      </c>
      <c r="L254" s="19" t="inlineStr">
        <is>
          <t>A small-town girl heads to Delhi to find a designer outfit for the wedding her orthodox father has arranged for her but ends up finding love instead.</t>
        </is>
      </c>
      <c r="M254" s="19" t="n">
        <v>2020</v>
      </c>
      <c r="N254" s="19">
        <f>IF(AND(OR(YearFilter="All",$M254=YearFilter),OR(RatingFilter="All",$I254=RatingFilter),OR(TypeFilter="All",$B254=TypeFilter),OR(GenreFilter="All",COUNTIFS(tblGenre[show_id],$A254,tblGenre[Genre],GenreFilter)&gt;0)),1,0)</f>
        <v/>
      </c>
    </row>
    <row r="255" ht="15" customHeight="1" s="20">
      <c r="A255" s="19" t="inlineStr">
        <is>
          <t>s2730</t>
        </is>
      </c>
      <c r="B255" s="19" t="inlineStr">
        <is>
          <t>Movie</t>
        </is>
      </c>
      <c r="C255" s="19" t="inlineStr">
        <is>
          <t>Kaal</t>
        </is>
      </c>
      <c r="D255" s="19" t="inlineStr">
        <is>
          <t>Soham Shah</t>
        </is>
      </c>
      <c r="E255" s="19" t="inlineStr">
        <is>
          <t>Ajay Devgn, Vivek Oberoi, John Abraham, Lara Dutta, Esha Deol, Vishal Malhotra, Kushal Punjabi, Vineet Sharma</t>
        </is>
      </c>
      <c r="F255" s="19" t="inlineStr">
        <is>
          <t>India</t>
        </is>
      </c>
      <c r="G255" s="19" t="inlineStr">
        <is>
          <t>2020-04-01</t>
        </is>
      </c>
      <c r="H255" s="19" t="n">
        <v>2005</v>
      </c>
      <c r="I255" s="19" t="inlineStr">
        <is>
          <t>TV-14</t>
        </is>
      </c>
      <c r="J255" s="19" t="inlineStr">
        <is>
          <t>126 min</t>
        </is>
      </c>
      <c r="K255" s="19" t="inlineStr">
        <is>
          <t>Horror Movies, International Movies, Thrillers</t>
        </is>
      </c>
      <c r="L255" s="19" t="inlineStr">
        <is>
          <t>Trapped in a national park, a tiger expert and a group of hunters turn to an enigmatic local for help when they mysteriously begin to die one by one.</t>
        </is>
      </c>
      <c r="M255" s="19" t="n">
        <v>2020</v>
      </c>
      <c r="N255" s="19">
        <f>IF(AND(OR(YearFilter="All",$M255=YearFilter),OR(RatingFilter="All",$I255=RatingFilter),OR(TypeFilter="All",$B255=TypeFilter),OR(GenreFilter="All",COUNTIFS(tblGenre[show_id],$A255,tblGenre[Genre],GenreFilter)&gt;0)),1,0)</f>
        <v/>
      </c>
    </row>
    <row r="256" ht="15" customHeight="1" s="20">
      <c r="A256" s="19" t="inlineStr">
        <is>
          <t>s2731</t>
        </is>
      </c>
      <c r="B256" s="19" t="inlineStr">
        <is>
          <t>Movie</t>
        </is>
      </c>
      <c r="C256" s="19" t="inlineStr">
        <is>
          <t>Kabhi Alvida Naa Kehna</t>
        </is>
      </c>
      <c r="D256" s="19" t="inlineStr">
        <is>
          <t>Karan Johar</t>
        </is>
      </c>
      <c r="E256" s="19" t="inlineStr">
        <is>
          <t>Amitabh Bachchan, Shah Rukh Khan, Abhishek Bachchan, Rani Mukerji, Preity Zinta, Kiron Kher, Arjun Rampal</t>
        </is>
      </c>
      <c r="F256" s="19" t="inlineStr">
        <is>
          <t>India</t>
        </is>
      </c>
      <c r="G256" s="19" t="inlineStr">
        <is>
          <t>2020-04-01</t>
        </is>
      </c>
      <c r="H256" s="19" t="n">
        <v>2006</v>
      </c>
      <c r="I256" s="19" t="inlineStr">
        <is>
          <t>TV-14</t>
        </is>
      </c>
      <c r="J256" s="19" t="inlineStr">
        <is>
          <t>192 min</t>
        </is>
      </c>
      <c r="K256" s="19" t="inlineStr">
        <is>
          <t>Dramas, International Movies, Romantic Movies</t>
        </is>
      </c>
      <c r="L256" s="19" t="inlineStr">
        <is>
          <t>Unhappy in their respective marriages, an ex-footballer and a teacher find true love in each other, but guilt, jealousy and tragedy cloud their affair.</t>
        </is>
      </c>
      <c r="M256" s="19" t="n">
        <v>2020</v>
      </c>
      <c r="N256" s="19">
        <f>IF(AND(OR(YearFilter="All",$M256=YearFilter),OR(RatingFilter="All",$I256=RatingFilter),OR(TypeFilter="All",$B256=TypeFilter),OR(GenreFilter="All",COUNTIFS(tblGenre[show_id],$A256,tblGenre[Genre],GenreFilter)&gt;0)),1,0)</f>
        <v/>
      </c>
    </row>
    <row r="257" ht="15" customHeight="1" s="20">
      <c r="A257" s="19" t="inlineStr">
        <is>
          <t>s2732</t>
        </is>
      </c>
      <c r="B257" s="19" t="inlineStr">
        <is>
          <t>Movie</t>
        </is>
      </c>
      <c r="C257" s="19" t="inlineStr">
        <is>
          <t>Kabhi Khushi Kabhie Gham</t>
        </is>
      </c>
      <c r="D257" s="19" t="inlineStr">
        <is>
          <t>Karan Johar</t>
        </is>
      </c>
      <c r="E257" s="19" t="inlineStr">
        <is>
          <t>Amitabh Bachchan, Jaya Bhaduri, Shah Rukh Khan, Kajol, Hrithik Roshan, Kareena Kapoor, Rani Mukerji, Farida Jalal, Himani Shivpuri, Alok Nath</t>
        </is>
      </c>
      <c r="F257" s="19" t="inlineStr">
        <is>
          <t>India</t>
        </is>
      </c>
      <c r="G257" s="19" t="inlineStr">
        <is>
          <t>2020-04-01</t>
        </is>
      </c>
      <c r="H257" s="19" t="n">
        <v>2001</v>
      </c>
      <c r="I257" s="19" t="inlineStr">
        <is>
          <t>TV-14</t>
        </is>
      </c>
      <c r="J257" s="19" t="inlineStr">
        <is>
          <t>209 min</t>
        </is>
      </c>
      <c r="K257" s="19" t="inlineStr">
        <is>
          <t>Dramas, International Movies</t>
        </is>
      </c>
      <c r="L257" s="19" t="inlineStr">
        <is>
          <t>Years after his father disowns his adopted brother for marrying a woman of lower social standing, a young man goes on a mission to reunite his family.</t>
        </is>
      </c>
      <c r="M257" s="19" t="n">
        <v>2020</v>
      </c>
      <c r="N257" s="19">
        <f>IF(AND(OR(YearFilter="All",$M257=YearFilter),OR(RatingFilter="All",$I257=RatingFilter),OR(TypeFilter="All",$B257=TypeFilter),OR(GenreFilter="All",COUNTIFS(tblGenre[show_id],$A257,tblGenre[Genre],GenreFilter)&gt;0)),1,0)</f>
        <v/>
      </c>
    </row>
    <row r="258" ht="15" customHeight="1" s="20">
      <c r="A258" s="19" t="inlineStr">
        <is>
          <t>s2733</t>
        </is>
      </c>
      <c r="B258" s="19" t="inlineStr">
        <is>
          <t>Movie</t>
        </is>
      </c>
      <c r="C258" s="19" t="inlineStr">
        <is>
          <t>Kal Ho Naa Ho</t>
        </is>
      </c>
      <c r="D258" s="19" t="inlineStr">
        <is>
          <t>Nikkhil Advani</t>
        </is>
      </c>
      <c r="E258" s="19" t="inlineStr">
        <is>
          <t>Shah Rukh Khan, Saif Ali Khan, Preity Zinta, Jaya Bhaduri, Sushma Seth, Reema Lagoo, Lillete Dubey, Delnaaz Paul</t>
        </is>
      </c>
      <c r="F258" s="19" t="inlineStr">
        <is>
          <t>India</t>
        </is>
      </c>
      <c r="G258" s="19" t="inlineStr">
        <is>
          <t>2020-04-01</t>
        </is>
      </c>
      <c r="H258" s="19" t="n">
        <v>2003</v>
      </c>
      <c r="I258" s="19" t="inlineStr">
        <is>
          <t>TV-14</t>
        </is>
      </c>
      <c r="J258" s="19" t="inlineStr">
        <is>
          <t>187 min</t>
        </is>
      </c>
      <c r="K258" s="19" t="inlineStr">
        <is>
          <t>Comedies, Dramas, International Movies</t>
        </is>
      </c>
      <c r="L258" s="19" t="inlineStr">
        <is>
          <t>An uptight MBA student falls for the charismatic new neighbor who charms her troubled family – but he has a secret that forces him to push her away.</t>
        </is>
      </c>
      <c r="M258" s="19" t="n">
        <v>2020</v>
      </c>
      <c r="N258" s="19">
        <f>IF(AND(OR(YearFilter="All",$M258=YearFilter),OR(RatingFilter="All",$I258=RatingFilter),OR(TypeFilter="All",$B258=TypeFilter),OR(GenreFilter="All",COUNTIFS(tblGenre[show_id],$A258,tblGenre[Genre],GenreFilter)&gt;0)),1,0)</f>
        <v/>
      </c>
    </row>
    <row r="259" ht="15" customHeight="1" s="20">
      <c r="A259" s="19" t="inlineStr">
        <is>
          <t>s2734</t>
        </is>
      </c>
      <c r="B259" s="19" t="inlineStr">
        <is>
          <t>Movie</t>
        </is>
      </c>
      <c r="C259" s="19" t="inlineStr">
        <is>
          <t>Kapoor &amp; Sons</t>
        </is>
      </c>
      <c r="D259" s="19" t="inlineStr">
        <is>
          <t>Shakun Batra</t>
        </is>
      </c>
      <c r="E259" s="19" t="inlineStr">
        <is>
          <t>Rishi Kapoor, Sidharth Malhotra, Fawad Khan, Alia Bhatt, Ratna Pathak Shah, Rajat Kapoor</t>
        </is>
      </c>
      <c r="F259" s="19" t="inlineStr">
        <is>
          <t>India</t>
        </is>
      </c>
      <c r="G259" s="19" t="inlineStr">
        <is>
          <t>2020-04-01</t>
        </is>
      </c>
      <c r="H259" s="19" t="n">
        <v>2016</v>
      </c>
      <c r="I259" s="19" t="inlineStr">
        <is>
          <t>TV-14</t>
        </is>
      </c>
      <c r="J259" s="19" t="inlineStr">
        <is>
          <t>138 min</t>
        </is>
      </c>
      <c r="K259" s="19" t="inlineStr">
        <is>
          <t>Comedies, Dramas, International Movies</t>
        </is>
      </c>
      <c r="L259" s="19" t="inlineStr">
        <is>
          <t>Returning home to visit their ill grandfather, two estranged brothers must confront their unresolved rivalry while their parents’ marriage frays.</t>
        </is>
      </c>
      <c r="M259" s="19" t="n">
        <v>2020</v>
      </c>
      <c r="N259" s="19">
        <f>IF(AND(OR(YearFilter="All",$M259=YearFilter),OR(RatingFilter="All",$I259=RatingFilter),OR(TypeFilter="All",$B259=TypeFilter),OR(GenreFilter="All",COUNTIFS(tblGenre[show_id],$A259,tblGenre[Genre],GenreFilter)&gt;0)),1,0)</f>
        <v/>
      </c>
    </row>
    <row r="260" ht="15" customHeight="1" s="20">
      <c r="A260" s="19" t="inlineStr">
        <is>
          <t>s2735</t>
        </is>
      </c>
      <c r="B260" s="19" t="inlineStr">
        <is>
          <t>Movie</t>
        </is>
      </c>
      <c r="C260" s="19" t="inlineStr">
        <is>
          <t>Kuch Kuch Hota Hai</t>
        </is>
      </c>
      <c r="D260" s="19" t="inlineStr">
        <is>
          <t>Karan Johar</t>
        </is>
      </c>
      <c r="E260" s="19" t="inlineStr">
        <is>
          <t>Shah Rukh Khan, Kajol, Rani Mukerji, Farida Jalal, Reema Lagoo, Salman Khan, Archana Puran Singh, Himani Shivpuri, Johny Lever, Anupam Kher, Sana Saeed</t>
        </is>
      </c>
      <c r="F260" s="19" t="inlineStr">
        <is>
          <t>India</t>
        </is>
      </c>
      <c r="G260" s="19" t="inlineStr">
        <is>
          <t>2020-04-01</t>
        </is>
      </c>
      <c r="H260" s="19" t="n">
        <v>1998</v>
      </c>
      <c r="I260" s="19" t="inlineStr">
        <is>
          <t>TV-14</t>
        </is>
      </c>
      <c r="J260" s="19" t="inlineStr">
        <is>
          <t>185 min</t>
        </is>
      </c>
      <c r="K260" s="19" t="inlineStr">
        <is>
          <t>Comedies, Dramas, International Movies</t>
        </is>
      </c>
      <c r="L260" s="19" t="inlineStr">
        <is>
          <t>Per her mother’s last wish, a girl sets out to reunite her father with the college best friend who loved him – only to discover the woman is engaged.</t>
        </is>
      </c>
      <c r="M260" s="19" t="n">
        <v>2020</v>
      </c>
      <c r="N260" s="19">
        <f>IF(AND(OR(YearFilter="All",$M260=YearFilter),OR(RatingFilter="All",$I260=RatingFilter),OR(TypeFilter="All",$B260=TypeFilter),OR(GenreFilter="All",COUNTIFS(tblGenre[show_id],$A260,tblGenre[Genre],GenreFilter)&gt;0)),1,0)</f>
        <v/>
      </c>
    </row>
    <row r="261" ht="15" customHeight="1" s="20">
      <c r="A261" s="19" t="inlineStr">
        <is>
          <t>s2736</t>
        </is>
      </c>
      <c r="B261" s="19" t="inlineStr">
        <is>
          <t>Movie</t>
        </is>
      </c>
      <c r="C261" s="19" t="inlineStr">
        <is>
          <t>Magnificent</t>
        </is>
      </c>
      <c r="D261" s="19" t="inlineStr">
        <is>
          <t>Vikas Bahl</t>
        </is>
      </c>
      <c r="E261" s="19" t="inlineStr">
        <is>
          <t>Shahid Kapoor, Alia Bhatt, Pankaj Kapur, Sanjay Kapoor, Sushma Seth, Niki Walia, Sanah Kapur, Vikas Verma</t>
        </is>
      </c>
      <c r="F261" s="19" t="inlineStr">
        <is>
          <t>India</t>
        </is>
      </c>
      <c r="G261" s="19" t="inlineStr">
        <is>
          <t>2020-04-01</t>
        </is>
      </c>
      <c r="H261" s="19" t="n">
        <v>2015</v>
      </c>
      <c r="I261" s="19" t="inlineStr">
        <is>
          <t>TV-14</t>
        </is>
      </c>
      <c r="J261" s="19" t="inlineStr">
        <is>
          <t>143 min</t>
        </is>
      </c>
      <c r="K261" s="19" t="inlineStr">
        <is>
          <t>Comedies, International Movies, Romantic Movies</t>
        </is>
      </c>
      <c r="L261" s="19" t="inlineStr">
        <is>
          <t>An industrialist's daughter is forced to marry a rich heir by her greedy grandmother as her adopted sister bonds with the charismatic wedding planner.</t>
        </is>
      </c>
      <c r="M261" s="19" t="n">
        <v>2020</v>
      </c>
      <c r="N261" s="19">
        <f>IF(AND(OR(YearFilter="All",$M261=YearFilter),OR(RatingFilter="All",$I261=RatingFilter),OR(TypeFilter="All",$B261=TypeFilter),OR(GenreFilter="All",COUNTIFS(tblGenre[show_id],$A261,tblGenre[Genre],GenreFilter)&gt;0)),1,0)</f>
        <v/>
      </c>
    </row>
    <row r="262" ht="15" customHeight="1" s="20">
      <c r="A262" s="19" t="inlineStr">
        <is>
          <t>s2738</t>
        </is>
      </c>
      <c r="B262" s="19" t="inlineStr">
        <is>
          <t>Movie</t>
        </is>
      </c>
      <c r="C262" s="19" t="inlineStr">
        <is>
          <t>Mighty Raju Rio Calling</t>
        </is>
      </c>
      <c r="D262" s="19" t="inlineStr">
        <is>
          <t>Rajiv Chilaka, Anirban Majumder, Alka Amarkant Dubey</t>
        </is>
      </c>
      <c r="F262" s="19" t="inlineStr">
        <is>
          <t>India</t>
        </is>
      </c>
      <c r="G262" s="19" t="inlineStr">
        <is>
          <t>2020-04-01</t>
        </is>
      </c>
      <c r="H262" s="19" t="n">
        <v>2014</v>
      </c>
      <c r="I262" s="19" t="inlineStr">
        <is>
          <t>TV-Y7</t>
        </is>
      </c>
      <c r="J262" s="19" t="inlineStr">
        <is>
          <t>97 min</t>
        </is>
      </c>
      <c r="K262" s="19" t="inlineStr">
        <is>
          <t>Children &amp; Family Movies, Sports Movies</t>
        </is>
      </c>
      <c r="L262" s="19" t="inlineStr">
        <is>
          <t>Mighty Raju preps for a new adventure in Rio de Janeiro, where he goes toe-to-toe with rival soccer players, faces capoeira fighters and more.</t>
        </is>
      </c>
      <c r="M262" s="19" t="n">
        <v>2020</v>
      </c>
      <c r="N262" s="19">
        <f>IF(AND(OR(YearFilter="All",$M262=YearFilter),OR(RatingFilter="All",$I262=RatingFilter),OR(TypeFilter="All",$B262=TypeFilter),OR(GenreFilter="All",COUNTIFS(tblGenre[show_id],$A262,tblGenre[Genre],GenreFilter)&gt;0)),1,0)</f>
        <v/>
      </c>
    </row>
    <row r="263" ht="15" customHeight="1" s="20">
      <c r="A263" s="19" t="inlineStr">
        <is>
          <t>s2739</t>
        </is>
      </c>
      <c r="B263" s="19" t="inlineStr">
        <is>
          <t>Movie</t>
        </is>
      </c>
      <c r="C263" s="19" t="inlineStr">
        <is>
          <t>Muqaddar ka Faisla</t>
        </is>
      </c>
      <c r="D263" s="19" t="inlineStr">
        <is>
          <t>Prakash Mehra</t>
        </is>
      </c>
      <c r="E263" s="19" t="inlineStr">
        <is>
          <t>Raaj Kumar, Rakhee Gulzar, Raj Babbar, Tina Munim, Pran, Ranjeet, Meenakshi Sheshadri, Akbar Khan</t>
        </is>
      </c>
      <c r="F263" s="19" t="inlineStr">
        <is>
          <t>India</t>
        </is>
      </c>
      <c r="G263" s="19" t="inlineStr">
        <is>
          <t>2020-04-01</t>
        </is>
      </c>
      <c r="H263" s="19" t="n">
        <v>1987</v>
      </c>
      <c r="I263" s="19" t="inlineStr">
        <is>
          <t>TV-14</t>
        </is>
      </c>
      <c r="J263" s="19" t="inlineStr">
        <is>
          <t>172 min</t>
        </is>
      </c>
      <c r="K263" s="19" t="inlineStr">
        <is>
          <t>Action &amp; Adventure, Comedies, Dramas</t>
        </is>
      </c>
      <c r="L263" s="19" t="inlineStr">
        <is>
          <t>God-fearing Pandit Krishna Kant loses everything and turns to a life of crime after his landlord tries to rape his wife and tears his family apart.</t>
        </is>
      </c>
      <c r="M263" s="19" t="n">
        <v>2020</v>
      </c>
      <c r="N263" s="19">
        <f>IF(AND(OR(YearFilter="All",$M263=YearFilter),OR(RatingFilter="All",$I263=RatingFilter),OR(TypeFilter="All",$B263=TypeFilter),OR(GenreFilter="All",COUNTIFS(tblGenre[show_id],$A263,tblGenre[Genre],GenreFilter)&gt;0)),1,0)</f>
        <v/>
      </c>
    </row>
    <row r="264" ht="15" customHeight="1" s="20">
      <c r="A264" s="19" t="inlineStr">
        <is>
          <t>s2742</t>
        </is>
      </c>
      <c r="B264" s="19" t="inlineStr">
        <is>
          <t>Movie</t>
        </is>
      </c>
      <c r="C264" s="19" t="inlineStr">
        <is>
          <t>SETHUM AAYIRAM PON</t>
        </is>
      </c>
      <c r="D264" s="19" t="inlineStr">
        <is>
          <t>Anand Ravichandran</t>
        </is>
      </c>
      <c r="E264" s="19" t="inlineStr">
        <is>
          <t>Nivedhithaa Sathish, Srilekha Rajendran, Avinash Raghudevan, Gabrella Sellus, Rathaa Krishnan P., Rajendran</t>
        </is>
      </c>
      <c r="F264" s="19" t="inlineStr">
        <is>
          <t>India</t>
        </is>
      </c>
      <c r="G264" s="19" t="inlineStr">
        <is>
          <t>2020-04-01</t>
        </is>
      </c>
      <c r="H264" s="19" t="n">
        <v>2020</v>
      </c>
      <c r="I264" s="19" t="inlineStr">
        <is>
          <t>TV-MA</t>
        </is>
      </c>
      <c r="J264" s="19" t="inlineStr">
        <is>
          <t>103 min</t>
        </is>
      </c>
      <c r="K264" s="19" t="inlineStr">
        <is>
          <t>Dramas, Independent Movies, International Movies</t>
        </is>
      </c>
      <c r="L264" s="19" t="inlineStr">
        <is>
          <t>Meeting after many years, a makeup artist and her grandmother revisit tensions from an old family feud that still hang heavy between them.</t>
        </is>
      </c>
      <c r="M264" s="19" t="n">
        <v>2020</v>
      </c>
      <c r="N264" s="19">
        <f>IF(AND(OR(YearFilter="All",$M264=YearFilter),OR(RatingFilter="All",$I264=RatingFilter),OR(TypeFilter="All",$B264=TypeFilter),OR(GenreFilter="All",COUNTIFS(tblGenre[show_id],$A264,tblGenre[Genre],GenreFilter)&gt;0)),1,0)</f>
        <v/>
      </c>
    </row>
    <row r="265" ht="15" customHeight="1" s="20">
      <c r="A265" s="19" t="inlineStr">
        <is>
          <t>s2748</t>
        </is>
      </c>
      <c r="B265" s="19" t="inlineStr">
        <is>
          <t>Movie</t>
        </is>
      </c>
      <c r="C265" s="19" t="inlineStr">
        <is>
          <t>Ungli</t>
        </is>
      </c>
      <c r="D265" s="19" t="inlineStr">
        <is>
          <t>Renzil D'Silva</t>
        </is>
      </c>
      <c r="E265" s="19" t="inlineStr">
        <is>
          <t>Emraan Hashmi, Randeep Hooda, Kangana Ranaut, Sanjay Dutt, Neha Dhupia, Angad Bedi, Neil Bhoopalam, Shraddha Kapoor</t>
        </is>
      </c>
      <c r="F265" s="19" t="inlineStr">
        <is>
          <t>India</t>
        </is>
      </c>
      <c r="G265" s="19" t="inlineStr">
        <is>
          <t>2020-04-01</t>
        </is>
      </c>
      <c r="H265" s="19" t="n">
        <v>2014</v>
      </c>
      <c r="I265" s="19" t="inlineStr">
        <is>
          <t>TV-14</t>
        </is>
      </c>
      <c r="J265" s="19" t="inlineStr">
        <is>
          <t>114 min</t>
        </is>
      </c>
      <c r="K265" s="19" t="inlineStr">
        <is>
          <t>Comedies, Dramas, International Movies</t>
        </is>
      </c>
      <c r="L265" s="19" t="inlineStr">
        <is>
          <t>An undercover cop finds himself in a strange position after infiltrating a "gang" that pulls wildly popular pranks on corrupt officials in Mumbai.</t>
        </is>
      </c>
      <c r="M265" s="19" t="n">
        <v>2020</v>
      </c>
      <c r="N265" s="19">
        <f>IF(AND(OR(YearFilter="All",$M265=YearFilter),OR(RatingFilter="All",$I265=RatingFilter),OR(TypeFilter="All",$B265=TypeFilter),OR(GenreFilter="All",COUNTIFS(tblGenre[show_id],$A265,tblGenre[Genre],GenreFilter)&gt;0)),1,0)</f>
        <v/>
      </c>
    </row>
    <row r="266" ht="15" customHeight="1" s="20">
      <c r="A266" s="19" t="inlineStr">
        <is>
          <t>s2751</t>
        </is>
      </c>
      <c r="B266" s="19" t="inlineStr">
        <is>
          <t>Movie</t>
        </is>
      </c>
      <c r="C266" s="19" t="inlineStr">
        <is>
          <t>A truthful Mother</t>
        </is>
      </c>
      <c r="D266" s="19" t="inlineStr">
        <is>
          <t>Ravishankar Venkateswaran</t>
        </is>
      </c>
      <c r="E266" s="19" t="inlineStr">
        <is>
          <t>Revathi, Roger Narayanan, Sneha Ravishankar, Vidya Shankar, SR Leela</t>
        </is>
      </c>
      <c r="F266" s="19" t="inlineStr">
        <is>
          <t>India</t>
        </is>
      </c>
      <c r="G266" s="19" t="inlineStr">
        <is>
          <t>2020-03-31</t>
        </is>
      </c>
      <c r="H266" s="19" t="n">
        <v>2020</v>
      </c>
      <c r="I266" s="19" t="inlineStr">
        <is>
          <t>TV-Y7</t>
        </is>
      </c>
      <c r="J266" s="19" t="inlineStr">
        <is>
          <t>85 min</t>
        </is>
      </c>
      <c r="K266" s="19" t="inlineStr">
        <is>
          <t>Children &amp; Family Movies</t>
        </is>
      </c>
      <c r="L266" s="19" t="inlineStr">
        <is>
          <t>Facing a drought, a hungry tiger and a noble cow have an extraordinary encounter in this fable based on a children’s book and a Kannada folk song.</t>
        </is>
      </c>
      <c r="M266" s="19" t="n">
        <v>2020</v>
      </c>
      <c r="N266" s="19">
        <f>IF(AND(OR(YearFilter="All",$M266=YearFilter),OR(RatingFilter="All",$I266=RatingFilter),OR(TypeFilter="All",$B266=TypeFilter),OR(GenreFilter="All",COUNTIFS(tblGenre[show_id],$A266,tblGenre[Genre],GenreFilter)&gt;0)),1,0)</f>
        <v/>
      </c>
    </row>
    <row r="267" ht="15" customHeight="1" s="20">
      <c r="A267" s="19" t="inlineStr">
        <is>
          <t>s2752</t>
        </is>
      </c>
      <c r="B267" s="19" t="inlineStr">
        <is>
          <t>TV Show</t>
        </is>
      </c>
      <c r="C267" s="19" t="inlineStr">
        <is>
          <t>Akbar Birbal</t>
        </is>
      </c>
      <c r="E267" s="19" t="inlineStr">
        <is>
          <t>Kiku Sharda, Vishal Kotian, Delnaaz Irani</t>
        </is>
      </c>
      <c r="F267" s="19" t="inlineStr">
        <is>
          <t>India</t>
        </is>
      </c>
      <c r="G267" s="19" t="inlineStr">
        <is>
          <t>2020-03-31</t>
        </is>
      </c>
      <c r="H267" s="19" t="n">
        <v>2019</v>
      </c>
      <c r="I267" s="19" t="inlineStr">
        <is>
          <t>TV-G</t>
        </is>
      </c>
      <c r="J267" s="19" t="inlineStr">
        <is>
          <t>1 Season</t>
        </is>
      </c>
      <c r="K267" s="19" t="inlineStr">
        <is>
          <t>Kids' TV, TV Comedies, TV Dramas</t>
        </is>
      </c>
      <c r="L267" s="19" t="inlineStr">
        <is>
          <t>From battles of wit to fights for justice, Emperor Akbar and his trusty advisor Birbal display their unique bond through adventures in Mughal-era India.</t>
        </is>
      </c>
      <c r="M267" s="19" t="n">
        <v>2020</v>
      </c>
      <c r="N267" s="19">
        <f>IF(AND(OR(YearFilter="All",$M267=YearFilter),OR(RatingFilter="All",$I267=RatingFilter),OR(TypeFilter="All",$B267=TypeFilter),OR(GenreFilter="All",COUNTIFS(tblGenre[show_id],$A267,tblGenre[Genre],GenreFilter)&gt;0)),1,0)</f>
        <v/>
      </c>
    </row>
    <row r="268" ht="15" customHeight="1" s="20">
      <c r="A268" s="19" t="inlineStr">
        <is>
          <t>s2757</t>
        </is>
      </c>
      <c r="B268" s="19" t="inlineStr">
        <is>
          <t>Movie</t>
        </is>
      </c>
      <c r="C268" s="19" t="inlineStr">
        <is>
          <t>Paharganj</t>
        </is>
      </c>
      <c r="D268" s="19" t="inlineStr">
        <is>
          <t>Rakesh Ranjan Kumar</t>
        </is>
      </c>
      <c r="E268" s="19" t="inlineStr">
        <is>
          <t>Lorena Franco, Bijesh Jayarajan, Neet Chowdhary, Rajeev Gaursingh, Karran Jeet, Rajesh Sharma, Gautam Kurup, Poonam Mathur, Salman Khan, Manish Devkush</t>
        </is>
      </c>
      <c r="F268" s="19" t="inlineStr">
        <is>
          <t>India</t>
        </is>
      </c>
      <c r="G268" s="19" t="inlineStr">
        <is>
          <t>2020-03-31</t>
        </is>
      </c>
      <c r="H268" s="19" t="n">
        <v>2019</v>
      </c>
      <c r="I268" s="19" t="inlineStr">
        <is>
          <t>TV-MA</t>
        </is>
      </c>
      <c r="J268" s="19" t="inlineStr">
        <is>
          <t>107 min</t>
        </is>
      </c>
      <c r="K268" s="19" t="inlineStr">
        <is>
          <t>Dramas, Independent Movies, International Movies</t>
        </is>
      </c>
      <c r="L268" s="19" t="inlineStr">
        <is>
          <t>In the underbelly of a Delhi neighborhood, a woman’s search for her missing lover collides with drugs, death and a coach grappling with his demons.</t>
        </is>
      </c>
      <c r="M268" s="19" t="n">
        <v>2020</v>
      </c>
      <c r="N268" s="19">
        <f>IF(AND(OR(YearFilter="All",$M268=YearFilter),OR(RatingFilter="All",$I268=RatingFilter),OR(TypeFilter="All",$B268=TypeFilter),OR(GenreFilter="All",COUNTIFS(tblGenre[show_id],$A268,tblGenre[Genre],GenreFilter)&gt;0)),1,0)</f>
        <v/>
      </c>
    </row>
    <row r="269" ht="15" customHeight="1" s="20">
      <c r="A269" s="19" t="inlineStr">
        <is>
          <t>s2761</t>
        </is>
      </c>
      <c r="B269" s="19" t="inlineStr">
        <is>
          <t>Movie</t>
        </is>
      </c>
      <c r="C269" s="19" t="inlineStr">
        <is>
          <t>Kannum Kannum Kollaiyadithaal</t>
        </is>
      </c>
      <c r="D269" s="19" t="inlineStr">
        <is>
          <t>Desingh Periyasamy</t>
        </is>
      </c>
      <c r="E269" s="19" t="inlineStr">
        <is>
          <t>Dulquer Salmaan, Ritu Varma, Rakshan, Niranjani, Gautham Menon, Anish Kuruvilla</t>
        </is>
      </c>
      <c r="F269" s="19" t="inlineStr">
        <is>
          <t>India</t>
        </is>
      </c>
      <c r="G269" s="19" t="inlineStr">
        <is>
          <t>2020-03-29</t>
        </is>
      </c>
      <c r="H269" s="19" t="n">
        <v>2020</v>
      </c>
      <c r="I269" s="19" t="inlineStr">
        <is>
          <t>TV-14</t>
        </is>
      </c>
      <c r="J269" s="19" t="inlineStr">
        <is>
          <t>160 min</t>
        </is>
      </c>
      <c r="K269" s="19" t="inlineStr">
        <is>
          <t>Comedies, Dramas, International Movies</t>
        </is>
      </c>
      <c r="L269" s="19" t="inlineStr">
        <is>
          <t>A carefree racing enthusiast’s womanizing ways end when he meets the girl of his dreams, but their newfound peace is disrupted by a dangerous killer.</t>
        </is>
      </c>
      <c r="M269" s="19" t="n">
        <v>2020</v>
      </c>
      <c r="N269" s="19">
        <f>IF(AND(OR(YearFilter="All",$M269=YearFilter),OR(RatingFilter="All",$I269=RatingFilter),OR(TypeFilter="All",$B269=TypeFilter),OR(GenreFilter="All",COUNTIFS(tblGenre[show_id],$A269,tblGenre[Genre],GenreFilter)&gt;0)),1,0)</f>
        <v/>
      </c>
    </row>
    <row r="270" ht="15" customHeight="1" s="20">
      <c r="A270" s="19" t="inlineStr">
        <is>
          <t>s2766</t>
        </is>
      </c>
      <c r="B270" s="19" t="inlineStr">
        <is>
          <t>TV Show</t>
        </is>
      </c>
      <c r="C270" s="19" t="inlineStr">
        <is>
          <t>Ladies Up</t>
        </is>
      </c>
      <c r="E270" s="19" t="inlineStr">
        <is>
          <t>Prashasti Singh, Kaneez Surka, Niveditha Prakasam, Supriya Joshi</t>
        </is>
      </c>
      <c r="F270" s="19" t="inlineStr">
        <is>
          <t>India</t>
        </is>
      </c>
      <c r="G270" s="19" t="inlineStr">
        <is>
          <t>2020-03-27</t>
        </is>
      </c>
      <c r="H270" s="19" t="n">
        <v>2019</v>
      </c>
      <c r="I270" s="19" t="inlineStr">
        <is>
          <t>TV-MA</t>
        </is>
      </c>
      <c r="J270" s="19" t="inlineStr">
        <is>
          <t>1 Season</t>
        </is>
      </c>
      <c r="K270" s="19" t="inlineStr">
        <is>
          <t>International TV Shows, Stand-Up Comedy &amp; Talk Shows, TV Comedies</t>
        </is>
      </c>
      <c r="L270" s="19" t="inlineStr">
        <is>
          <t>Rising India-based comics Prashasti Singh, Kaneez Surka, Supriya Joshi and Niveditha Prakasam bring no-holds-barred humor to this stand-up series.</t>
        </is>
      </c>
      <c r="M270" s="19" t="n">
        <v>2020</v>
      </c>
      <c r="N270" s="19">
        <f>IF(AND(OR(YearFilter="All",$M270=YearFilter),OR(RatingFilter="All",$I270=RatingFilter),OR(TypeFilter="All",$B270=TypeFilter),OR(GenreFilter="All",COUNTIFS(tblGenre[show_id],$A270,tblGenre[Genre],GenreFilter)&gt;0)),1,0)</f>
        <v/>
      </c>
    </row>
    <row r="271" ht="15" customHeight="1" s="20">
      <c r="A271" s="19" t="inlineStr">
        <is>
          <t>s2767</t>
        </is>
      </c>
      <c r="B271" s="19" t="inlineStr">
        <is>
          <t>Movie</t>
        </is>
      </c>
      <c r="C271" s="19" t="inlineStr">
        <is>
          <t>Maska</t>
        </is>
      </c>
      <c r="D271" s="19" t="inlineStr">
        <is>
          <t>Neeraj Udhwani</t>
        </is>
      </c>
      <c r="E271" s="19" t="inlineStr">
        <is>
          <t>Manisha Koirala, Prit Kamani, Shirley Setia, Nikita Dutta, Javed Jaffrey, Dhruv Lohumi</t>
        </is>
      </c>
      <c r="F271" s="19" t="inlineStr">
        <is>
          <t>India</t>
        </is>
      </c>
      <c r="G271" s="19" t="inlineStr">
        <is>
          <t>2020-03-27</t>
        </is>
      </c>
      <c r="H271" s="19" t="n">
        <v>2020</v>
      </c>
      <c r="I271" s="19" t="inlineStr">
        <is>
          <t>TV-MA</t>
        </is>
      </c>
      <c r="J271" s="19" t="inlineStr">
        <is>
          <t>112 min</t>
        </is>
      </c>
      <c r="K271" s="19" t="inlineStr">
        <is>
          <t>Comedies, Dramas, International Movies</t>
        </is>
      </c>
      <c r="L271" s="19" t="inlineStr">
        <is>
          <t>Determined to make it in showbiz, an aspiring young actor considers turning his back on the beloved Irani café run by his family for generations.</t>
        </is>
      </c>
      <c r="M271" s="19" t="n">
        <v>2020</v>
      </c>
      <c r="N271" s="19">
        <f>IF(AND(OR(YearFilter="All",$M271=YearFilter),OR(RatingFilter="All",$I271=RatingFilter),OR(TypeFilter="All",$B271=TypeFilter),OR(GenreFilter="All",COUNTIFS(tblGenre[show_id],$A271,tblGenre[Genre],GenreFilter)&gt;0)),1,0)</f>
        <v/>
      </c>
    </row>
    <row r="272" ht="15" customHeight="1" s="20">
      <c r="A272" s="19" t="inlineStr">
        <is>
          <t>s2793</t>
        </is>
      </c>
      <c r="B272" s="19" t="inlineStr">
        <is>
          <t>TV Show</t>
        </is>
      </c>
      <c r="C272" s="19" t="inlineStr">
        <is>
          <t>She</t>
        </is>
      </c>
      <c r="E272" s="19" t="inlineStr">
        <is>
          <t>Aaditi Pohankar, Vijay Varma, Vishwas Kini, Kishore Kumar G., Shivani Rangole, Suhita Thatte, Sandeep Dhabale, Saqib Ayub</t>
        </is>
      </c>
      <c r="F272" s="19" t="inlineStr">
        <is>
          <t>India</t>
        </is>
      </c>
      <c r="G272" s="19" t="inlineStr">
        <is>
          <t>2020-03-20</t>
        </is>
      </c>
      <c r="H272" s="19" t="n">
        <v>2020</v>
      </c>
      <c r="I272" s="19" t="inlineStr">
        <is>
          <t>TV-MA</t>
        </is>
      </c>
      <c r="J272" s="19" t="inlineStr">
        <is>
          <t>1 Season</t>
        </is>
      </c>
      <c r="K272" s="19" t="inlineStr">
        <is>
          <t>Crime TV Shows, International TV Shows, TV Dramas</t>
        </is>
      </c>
      <c r="L272" s="19" t="inlineStr">
        <is>
          <t>An undercover assignment to expose a drug ring becomes a timid Mumbai constable’s road to empowerment as she realizes her dormant sexuality's potential.</t>
        </is>
      </c>
      <c r="M272" s="19" t="n">
        <v>2020</v>
      </c>
      <c r="N272" s="19">
        <f>IF(AND(OR(YearFilter="All",$M272=YearFilter),OR(RatingFilter="All",$I272=RatingFilter),OR(TypeFilter="All",$B272=TypeFilter),OR(GenreFilter="All",COUNTIFS(tblGenre[show_id],$A272,tblGenre[Genre],GenreFilter)&gt;0)),1,0)</f>
        <v/>
      </c>
    </row>
    <row r="273" ht="15" customHeight="1" s="20">
      <c r="A273" s="19" t="inlineStr">
        <is>
          <t>s2811</t>
        </is>
      </c>
      <c r="B273" s="19" t="inlineStr">
        <is>
          <t>Movie</t>
        </is>
      </c>
      <c r="C273" s="19" t="inlineStr">
        <is>
          <t>Bypass Road</t>
        </is>
      </c>
      <c r="D273" s="19" t="inlineStr">
        <is>
          <t>Naman Nitin Mukesh</t>
        </is>
      </c>
      <c r="E273" s="19" t="inlineStr">
        <is>
          <t>Neil Nitin Mukesh, Adah Sharma, Rajit Kapoor, Gul Panag, Shama Sikander, Manish Chaudhary, Sudhanshu Pandey, Taher Shabbir</t>
        </is>
      </c>
      <c r="F273" s="19" t="inlineStr">
        <is>
          <t>India</t>
        </is>
      </c>
      <c r="G273" s="19" t="inlineStr">
        <is>
          <t>2020-03-15</t>
        </is>
      </c>
      <c r="H273" s="19" t="n">
        <v>2019</v>
      </c>
      <c r="I273" s="19" t="inlineStr">
        <is>
          <t>TV-14</t>
        </is>
      </c>
      <c r="J273" s="19" t="inlineStr">
        <is>
          <t>135 min</t>
        </is>
      </c>
      <c r="K273" s="19" t="inlineStr">
        <is>
          <t>International Movies, Thrillers</t>
        </is>
      </c>
      <c r="L273" s="19" t="inlineStr">
        <is>
          <t>On the night his ex-lover mysteriously dies, a top fashion designer has a serious accident, raising questions on whether the incidents are linked.</t>
        </is>
      </c>
      <c r="M273" s="19" t="n">
        <v>2020</v>
      </c>
      <c r="N273" s="19">
        <f>IF(AND(OR(YearFilter="All",$M273=YearFilter),OR(RatingFilter="All",$I273=RatingFilter),OR(TypeFilter="All",$B273=TypeFilter),OR(GenreFilter="All",COUNTIFS(tblGenre[show_id],$A273,tblGenre[Genre],GenreFilter)&gt;0)),1,0)</f>
        <v/>
      </c>
    </row>
    <row r="274" ht="15" customHeight="1" s="20">
      <c r="A274" s="19" t="inlineStr">
        <is>
          <t>s2816</t>
        </is>
      </c>
      <c r="B274" s="19" t="inlineStr">
        <is>
          <t>Movie</t>
        </is>
      </c>
      <c r="C274" s="19" t="inlineStr">
        <is>
          <t>Jai Mummy Di</t>
        </is>
      </c>
      <c r="D274" s="19" t="inlineStr">
        <is>
          <t>Navjot Gulati</t>
        </is>
      </c>
      <c r="E274" s="19" t="inlineStr">
        <is>
          <t>Poonam Dhillon, Supriya Pathak, Sunny Singh, Sonalli Sehgall, Rajendra Sethi, Veer Rajwant Singh, Danish Husain, Alok Nath</t>
        </is>
      </c>
      <c r="F274" s="19" t="inlineStr">
        <is>
          <t>India</t>
        </is>
      </c>
      <c r="G274" s="19" t="inlineStr">
        <is>
          <t>2020-03-14</t>
        </is>
      </c>
      <c r="H274" s="19" t="n">
        <v>2020</v>
      </c>
      <c r="I274" s="19" t="inlineStr">
        <is>
          <t>TV-MA</t>
        </is>
      </c>
      <c r="J274" s="19" t="inlineStr">
        <is>
          <t>101 min</t>
        </is>
      </c>
      <c r="K274" s="19" t="inlineStr">
        <is>
          <t>Comedies, International Movies, Romantic Movies</t>
        </is>
      </c>
      <c r="L274" s="19" t="inlineStr">
        <is>
          <t>Sick of keeping their love a secret from their constantly bickering mothers, a young couple seeks to uncover the cause of the women’s longstanding war.</t>
        </is>
      </c>
      <c r="M274" s="19" t="n">
        <v>2020</v>
      </c>
      <c r="N274" s="19">
        <f>IF(AND(OR(YearFilter="All",$M274=YearFilter),OR(RatingFilter="All",$I274=RatingFilter),OR(TypeFilter="All",$B274=TypeFilter),OR(GenreFilter="All",COUNTIFS(tblGenre[show_id],$A274,tblGenre[Genre],GenreFilter)&gt;0)),1,0)</f>
        <v/>
      </c>
    </row>
    <row r="275" ht="15" customHeight="1" s="20">
      <c r="A275" s="19" t="inlineStr">
        <is>
          <t>s2834</t>
        </is>
      </c>
      <c r="B275" s="19" t="inlineStr">
        <is>
          <t>Movie</t>
        </is>
      </c>
      <c r="C275" s="19" t="inlineStr">
        <is>
          <t>Guilty</t>
        </is>
      </c>
      <c r="D275" s="19" t="inlineStr">
        <is>
          <t>Ruchi Narain</t>
        </is>
      </c>
      <c r="E275" s="19" t="inlineStr">
        <is>
          <t>Kiara Advani, Akansha Ranjan Kapoor, Gurfateh Pirzada, Taher Shabbir, Niki Walia, Manu Rishi Chadha, Dalip Tahil, Kunal Vijaykar</t>
        </is>
      </c>
      <c r="F275" s="19" t="inlineStr">
        <is>
          <t>India</t>
        </is>
      </c>
      <c r="G275" s="19" t="inlineStr">
        <is>
          <t>2020-03-06</t>
        </is>
      </c>
      <c r="H275" s="19" t="n">
        <v>2020</v>
      </c>
      <c r="I275" s="19" t="inlineStr">
        <is>
          <t>TV-MA</t>
        </is>
      </c>
      <c r="J275" s="19" t="inlineStr">
        <is>
          <t>120 min</t>
        </is>
      </c>
      <c r="K275" s="19" t="inlineStr">
        <is>
          <t>Dramas, International Movies</t>
        </is>
      </c>
      <c r="L275" s="19" t="inlineStr">
        <is>
          <t>When a college heartthrob is accused of rape by a less popular student, his girlfriend navigates various versions of the story in search of the truth.</t>
        </is>
      </c>
      <c r="M275" s="19" t="n">
        <v>2020</v>
      </c>
      <c r="N275" s="19">
        <f>IF(AND(OR(YearFilter="All",$M275=YearFilter),OR(RatingFilter="All",$I275=RatingFilter),OR(TypeFilter="All",$B275=TypeFilter),OR(GenreFilter="All",COUNTIFS(tblGenre[show_id],$A275,tblGenre[Genre],GenreFilter)&gt;0)),1,0)</f>
        <v/>
      </c>
    </row>
    <row r="276" ht="15" customHeight="1" s="20">
      <c r="A276" s="19" t="inlineStr">
        <is>
          <t>s2842</t>
        </is>
      </c>
      <c r="B276" s="19" t="inlineStr">
        <is>
          <t>TV Show</t>
        </is>
      </c>
      <c r="C276" s="19" t="inlineStr">
        <is>
          <t>Mighty Little Bheem: Festival of Colors</t>
        </is>
      </c>
      <c r="E276" s="19" t="inlineStr">
        <is>
          <t>Samruddhi Shukla, Aranya Kaur, Rajesh Kava, Nishka Raheja, Sabina Malik, Shanoor Mirza</t>
        </is>
      </c>
      <c r="F276" s="19" t="inlineStr">
        <is>
          <t>India</t>
        </is>
      </c>
      <c r="G276" s="19" t="inlineStr">
        <is>
          <t>2020-03-05</t>
        </is>
      </c>
      <c r="H276" s="19" t="n">
        <v>2020</v>
      </c>
      <c r="I276" s="19" t="inlineStr">
        <is>
          <t>TV-Y</t>
        </is>
      </c>
      <c r="J276" s="19" t="inlineStr">
        <is>
          <t>1 Season</t>
        </is>
      </c>
      <c r="K276" s="19" t="inlineStr">
        <is>
          <t>Kids' TV, TV Comedies</t>
        </is>
      </c>
      <c r="L276" s="19" t="inlineStr">
        <is>
          <t>From surprising stage performances to spraying colors with friends, join baby Bheem for all his Holi hijinks during the special spring festival.</t>
        </is>
      </c>
      <c r="M276" s="19" t="n">
        <v>2020</v>
      </c>
      <c r="N276" s="19">
        <f>IF(AND(OR(YearFilter="All",$M276=YearFilter),OR(RatingFilter="All",$I276=RatingFilter),OR(TypeFilter="All",$B276=TypeFilter),OR(GenreFilter="All",COUNTIFS(tblGenre[show_id],$A276,tblGenre[Genre],GenreFilter)&gt;0)),1,0)</f>
        <v/>
      </c>
    </row>
    <row r="277" ht="15" customHeight="1" s="20">
      <c r="A277" s="19" t="inlineStr">
        <is>
          <t>s2851</t>
        </is>
      </c>
      <c r="B277" s="19" t="inlineStr">
        <is>
          <t>Movie</t>
        </is>
      </c>
      <c r="C277" s="19" t="inlineStr">
        <is>
          <t>The Last Bomb of the Second World War</t>
        </is>
      </c>
      <c r="D277" s="19" t="inlineStr">
        <is>
          <t>Athiyan Athirai</t>
        </is>
      </c>
      <c r="E277" s="19" t="inlineStr">
        <is>
          <t>Dinesh, Anandhi, Munishkanth, Riythvika, John Vijay</t>
        </is>
      </c>
      <c r="F277" s="19" t="inlineStr">
        <is>
          <t>India</t>
        </is>
      </c>
      <c r="G277" s="19" t="inlineStr">
        <is>
          <t>2020-03-03</t>
        </is>
      </c>
      <c r="H277" s="19" t="n">
        <v>2019</v>
      </c>
      <c r="I277" s="19" t="inlineStr">
        <is>
          <t>TV-14</t>
        </is>
      </c>
      <c r="J277" s="19" t="inlineStr">
        <is>
          <t>133 min</t>
        </is>
      </c>
      <c r="K277" s="19" t="inlineStr">
        <is>
          <t>Dramas, Independent Movies, International Movies</t>
        </is>
      </c>
      <c r="L277" s="19" t="inlineStr">
        <is>
          <t>A piece of unexploded ordnance wreaks havoc on the lives of a scrapyard worker whose truck it falls into and an anti-war activist who's hunting for it.</t>
        </is>
      </c>
      <c r="M277" s="19" t="n">
        <v>2020</v>
      </c>
      <c r="N277" s="19">
        <f>IF(AND(OR(YearFilter="All",$M277=YearFilter),OR(RatingFilter="All",$I277=RatingFilter),OR(TypeFilter="All",$B277=TypeFilter),OR(GenreFilter="All",COUNTIFS(tblGenre[show_id],$A277,tblGenre[Genre],GenreFilter)&gt;0)),1,0)</f>
        <v/>
      </c>
    </row>
    <row r="278" ht="15" customHeight="1" s="20">
      <c r="A278" s="19" t="inlineStr">
        <is>
          <t>s2857</t>
        </is>
      </c>
      <c r="B278" s="19" t="inlineStr">
        <is>
          <t>Movie</t>
        </is>
      </c>
      <c r="C278" s="19" t="inlineStr">
        <is>
          <t>Bhangra Paa Le</t>
        </is>
      </c>
      <c r="D278" s="19" t="inlineStr">
        <is>
          <t>Sneha Taurani</t>
        </is>
      </c>
      <c r="E278" s="19" t="inlineStr">
        <is>
          <t>Sunny Kaushal, Rukshar Dhillon, Shriya Pilgaonkar, Parmeet Sethi, Samir Soni, Chaitanya Sharma, Sheeba Chaddha, Akarsh Khurana</t>
        </is>
      </c>
      <c r="F278" s="19" t="inlineStr">
        <is>
          <t>India</t>
        </is>
      </c>
      <c r="G278" s="19" t="inlineStr">
        <is>
          <t>2020-03-01</t>
        </is>
      </c>
      <c r="H278" s="19" t="n">
        <v>2019</v>
      </c>
      <c r="I278" s="19" t="inlineStr">
        <is>
          <t>TV-14</t>
        </is>
      </c>
      <c r="J278" s="19" t="inlineStr">
        <is>
          <t>130 min</t>
        </is>
      </c>
      <c r="K278" s="19" t="inlineStr">
        <is>
          <t>Comedies, Dramas, International Movies</t>
        </is>
      </c>
      <c r="L278" s="19" t="inlineStr">
        <is>
          <t>Determined to bring traditional bhangra to the world stage, a dancer preps for an international competition against a rival with dreams of her own.</t>
        </is>
      </c>
      <c r="M278" s="19" t="n">
        <v>2020</v>
      </c>
      <c r="N278" s="19">
        <f>IF(AND(OR(YearFilter="All",$M278=YearFilter),OR(RatingFilter="All",$I278=RatingFilter),OR(TypeFilter="All",$B278=TypeFilter),OR(GenreFilter="All",COUNTIFS(tblGenre[show_id],$A278,tblGenre[Genre],GenreFilter)&gt;0)),1,0)</f>
        <v/>
      </c>
    </row>
    <row r="279" ht="15" customHeight="1" s="20">
      <c r="A279" s="19" t="inlineStr">
        <is>
          <t>s2870</t>
        </is>
      </c>
      <c r="B279" s="19" t="inlineStr">
        <is>
          <t>Movie</t>
        </is>
      </c>
      <c r="C279" s="19" t="inlineStr">
        <is>
          <t>Amit Tandon: Family Tandoncies</t>
        </is>
      </c>
      <c r="E279" s="19" t="inlineStr">
        <is>
          <t>Amit Tandon</t>
        </is>
      </c>
      <c r="F279" s="19" t="inlineStr">
        <is>
          <t>India</t>
        </is>
      </c>
      <c r="G279" s="19" t="inlineStr">
        <is>
          <t>2020-02-28</t>
        </is>
      </c>
      <c r="H279" s="19" t="n">
        <v>2019</v>
      </c>
      <c r="I279" s="19" t="inlineStr">
        <is>
          <t>TV-14</t>
        </is>
      </c>
      <c r="J279" s="19" t="inlineStr">
        <is>
          <t>72 min</t>
        </is>
      </c>
      <c r="K279" s="19" t="inlineStr">
        <is>
          <t>Stand-Up Comedy</t>
        </is>
      </c>
      <c r="L279" s="19" t="inlineStr">
        <is>
          <t>From the death of romance in marriage to the injustices of modern-day parenting, Amit Tandon shares wisdom and wisecracks as a battle-scarred family guy.</t>
        </is>
      </c>
      <c r="M279" s="19" t="n">
        <v>2020</v>
      </c>
      <c r="N279" s="19">
        <f>IF(AND(OR(YearFilter="All",$M279=YearFilter),OR(RatingFilter="All",$I279=RatingFilter),OR(TypeFilter="All",$B279=TypeFilter),OR(GenreFilter="All",COUNTIFS(tblGenre[show_id],$A279,tblGenre[Genre],GenreFilter)&gt;0)),1,0)</f>
        <v/>
      </c>
    </row>
    <row r="280" ht="15" customHeight="1" s="20">
      <c r="A280" s="19" t="inlineStr">
        <is>
          <t>s2874</t>
        </is>
      </c>
      <c r="B280" s="19" t="inlineStr">
        <is>
          <t>Movie</t>
        </is>
      </c>
      <c r="C280" s="19" t="inlineStr">
        <is>
          <t>Ala Vaikunthapurramuloo</t>
        </is>
      </c>
      <c r="D280" s="19" t="inlineStr">
        <is>
          <t>Trivikram Srinivas</t>
        </is>
      </c>
      <c r="E280" s="19" t="inlineStr">
        <is>
          <t>Allu Arjun, Pooja Hegde, Tabu, Sushanth, Nivetha Pethuraj, Jayaram, Murli Sharma</t>
        </is>
      </c>
      <c r="F280" s="19" t="inlineStr">
        <is>
          <t>India</t>
        </is>
      </c>
      <c r="G280" s="19" t="inlineStr">
        <is>
          <t>2020-02-27</t>
        </is>
      </c>
      <c r="H280" s="19" t="n">
        <v>2020</v>
      </c>
      <c r="I280" s="19" t="inlineStr">
        <is>
          <t>TV-14</t>
        </is>
      </c>
      <c r="J280" s="19" t="inlineStr">
        <is>
          <t>162 min</t>
        </is>
      </c>
      <c r="K280" s="19" t="inlineStr">
        <is>
          <t>Action &amp; Adventure, Comedies, Dramas</t>
        </is>
      </c>
      <c r="L280" s="19" t="inlineStr">
        <is>
          <t>After growing up enduring criticism from his father, a young man finds his world shaken upon learning he was switched at birth with a millionaire’s son.</t>
        </is>
      </c>
      <c r="M280" s="19" t="n">
        <v>2020</v>
      </c>
      <c r="N280" s="19">
        <f>IF(AND(OR(YearFilter="All",$M280=YearFilter),OR(RatingFilter="All",$I280=RatingFilter),OR(TypeFilter="All",$B280=TypeFilter),OR(GenreFilter="All",COUNTIFS(tblGenre[show_id],$A280,tblGenre[Genre],GenreFilter)&gt;0)),1,0)</f>
        <v/>
      </c>
    </row>
    <row r="281" ht="15" customHeight="1" s="20">
      <c r="A281" s="19" t="inlineStr">
        <is>
          <t>s2897</t>
        </is>
      </c>
      <c r="B281" s="19" t="inlineStr">
        <is>
          <t>Movie</t>
        </is>
      </c>
      <c r="C281" s="19" t="inlineStr">
        <is>
          <t>The Body</t>
        </is>
      </c>
      <c r="D281" s="19" t="inlineStr">
        <is>
          <t>Jeethu Joseph</t>
        </is>
      </c>
      <c r="E281" s="19" t="inlineStr">
        <is>
          <t>Rishi Kapoor, Emraan Hashmi, Sobhita Dhulipala, Vedika, Anupam Bhattacharya, Chandan Anand, Arif Zakaria, Rukhsar Ahmed</t>
        </is>
      </c>
      <c r="F281" s="19" t="inlineStr">
        <is>
          <t>India</t>
        </is>
      </c>
      <c r="G281" s="19" t="inlineStr">
        <is>
          <t>2020-02-21</t>
        </is>
      </c>
      <c r="H281" s="19" t="n">
        <v>2019</v>
      </c>
      <c r="I281" s="19" t="inlineStr">
        <is>
          <t>TV-14</t>
        </is>
      </c>
      <c r="J281" s="19" t="inlineStr">
        <is>
          <t>101 min</t>
        </is>
      </c>
      <c r="K281" s="19" t="inlineStr">
        <is>
          <t>International Movies, Thrillers</t>
        </is>
      </c>
      <c r="L281" s="19" t="inlineStr">
        <is>
          <t>Mind games and mystery abound as a detective investigates the disappearance of a woman’s body from a morgue in this Hindi remake of a Spanish thriller.</t>
        </is>
      </c>
      <c r="M281" s="19" t="n">
        <v>2020</v>
      </c>
      <c r="N281" s="19">
        <f>IF(AND(OR(YearFilter="All",$M281=YearFilter),OR(RatingFilter="All",$I281=RatingFilter),OR(TypeFilter="All",$B281=TypeFilter),OR(GenreFilter="All",COUNTIFS(tblGenre[show_id],$A281,tblGenre[Genre],GenreFilter)&gt;0)),1,0)</f>
        <v/>
      </c>
    </row>
    <row r="282" ht="15" customHeight="1" s="20">
      <c r="A282" s="19" t="inlineStr">
        <is>
          <t>s2899</t>
        </is>
      </c>
      <c r="B282" s="19" t="inlineStr">
        <is>
          <t>Movie</t>
        </is>
      </c>
      <c r="C282" s="19" t="inlineStr">
        <is>
          <t>Yeh Ballet</t>
        </is>
      </c>
      <c r="D282" s="19" t="inlineStr">
        <is>
          <t>Sooni Taraporevala</t>
        </is>
      </c>
      <c r="E282" s="19" t="inlineStr">
        <is>
          <t>Julian Sands, Manish Chauhan, Achintya Bose, Jim Sarbh, Danish Husain, Vijay Maurya, Heeba Shah, Kalyanee Mulay</t>
        </is>
      </c>
      <c r="F282" s="19" t="inlineStr">
        <is>
          <t>India</t>
        </is>
      </c>
      <c r="G282" s="19" t="inlineStr">
        <is>
          <t>2020-02-21</t>
        </is>
      </c>
      <c r="H282" s="19" t="n">
        <v>2020</v>
      </c>
      <c r="I282" s="19" t="inlineStr">
        <is>
          <t>TV-MA</t>
        </is>
      </c>
      <c r="J282" s="19" t="inlineStr">
        <is>
          <t>117 min</t>
        </is>
      </c>
      <c r="K282" s="19" t="inlineStr">
        <is>
          <t>Dramas, International Movies</t>
        </is>
      </c>
      <c r="L282" s="19" t="inlineStr">
        <is>
          <t>Discovered by an eccentric ballet master, two gifted but underprivileged Mumbai teens face bigotry and disapproval as they pursue their dancing dreams.</t>
        </is>
      </c>
      <c r="M282" s="19" t="n">
        <v>2020</v>
      </c>
      <c r="N282" s="19">
        <f>IF(AND(OR(YearFilter="All",$M282=YearFilter),OR(RatingFilter="All",$I282=RatingFilter),OR(TypeFilter="All",$B282=TypeFilter),OR(GenreFilter="All",COUNTIFS(tblGenre[show_id],$A282,tblGenre[Genre],GenreFilter)&gt;0)),1,0)</f>
        <v/>
      </c>
    </row>
    <row r="283" ht="15" customHeight="1" s="20">
      <c r="A283" s="19" t="inlineStr">
        <is>
          <t>s2917</t>
        </is>
      </c>
      <c r="B283" s="19" t="inlineStr">
        <is>
          <t>Movie</t>
        </is>
      </c>
      <c r="C283" s="19" t="inlineStr">
        <is>
          <t>Panipat - The Great Betrayal</t>
        </is>
      </c>
      <c r="D283" s="19" t="inlineStr">
        <is>
          <t>Ashutosh Gowariker</t>
        </is>
      </c>
      <c r="E283" s="19" t="inlineStr">
        <is>
          <t>Sanjay Dutt, Arjun Kapoor, Kriti Sanon, Zeenat Aman, Mohnish Bahl, Padmini Kolhapure, Kunal Kapoor, Suhasini Mulay</t>
        </is>
      </c>
      <c r="F283" s="19" t="inlineStr">
        <is>
          <t>India</t>
        </is>
      </c>
      <c r="G283" s="19" t="inlineStr">
        <is>
          <t>2020-02-14</t>
        </is>
      </c>
      <c r="H283" s="19" t="n">
        <v>2019</v>
      </c>
      <c r="I283" s="19" t="inlineStr">
        <is>
          <t>TV-14</t>
        </is>
      </c>
      <c r="J283" s="19" t="inlineStr">
        <is>
          <t>171 min</t>
        </is>
      </c>
      <c r="K283" s="19" t="inlineStr">
        <is>
          <t>Dramas, International Movies, Romantic Movies</t>
        </is>
      </c>
      <c r="L283" s="19" t="inlineStr">
        <is>
          <t>In 18th-century India, a Maratha commander leads his army in preparation for a fierce battle against Afghan invaders in this film based on real events.</t>
        </is>
      </c>
      <c r="M283" s="19" t="n">
        <v>2020</v>
      </c>
      <c r="N283" s="19">
        <f>IF(AND(OR(YearFilter="All",$M283=YearFilter),OR(RatingFilter="All",$I283=RatingFilter),OR(TypeFilter="All",$B283=TypeFilter),OR(GenreFilter="All",COUNTIFS(tblGenre[show_id],$A283,tblGenre[Genre],GenreFilter)&gt;0)),1,0)</f>
        <v/>
      </c>
    </row>
    <row r="284" ht="15" customHeight="1" s="20">
      <c r="A284" s="19" t="inlineStr">
        <is>
          <t>s2918</t>
        </is>
      </c>
      <c r="B284" s="19" t="inlineStr">
        <is>
          <t>TV Show</t>
        </is>
      </c>
      <c r="C284" s="19" t="inlineStr">
        <is>
          <t>Taj Mahal 1989</t>
        </is>
      </c>
      <c r="E284" s="19" t="inlineStr">
        <is>
          <t>Neeraj Kabi, Geetanjali Kulkarni, Danish Husain, Sheeba Chaddha, Paras Priyadarshan, Anshul Chauhan, Anud Singh Dhaka, Shirin Sewani, Mihir Ahuja, Vasundhara Rajput</t>
        </is>
      </c>
      <c r="F284" s="19" t="inlineStr">
        <is>
          <t>India</t>
        </is>
      </c>
      <c r="G284" s="19" t="inlineStr">
        <is>
          <t>2020-02-14</t>
        </is>
      </c>
      <c r="H284" s="19" t="n">
        <v>2020</v>
      </c>
      <c r="I284" s="19" t="inlineStr">
        <is>
          <t>TV-MA</t>
        </is>
      </c>
      <c r="J284" s="19" t="inlineStr">
        <is>
          <t>1 Season</t>
        </is>
      </c>
      <c r="K284" s="19" t="inlineStr">
        <is>
          <t>International TV Shows, Romantic TV Shows, TV Comedies</t>
        </is>
      </c>
      <c r="L284" s="19" t="inlineStr">
        <is>
          <t>In and around Lucknow University in 1989, couples of varying ages explore the politics of love through marriage, budding romances and friendships.</t>
        </is>
      </c>
      <c r="M284" s="19" t="n">
        <v>2020</v>
      </c>
      <c r="N284" s="19">
        <f>IF(AND(OR(YearFilter="All",$M284=YearFilter),OR(RatingFilter="All",$I284=RatingFilter),OR(TypeFilter="All",$B284=TypeFilter),OR(GenreFilter="All",COUNTIFS(tblGenre[show_id],$A284,tblGenre[Genre],GenreFilter)&gt;0)),1,0)</f>
        <v/>
      </c>
    </row>
    <row r="285" ht="15" customHeight="1" s="20">
      <c r="A285" s="19" t="inlineStr">
        <is>
          <t>s2936</t>
        </is>
      </c>
      <c r="B285" s="19" t="inlineStr">
        <is>
          <t>Movie</t>
        </is>
      </c>
      <c r="C285" s="19" t="inlineStr">
        <is>
          <t>Thottappan</t>
        </is>
      </c>
      <c r="D285" s="19" t="inlineStr">
        <is>
          <t>Shanavas K. Bavakutty</t>
        </is>
      </c>
      <c r="E285" s="19" t="inlineStr">
        <is>
          <t>Priyamvada Krishnan, Vinayakan, Roshan Mathew, Dileesh Pothan, Manoj K. Jayan, Lal, Irshad Ali, Sunitha</t>
        </is>
      </c>
      <c r="F285" s="19" t="inlineStr">
        <is>
          <t>India</t>
        </is>
      </c>
      <c r="G285" s="19" t="inlineStr">
        <is>
          <t>2020-02-08</t>
        </is>
      </c>
      <c r="H285" s="19" t="n">
        <v>2019</v>
      </c>
      <c r="I285" s="19" t="inlineStr">
        <is>
          <t>TV-14</t>
        </is>
      </c>
      <c r="J285" s="19" t="inlineStr">
        <is>
          <t>139 min</t>
        </is>
      </c>
      <c r="K285" s="19" t="inlineStr">
        <is>
          <t>Comedies, Dramas, International Movies</t>
        </is>
      </c>
      <c r="L285" s="19" t="inlineStr">
        <is>
          <t>When his partner in crime goes missing, a small-time crook’s life is transformed as he dedicates himself to raising the daughter his friend left behind.</t>
        </is>
      </c>
      <c r="M285" s="19" t="n">
        <v>2020</v>
      </c>
      <c r="N285" s="19">
        <f>IF(AND(OR(YearFilter="All",$M285=YearFilter),OR(RatingFilter="All",$I285=RatingFilter),OR(TypeFilter="All",$B285=TypeFilter),OR(GenreFilter="All",COUNTIFS(tblGenre[show_id],$A285,tblGenre[Genre],GenreFilter)&gt;0)),1,0)</f>
        <v/>
      </c>
    </row>
    <row r="286" ht="15" customHeight="1" s="20">
      <c r="A286" s="19" t="inlineStr">
        <is>
          <t>s2941</t>
        </is>
      </c>
      <c r="B286" s="19" t="inlineStr">
        <is>
          <t>Movie</t>
        </is>
      </c>
      <c r="C286" s="19" t="inlineStr">
        <is>
          <t>Jada</t>
        </is>
      </c>
      <c r="D286" s="19" t="inlineStr">
        <is>
          <t>Kumaran</t>
        </is>
      </c>
      <c r="E286" s="19" t="inlineStr">
        <is>
          <t>Kathir, Kishore Kumar G., Roshini, Yogi Babu, Kishore</t>
        </is>
      </c>
      <c r="F286" s="19" t="inlineStr">
        <is>
          <t>India</t>
        </is>
      </c>
      <c r="G286" s="19" t="inlineStr">
        <is>
          <t>2020-02-07</t>
        </is>
      </c>
      <c r="H286" s="19" t="n">
        <v>2019</v>
      </c>
      <c r="I286" s="19" t="inlineStr">
        <is>
          <t>TV-14</t>
        </is>
      </c>
      <c r="J286" s="19" t="inlineStr">
        <is>
          <t>124 min</t>
        </is>
      </c>
      <c r="K286" s="19" t="inlineStr">
        <is>
          <t>Dramas, International Movies, Sports Movies</t>
        </is>
      </c>
      <c r="L286" s="19" t="inlineStr">
        <is>
          <t>Wishing to settle an old score, a promising soccer player defies his coach’s wishes and leads his team to participate in a violent form of the sport.</t>
        </is>
      </c>
      <c r="M286" s="19" t="n">
        <v>2020</v>
      </c>
      <c r="N286" s="19">
        <f>IF(AND(OR(YearFilter="All",$M286=YearFilter),OR(RatingFilter="All",$I286=RatingFilter),OR(TypeFilter="All",$B286=TypeFilter),OR(GenreFilter="All",COUNTIFS(tblGenre[show_id],$A286,tblGenre[Genre],GenreFilter)&gt;0)),1,0)</f>
        <v/>
      </c>
    </row>
    <row r="287" ht="15" customHeight="1" s="20">
      <c r="A287" s="19" t="inlineStr">
        <is>
          <t>s2955</t>
        </is>
      </c>
      <c r="B287" s="19" t="inlineStr">
        <is>
          <t>Movie</t>
        </is>
      </c>
      <c r="C287" s="19" t="inlineStr">
        <is>
          <t>Thambi</t>
        </is>
      </c>
      <c r="D287" s="19" t="inlineStr">
        <is>
          <t>Jeethu Joseph</t>
        </is>
      </c>
      <c r="E287" s="19" t="inlineStr">
        <is>
          <t>Jyothika, Sathyaraj, Karthi, Showkar Janaki, Nikhila Vimal, Havarasu, Anson Paul</t>
        </is>
      </c>
      <c r="F287" s="19" t="inlineStr">
        <is>
          <t>India</t>
        </is>
      </c>
      <c r="G287" s="19" t="inlineStr">
        <is>
          <t>2020-02-03</t>
        </is>
      </c>
      <c r="H287" s="19" t="n">
        <v>2019</v>
      </c>
      <c r="I287" s="19" t="inlineStr">
        <is>
          <t>TV-14</t>
        </is>
      </c>
      <c r="J287" s="19" t="inlineStr">
        <is>
          <t>148 min</t>
        </is>
      </c>
      <c r="K287" s="19" t="inlineStr">
        <is>
          <t>International Movies, Thrillers</t>
        </is>
      </c>
      <c r="L287" s="19" t="inlineStr">
        <is>
          <t>As a tip leads a local politician to his long-estranged son, his daughter has doubts about whether the young man is truly family or just an impostor.</t>
        </is>
      </c>
      <c r="M287" s="19" t="n">
        <v>2020</v>
      </c>
      <c r="N287" s="19">
        <f>IF(AND(OR(YearFilter="All",$M287=YearFilter),OR(RatingFilter="All",$I287=RatingFilter),OR(TypeFilter="All",$B287=TypeFilter),OR(GenreFilter="All",COUNTIFS(tblGenre[show_id],$A287,tblGenre[Genre],GenreFilter)&gt;0)),1,0)</f>
        <v/>
      </c>
    </row>
    <row r="288" ht="15" customHeight="1" s="20">
      <c r="A288" s="19" t="inlineStr">
        <is>
          <t>s2958</t>
        </is>
      </c>
      <c r="B288" s="19" t="inlineStr">
        <is>
          <t>Movie</t>
        </is>
      </c>
      <c r="C288" s="19" t="inlineStr">
        <is>
          <t>Hum Aapke Hain Koun</t>
        </is>
      </c>
      <c r="D288" s="19" t="inlineStr">
        <is>
          <t>Sooraj R. Barjatya</t>
        </is>
      </c>
      <c r="E288" s="19" t="inlineStr">
        <is>
          <t>Madhuri Dixit, Salman Khan, Mohnish Bahl, Renuka Shahane, Anupam Kher, Reema Lagoo, Alok Nath, Bindu</t>
        </is>
      </c>
      <c r="F288" s="19" t="inlineStr">
        <is>
          <t>India</t>
        </is>
      </c>
      <c r="G288" s="19" t="inlineStr">
        <is>
          <t>2020-02-01</t>
        </is>
      </c>
      <c r="H288" s="19" t="n">
        <v>1994</v>
      </c>
      <c r="I288" s="19" t="inlineStr">
        <is>
          <t>TV-14</t>
        </is>
      </c>
      <c r="J288" s="19" t="inlineStr">
        <is>
          <t>193 min</t>
        </is>
      </c>
      <c r="K288" s="19" t="inlineStr">
        <is>
          <t>Classic Movies, Dramas, International Movies</t>
        </is>
      </c>
      <c r="L288" s="19" t="inlineStr">
        <is>
          <t>Although Nisha falls for Prem, she agrees to marry his older brother for the good of their families. But fate may have other plans for the lovebirds.</t>
        </is>
      </c>
      <c r="M288" s="19" t="n">
        <v>2020</v>
      </c>
      <c r="N288" s="19">
        <f>IF(AND(OR(YearFilter="All",$M288=YearFilter),OR(RatingFilter="All",$I288=RatingFilter),OR(TypeFilter="All",$B288=TypeFilter),OR(GenreFilter="All",COUNTIFS(tblGenre[show_id],$A288,tblGenre[Genre],GenreFilter)&gt;0)),1,0)</f>
        <v/>
      </c>
    </row>
    <row r="289" ht="15" customHeight="1" s="20">
      <c r="A289" s="19" t="inlineStr">
        <is>
          <t>s2970</t>
        </is>
      </c>
      <c r="B289" s="19" t="inlineStr">
        <is>
          <t>Movie</t>
        </is>
      </c>
      <c r="C289" s="19" t="inlineStr">
        <is>
          <t>Together For Eternity</t>
        </is>
      </c>
      <c r="D289" s="19" t="inlineStr">
        <is>
          <t>Sooraj R. Barjatya</t>
        </is>
      </c>
      <c r="E289" s="19" t="inlineStr">
        <is>
          <t>Salman Khan, Karisma Kapoor, Saif Ali Khan, Tabu, Sonali Bendre, Mohnish Bahl, Reema Lagoo, Mahesh Thakur, Neelam, Alok Nath</t>
        </is>
      </c>
      <c r="F289" s="19" t="inlineStr">
        <is>
          <t>India</t>
        </is>
      </c>
      <c r="G289" s="19" t="inlineStr">
        <is>
          <t>2020-02-01</t>
        </is>
      </c>
      <c r="H289" s="19" t="n">
        <v>1999</v>
      </c>
      <c r="I289" s="19" t="inlineStr">
        <is>
          <t>TV-G</t>
        </is>
      </c>
      <c r="J289" s="19" t="inlineStr">
        <is>
          <t>176 min</t>
        </is>
      </c>
      <c r="K289" s="19" t="inlineStr">
        <is>
          <t>Dramas, International Movies, Music &amp; Musicals</t>
        </is>
      </c>
      <c r="L289" s="19" t="inlineStr">
        <is>
          <t>A scheming matriarch plots to cut off her disabled stepson and his wife from the family fortune, creating a division within the clan.</t>
        </is>
      </c>
      <c r="M289" s="19" t="n">
        <v>2020</v>
      </c>
      <c r="N289" s="19">
        <f>IF(AND(OR(YearFilter="All",$M289=YearFilter),OR(RatingFilter="All",$I289=RatingFilter),OR(TypeFilter="All",$B289=TypeFilter),OR(GenreFilter="All",COUNTIFS(tblGenre[show_id],$A289,tblGenre[Genre],GenreFilter)&gt;0)),1,0)</f>
        <v/>
      </c>
    </row>
    <row r="290" ht="15" customHeight="1" s="20">
      <c r="A290" s="19" t="inlineStr">
        <is>
          <t>s2986</t>
        </is>
      </c>
      <c r="B290" s="19" t="inlineStr">
        <is>
          <t>Movie</t>
        </is>
      </c>
      <c r="C290" s="19" t="inlineStr">
        <is>
          <t>Shimla Mirchi</t>
        </is>
      </c>
      <c r="D290" s="19" t="inlineStr">
        <is>
          <t>Ramesh Sippy</t>
        </is>
      </c>
      <c r="E290" s="19" t="inlineStr">
        <is>
          <t>Rajkummar Rao, Tarun Wadhwa, Rakul Preet Singh, Kiran Juneja, Hema Malini, Kamlesh Gill, Shakti Kapoor, Kanwaljeet Singh</t>
        </is>
      </c>
      <c r="F290" s="19" t="inlineStr">
        <is>
          <t>India</t>
        </is>
      </c>
      <c r="G290" s="19" t="inlineStr">
        <is>
          <t>2020-01-27</t>
        </is>
      </c>
      <c r="H290" s="19" t="n">
        <v>2020</v>
      </c>
      <c r="I290" s="19" t="inlineStr">
        <is>
          <t>TV-14</t>
        </is>
      </c>
      <c r="J290" s="19" t="inlineStr">
        <is>
          <t>121 min</t>
        </is>
      </c>
      <c r="K290" s="19" t="inlineStr">
        <is>
          <t>Comedies, International Movies, Romantic Movies</t>
        </is>
      </c>
      <c r="L290" s="19" t="inlineStr">
        <is>
          <t>A young man who gets tongue-tied around women writes a love letter to his crush, but it ends up in the hands of her mother, who thinks it's for her.</t>
        </is>
      </c>
      <c r="M290" s="19" t="n">
        <v>2020</v>
      </c>
      <c r="N290" s="19">
        <f>IF(AND(OR(YearFilter="All",$M290=YearFilter),OR(RatingFilter="All",$I290=RatingFilter),OR(TypeFilter="All",$B290=TypeFilter),OR(GenreFilter="All",COUNTIFS(tblGenre[show_id],$A290,tblGenre[Genre],GenreFilter)&gt;0)),1,0)</f>
        <v/>
      </c>
    </row>
    <row r="291" ht="15" customHeight="1" s="20">
      <c r="A291" s="19" t="inlineStr">
        <is>
          <t>s2987</t>
        </is>
      </c>
      <c r="B291" s="19" t="inlineStr">
        <is>
          <t>Movie</t>
        </is>
      </c>
      <c r="C291" s="19" t="inlineStr">
        <is>
          <t>Sillu Karuppatti</t>
        </is>
      </c>
      <c r="D291" s="19" t="inlineStr">
        <is>
          <t>Halitha Shameem</t>
        </is>
      </c>
      <c r="E291" s="19" t="inlineStr">
        <is>
          <t>Nivedhithaa Sathish, Leela Samson, Samuthirakani, Sunaina, Manikandan</t>
        </is>
      </c>
      <c r="F291" s="19" t="inlineStr">
        <is>
          <t>India</t>
        </is>
      </c>
      <c r="G291" s="19" t="inlineStr">
        <is>
          <t>2020-01-26</t>
        </is>
      </c>
      <c r="H291" s="19" t="n">
        <v>2019</v>
      </c>
      <c r="I291" s="19" t="inlineStr">
        <is>
          <t>TV-14</t>
        </is>
      </c>
      <c r="J291" s="19" t="inlineStr">
        <is>
          <t>133 min</t>
        </is>
      </c>
      <c r="K291" s="19" t="inlineStr">
        <is>
          <t>Comedies, Dramas, Independent Movies</t>
        </is>
      </c>
      <c r="L291" s="19" t="inlineStr">
        <is>
          <t>From first crushes to post-marriage relationships, love and connection are at the heart of the four interwoven stories in this anthology film.</t>
        </is>
      </c>
      <c r="M291" s="19" t="n">
        <v>2020</v>
      </c>
      <c r="N291" s="19">
        <f>IF(AND(OR(YearFilter="All",$M291=YearFilter),OR(RatingFilter="All",$I291=RatingFilter),OR(TypeFilter="All",$B291=TypeFilter),OR(GenreFilter="All",COUNTIFS(tblGenre[show_id],$A291,tblGenre[Genre],GenreFilter)&gt;0)),1,0)</f>
        <v/>
      </c>
    </row>
    <row r="292" ht="15" customHeight="1" s="20">
      <c r="A292" s="19" t="inlineStr">
        <is>
          <t>s2988</t>
        </is>
      </c>
      <c r="B292" s="19" t="inlineStr">
        <is>
          <t>Movie</t>
        </is>
      </c>
      <c r="C292" s="19" t="inlineStr">
        <is>
          <t>Vir Das: For India</t>
        </is>
      </c>
      <c r="D292" s="19" t="inlineStr">
        <is>
          <t>Vir Das, Ajay Bhuyan</t>
        </is>
      </c>
      <c r="E292" s="19" t="inlineStr">
        <is>
          <t>Vir Das</t>
        </is>
      </c>
      <c r="F292" s="19" t="inlineStr">
        <is>
          <t>India</t>
        </is>
      </c>
      <c r="G292" s="19" t="inlineStr">
        <is>
          <t>2020-01-26</t>
        </is>
      </c>
      <c r="H292" s="19" t="n">
        <v>2020</v>
      </c>
      <c r="I292" s="19" t="inlineStr">
        <is>
          <t>TV-MA</t>
        </is>
      </c>
      <c r="J292" s="19" t="inlineStr">
        <is>
          <t>76 min</t>
        </is>
      </c>
      <c r="K292" s="19" t="inlineStr">
        <is>
          <t>Stand-Up Comedy</t>
        </is>
      </c>
      <c r="L292" s="19" t="inlineStr">
        <is>
          <t>From the Vedas to Vasco da Gama to vacuous Bollywood plotlines, comedian Vir Das celebrates the history of India with his one-of-a-kind perspective.</t>
        </is>
      </c>
      <c r="M292" s="19" t="n">
        <v>2020</v>
      </c>
      <c r="N292" s="19">
        <f>IF(AND(OR(YearFilter="All",$M292=YearFilter),OR(RatingFilter="All",$I292=RatingFilter),OR(TypeFilter="All",$B292=TypeFilter),OR(GenreFilter="All",COUNTIFS(tblGenre[show_id],$A292,tblGenre[Genre],GenreFilter)&gt;0)),1,0)</f>
        <v/>
      </c>
    </row>
    <row r="293" ht="15" customHeight="1" s="20">
      <c r="A293" s="19" t="inlineStr">
        <is>
          <t>s3005</t>
        </is>
      </c>
      <c r="B293" s="19" t="inlineStr">
        <is>
          <t>Movie</t>
        </is>
      </c>
      <c r="C293" s="19" t="inlineStr">
        <is>
          <t>KD (A) Karuppudurai</t>
        </is>
      </c>
      <c r="D293" s="19" t="inlineStr">
        <is>
          <t>Madhumita</t>
        </is>
      </c>
      <c r="E293" s="19" t="inlineStr">
        <is>
          <t>Mu Ramaswamy, Naga Vishal, Yog Japee, Ganesan Kaliamoorthy, Guna Babu</t>
        </is>
      </c>
      <c r="F293" s="19" t="inlineStr">
        <is>
          <t>India</t>
        </is>
      </c>
      <c r="G293" s="19" t="inlineStr">
        <is>
          <t>2020-01-21</t>
        </is>
      </c>
      <c r="H293" s="19" t="n">
        <v>2019</v>
      </c>
      <c r="I293" s="19" t="inlineStr">
        <is>
          <t>TV-14</t>
        </is>
      </c>
      <c r="J293" s="19" t="inlineStr">
        <is>
          <t>116 min</t>
        </is>
      </c>
      <c r="K293" s="19" t="inlineStr">
        <is>
          <t>Comedies, Dramas, Independent Movies</t>
        </is>
      </c>
      <c r="L293" s="19" t="inlineStr">
        <is>
          <t>As his children plot his death to claim their inheritance, an aging patriarch leaves home, befriending a spunky boy who adds direction to his life.</t>
        </is>
      </c>
      <c r="M293" s="19" t="n">
        <v>2020</v>
      </c>
      <c r="N293" s="19">
        <f>IF(AND(OR(YearFilter="All",$M293=YearFilter),OR(RatingFilter="All",$I293=RatingFilter),OR(TypeFilter="All",$B293=TypeFilter),OR(GenreFilter="All",COUNTIFS(tblGenre[show_id],$A293,tblGenre[Genre],GenreFilter)&gt;0)),1,0)</f>
        <v/>
      </c>
    </row>
    <row r="294" ht="15" customHeight="1" s="20">
      <c r="A294" s="19" t="inlineStr">
        <is>
          <t>s3007</t>
        </is>
      </c>
      <c r="B294" s="19" t="inlineStr">
        <is>
          <t>Movie</t>
        </is>
      </c>
      <c r="C294" s="19" t="inlineStr">
        <is>
          <t>Motichoor Chaknachoor</t>
        </is>
      </c>
      <c r="D294" s="19" t="inlineStr">
        <is>
          <t>Debamitra Biswal</t>
        </is>
      </c>
      <c r="E294" s="19" t="inlineStr">
        <is>
          <t>Nawazuddin Siddiqui, Athiya Shetty, Sanjeev Vats, Vibha Chhibber, Vivek Mishra, Navni Parihar, Karuna Pandey, Abhishek Rawat</t>
        </is>
      </c>
      <c r="F294" s="19" t="inlineStr">
        <is>
          <t>India</t>
        </is>
      </c>
      <c r="G294" s="19" t="inlineStr">
        <is>
          <t>2020-01-20</t>
        </is>
      </c>
      <c r="H294" s="19" t="n">
        <v>2019</v>
      </c>
      <c r="I294" s="19" t="inlineStr">
        <is>
          <t>TV-14</t>
        </is>
      </c>
      <c r="J294" s="19" t="inlineStr">
        <is>
          <t>132 min</t>
        </is>
      </c>
      <c r="K294" s="19" t="inlineStr">
        <is>
          <t>Comedies, Dramas, International Movies</t>
        </is>
      </c>
      <c r="L294" s="19" t="inlineStr">
        <is>
          <t>Pushing 40 and unemployed, a Dubai returnee desperate for a wife catches the eye of a Bhopal belle, who sees him solely as her ticket out of India.</t>
        </is>
      </c>
      <c r="M294" s="19" t="n">
        <v>2020</v>
      </c>
      <c r="N294" s="19">
        <f>IF(AND(OR(YearFilter="All",$M294=YearFilter),OR(RatingFilter="All",$I294=RatingFilter),OR(TypeFilter="All",$B294=TypeFilter),OR(GenreFilter="All",COUNTIFS(tblGenre[show_id],$A294,tblGenre[Genre],GenreFilter)&gt;0)),1,0)</f>
        <v/>
      </c>
    </row>
    <row r="295" ht="15" customHeight="1" s="20">
      <c r="A295" s="19" t="inlineStr">
        <is>
          <t>s3023</t>
        </is>
      </c>
      <c r="B295" s="19" t="inlineStr">
        <is>
          <t>Movie</t>
        </is>
      </c>
      <c r="C295" s="19" t="inlineStr">
        <is>
          <t>Bulbul Can Sing</t>
        </is>
      </c>
      <c r="D295" s="19" t="inlineStr">
        <is>
          <t>Rima Das</t>
        </is>
      </c>
      <c r="E295" s="19" t="inlineStr">
        <is>
          <t>Arnali Das, Manoranjan Das, Banita Thakuriya, Manabendra Das, Deepjyoti Kalita, Pakija Begum</t>
        </is>
      </c>
      <c r="F295" s="19" t="inlineStr">
        <is>
          <t>India</t>
        </is>
      </c>
      <c r="G295" s="19" t="inlineStr">
        <is>
          <t>2020-01-15</t>
        </is>
      </c>
      <c r="H295" s="19" t="n">
        <v>2018</v>
      </c>
      <c r="I295" s="19" t="inlineStr">
        <is>
          <t>TV-14</t>
        </is>
      </c>
      <c r="J295" s="19" t="inlineStr">
        <is>
          <t>95 min</t>
        </is>
      </c>
      <c r="K295" s="19" t="inlineStr">
        <is>
          <t>Dramas, Independent Movies, International Movies</t>
        </is>
      </c>
      <c r="L295" s="19" t="inlineStr">
        <is>
          <t>Exploring their sexual identities in the face of the patriarchal rules of their Assamese village, a teenager and her two friends are rocked by tragedy.</t>
        </is>
      </c>
      <c r="M295" s="19" t="n">
        <v>2020</v>
      </c>
      <c r="N295" s="19">
        <f>IF(AND(OR(YearFilter="All",$M295=YearFilter),OR(RatingFilter="All",$I295=RatingFilter),OR(TypeFilter="All",$B295=TypeFilter),OR(GenreFilter="All",COUNTIFS(tblGenre[show_id],$A295,tblGenre[Genre],GenreFilter)&gt;0)),1,0)</f>
        <v/>
      </c>
    </row>
    <row r="296" ht="15" customHeight="1" s="20">
      <c r="A296" s="19" t="inlineStr">
        <is>
          <t>s3033</t>
        </is>
      </c>
      <c r="B296" s="19" t="inlineStr">
        <is>
          <t>Movie</t>
        </is>
      </c>
      <c r="C296" s="19" t="inlineStr">
        <is>
          <t>Made in China</t>
        </is>
      </c>
      <c r="D296" s="19" t="inlineStr">
        <is>
          <t>Mikhil Musale</t>
        </is>
      </c>
      <c r="E296" s="19" t="inlineStr">
        <is>
          <t>Rajkummar Rao, Boman Irani, Mouni Roy, Sumeet Vyas, Paresh Rawal, Gajraj Rao, Manoj Joshi, Sanjay Goradia, Amyra Dastur, Chittaranjan Tripathi, Abhishek Banerjee</t>
        </is>
      </c>
      <c r="F296" s="19" t="inlineStr">
        <is>
          <t>India</t>
        </is>
      </c>
      <c r="G296" s="19" t="inlineStr">
        <is>
          <t>2020-01-12</t>
        </is>
      </c>
      <c r="H296" s="19" t="n">
        <v>2019</v>
      </c>
      <c r="I296" s="19" t="inlineStr">
        <is>
          <t>TV-MA</t>
        </is>
      </c>
      <c r="J296" s="19" t="inlineStr">
        <is>
          <t>128 min</t>
        </is>
      </c>
      <c r="K296" s="19" t="inlineStr">
        <is>
          <t>Comedies, Dramas, International Movies</t>
        </is>
      </c>
      <c r="L296" s="19" t="inlineStr">
        <is>
          <t>After a trip to China, a struggling entrepreneur returns to India as the supplier of an illegal aphrodisiac — but all he ends up stimulating is chaos.</t>
        </is>
      </c>
      <c r="M296" s="19" t="n">
        <v>2020</v>
      </c>
      <c r="N296" s="19">
        <f>IF(AND(OR(YearFilter="All",$M296=YearFilter),OR(RatingFilter="All",$I296=RatingFilter),OR(TypeFilter="All",$B296=TypeFilter),OR(GenreFilter="All",COUNTIFS(tblGenre[show_id],$A296,tblGenre[Genre],GenreFilter)&gt;0)),1,0)</f>
        <v/>
      </c>
    </row>
    <row r="297" ht="15" customHeight="1" s="20">
      <c r="A297" s="19" t="inlineStr">
        <is>
          <t>s3037</t>
        </is>
      </c>
      <c r="B297" s="19" t="inlineStr">
        <is>
          <t>TV Show</t>
        </is>
      </c>
      <c r="C297" s="19" t="inlineStr">
        <is>
          <t>Jamtara - Sabka Number Ayega</t>
        </is>
      </c>
      <c r="D297" s="19" t="inlineStr">
        <is>
          <t>Soumendra Padhi</t>
        </is>
      </c>
      <c r="E297" s="19" t="inlineStr">
        <is>
          <t>Amit Sial, Dibyendu Bhattacharya, Aksha Pardhasany, Sparsh Shrivastava, Monika Panwar, Anshumaan Pushkar</t>
        </is>
      </c>
      <c r="F297" s="19" t="inlineStr">
        <is>
          <t>India</t>
        </is>
      </c>
      <c r="G297" s="19" t="inlineStr">
        <is>
          <t>2020-01-10</t>
        </is>
      </c>
      <c r="H297" s="19" t="n">
        <v>2020</v>
      </c>
      <c r="I297" s="19" t="inlineStr">
        <is>
          <t>TV-MA</t>
        </is>
      </c>
      <c r="J297" s="19" t="inlineStr">
        <is>
          <t>1 Season</t>
        </is>
      </c>
      <c r="K297" s="19" t="inlineStr">
        <is>
          <t>Crime TV Shows, International TV Shows, TV Dramas</t>
        </is>
      </c>
      <c r="L297" s="19" t="inlineStr">
        <is>
          <t>A group of small-town young men run a lucrative phishing operation, until a corrupt politician wants in on their scheme – and a cop wants to fight it.</t>
        </is>
      </c>
      <c r="M297" s="19" t="n">
        <v>2020</v>
      </c>
      <c r="N297" s="19">
        <f>IF(AND(OR(YearFilter="All",$M297=YearFilter),OR(RatingFilter="All",$I297=RatingFilter),OR(TypeFilter="All",$B297=TypeFilter),OR(GenreFilter="All",COUNTIFS(tblGenre[show_id],$A297,tblGenre[Genre],GenreFilter)&gt;0)),1,0)</f>
        <v/>
      </c>
    </row>
    <row r="298" ht="15" customHeight="1" s="20">
      <c r="A298" s="19" t="inlineStr">
        <is>
          <t>s3049</t>
        </is>
      </c>
      <c r="B298" s="19" t="inlineStr">
        <is>
          <t>Movie</t>
        </is>
      </c>
      <c r="C298" s="19" t="inlineStr">
        <is>
          <t>Half Girlfriend</t>
        </is>
      </c>
      <c r="D298" s="19" t="inlineStr">
        <is>
          <t>Mohit Suri</t>
        </is>
      </c>
      <c r="E298" s="19" t="inlineStr">
        <is>
          <t>Arjun Kapoor, Shraddha Kapoor, Vikrant Massey, Seema Biswas, Rhea Chakraborty, Sujata Sehgal, Anisa Butt</t>
        </is>
      </c>
      <c r="F298" s="19" t="inlineStr">
        <is>
          <t>India</t>
        </is>
      </c>
      <c r="G298" s="19" t="inlineStr">
        <is>
          <t>2020-01-02</t>
        </is>
      </c>
      <c r="H298" s="19" t="n">
        <v>2017</v>
      </c>
      <c r="I298" s="19" t="inlineStr">
        <is>
          <t>TV-14</t>
        </is>
      </c>
      <c r="J298" s="19" t="inlineStr">
        <is>
          <t>129 min</t>
        </is>
      </c>
      <c r="K298" s="19" t="inlineStr">
        <is>
          <t>Dramas, International Movies, Romantic Movies</t>
        </is>
      </c>
      <c r="L298" s="19" t="inlineStr">
        <is>
          <t>Small-town Madhav falls for big-city Riya and wants her to be his girlfriend. But she views their relationship differently, and suggests a compromise.</t>
        </is>
      </c>
      <c r="M298" s="19" t="n">
        <v>2020</v>
      </c>
      <c r="N298" s="19">
        <f>IF(AND(OR(YearFilter="All",$M298=YearFilter),OR(RatingFilter="All",$I298=RatingFilter),OR(TypeFilter="All",$B298=TypeFilter),OR(GenreFilter="All",COUNTIFS(tblGenre[show_id],$A298,tblGenre[Genre],GenreFilter)&gt;0)),1,0)</f>
        <v/>
      </c>
    </row>
    <row r="299" ht="15" customHeight="1" s="20">
      <c r="A299" s="19" t="inlineStr">
        <is>
          <t>s3061</t>
        </is>
      </c>
      <c r="B299" s="19" t="inlineStr">
        <is>
          <t>Movie</t>
        </is>
      </c>
      <c r="C299" s="19" t="inlineStr">
        <is>
          <t>Ghost Stories</t>
        </is>
      </c>
      <c r="D299" s="19" t="inlineStr">
        <is>
          <t>Anurag Kashyap, Dibakar Banerjee, Karan Johar, Zoya Akhtar</t>
        </is>
      </c>
      <c r="E299" s="19" t="inlineStr">
        <is>
          <t>Janhvi Kapoor, Sobhita Dhulipala, Sukant Goel, Gulshan Devaiah, Mrunal Thakur, Avinash Tiwary, Vijay Varma, Sagar Arya, Surekha Sikri, Pavail Gulati</t>
        </is>
      </c>
      <c r="F299" s="19" t="inlineStr">
        <is>
          <t>India</t>
        </is>
      </c>
      <c r="G299" s="19" t="inlineStr">
        <is>
          <t>2020-01-01</t>
        </is>
      </c>
      <c r="H299" s="19" t="n">
        <v>2020</v>
      </c>
      <c r="I299" s="19" t="inlineStr">
        <is>
          <t>TV-MA</t>
        </is>
      </c>
      <c r="J299" s="19" t="inlineStr">
        <is>
          <t>145 min</t>
        </is>
      </c>
      <c r="K299" s="19" t="inlineStr">
        <is>
          <t>Horror Movies, International Movies, Thrillers</t>
        </is>
      </c>
      <c r="L299" s="19" t="inlineStr">
        <is>
          <t>The directors of Emmy-nominated "Lust Stories" (Zoya Akhtar, Anurag Kashyap, Dibakar Banerjee and Karan Johar) reunite for this quartet of thrillers.</t>
        </is>
      </c>
      <c r="M299" s="19" t="n">
        <v>2020</v>
      </c>
      <c r="N299" s="19">
        <f>IF(AND(OR(YearFilter="All",$M299=YearFilter),OR(RatingFilter="All",$I299=RatingFilter),OR(TypeFilter="All",$B299=TypeFilter),OR(GenreFilter="All",COUNTIFS(tblGenre[show_id],$A299,tblGenre[Genre],GenreFilter)&gt;0)),1,0)</f>
        <v/>
      </c>
    </row>
    <row r="300" ht="15" customHeight="1" s="20">
      <c r="A300" s="19" t="inlineStr">
        <is>
          <t>s3078</t>
        </is>
      </c>
      <c r="B300" s="19" t="inlineStr">
        <is>
          <t>Movie</t>
        </is>
      </c>
      <c r="C300" s="19" t="inlineStr">
        <is>
          <t>Aaviri</t>
        </is>
      </c>
      <c r="D300" s="19" t="inlineStr">
        <is>
          <t>Ravi Babu</t>
        </is>
      </c>
      <c r="E300" s="19" t="inlineStr">
        <is>
          <t>Ravi Babu, Neha Chauhan, Sri Muktha, Bharani Shankar, Mukhtar Khan, Priya</t>
        </is>
      </c>
      <c r="F300" s="19" t="inlineStr">
        <is>
          <t>India</t>
        </is>
      </c>
      <c r="G300" s="19" t="inlineStr">
        <is>
          <t>2019-12-31</t>
        </is>
      </c>
      <c r="H300" s="19" t="n">
        <v>2019</v>
      </c>
      <c r="I300" s="19" t="inlineStr">
        <is>
          <t>TV-14</t>
        </is>
      </c>
      <c r="J300" s="19" t="inlineStr">
        <is>
          <t>110 min</t>
        </is>
      </c>
      <c r="K300" s="19" t="inlineStr">
        <is>
          <t>Horror Movies, International Movies, Thrillers</t>
        </is>
      </c>
      <c r="L300" s="19" t="inlineStr">
        <is>
          <t>After losing their first child in an accident, a couple moves to a palatial home, where their young daughter comes under the spell of an eerie spirit.</t>
        </is>
      </c>
      <c r="M300" s="19" t="n">
        <v>2019</v>
      </c>
      <c r="N300" s="19">
        <f>IF(AND(OR(YearFilter="All",$M300=YearFilter),OR(RatingFilter="All",$I300=RatingFilter),OR(TypeFilter="All",$B300=TypeFilter),OR(GenreFilter="All",COUNTIFS(tblGenre[show_id],$A300,tblGenre[Genre],GenreFilter)&gt;0)),1,0)</f>
        <v/>
      </c>
    </row>
    <row r="301" ht="15" customHeight="1" s="20">
      <c r="A301" s="19" t="inlineStr">
        <is>
          <t>s3079</t>
        </is>
      </c>
      <c r="B301" s="19" t="inlineStr">
        <is>
          <t>Movie</t>
        </is>
      </c>
      <c r="C301" s="19" t="inlineStr">
        <is>
          <t>Albert Pinto Ko Gussa Kyun Aata Hai?</t>
        </is>
      </c>
      <c r="D301" s="19" t="inlineStr">
        <is>
          <t>Soumitra Ranade</t>
        </is>
      </c>
      <c r="E301" s="19" t="inlineStr">
        <is>
          <t>Nandita Das, Manav Kaul, Saurabh Shukla, Kishore Kadam, Omkar Das Manikpuri, Amarjeet Amle, Yusuf Hussain, Sushma Bakshi</t>
        </is>
      </c>
      <c r="F301" s="19" t="inlineStr">
        <is>
          <t>India</t>
        </is>
      </c>
      <c r="G301" s="19" t="inlineStr">
        <is>
          <t>2019-12-31</t>
        </is>
      </c>
      <c r="H301" s="19" t="n">
        <v>2019</v>
      </c>
      <c r="I301" s="19" t="inlineStr">
        <is>
          <t>TV-MA</t>
        </is>
      </c>
      <c r="J301" s="19" t="inlineStr">
        <is>
          <t>85 min</t>
        </is>
      </c>
      <c r="K301" s="19" t="inlineStr">
        <is>
          <t>Dramas, Independent Movies, International Movies</t>
        </is>
      </c>
      <c r="L301" s="19" t="inlineStr">
        <is>
          <t>As the police investigate his disappearance, a young man heads to Goa to carry out an act of vengeance fueled by years of pent-up anger toward society.</t>
        </is>
      </c>
      <c r="M301" s="19" t="n">
        <v>2019</v>
      </c>
      <c r="N301" s="19">
        <f>IF(AND(OR(YearFilter="All",$M301=YearFilter),OR(RatingFilter="All",$I301=RatingFilter),OR(TypeFilter="All",$B301=TypeFilter),OR(GenreFilter="All",COUNTIFS(tblGenre[show_id],$A301,tblGenre[Genre],GenreFilter)&gt;0)),1,0)</f>
        <v/>
      </c>
    </row>
    <row r="302" ht="15" customHeight="1" s="20">
      <c r="A302" s="19" t="inlineStr">
        <is>
          <t>s3127</t>
        </is>
      </c>
      <c r="B302" s="19" t="inlineStr">
        <is>
          <t>Movie</t>
        </is>
      </c>
      <c r="C302" s="19" t="inlineStr">
        <is>
          <t>Bangistan</t>
        </is>
      </c>
      <c r="D302" s="19" t="inlineStr">
        <is>
          <t>Karan Anshuman</t>
        </is>
      </c>
      <c r="E302" s="19" t="inlineStr">
        <is>
          <t>Riteish Deshmukh, Pulkit Samrat, Kumud Mishra, Chandan Roy Sanyal, Arya Babbar, Shivkumar Subramaniam, Tom Alter, Jacqueline Fernandez</t>
        </is>
      </c>
      <c r="F302" s="19" t="inlineStr">
        <is>
          <t>India</t>
        </is>
      </c>
      <c r="G302" s="19" t="inlineStr">
        <is>
          <t>2019-12-15</t>
        </is>
      </c>
      <c r="H302" s="19" t="n">
        <v>2015</v>
      </c>
      <c r="I302" s="19" t="inlineStr">
        <is>
          <t>TV-14</t>
        </is>
      </c>
      <c r="J302" s="19" t="inlineStr">
        <is>
          <t>134 min</t>
        </is>
      </c>
      <c r="K302" s="19" t="inlineStr">
        <is>
          <t>Comedies, Dramas, International Movies</t>
        </is>
      </c>
      <c r="L302" s="19" t="inlineStr">
        <is>
          <t>Sent on the same deadly international mission by their rival religious factions, two men's madcap antics along the way take them hilariously off course.</t>
        </is>
      </c>
      <c r="M302" s="19" t="n">
        <v>2019</v>
      </c>
      <c r="N302" s="19">
        <f>IF(AND(OR(YearFilter="All",$M302=YearFilter),OR(RatingFilter="All",$I302=RatingFilter),OR(TypeFilter="All",$B302=TypeFilter),OR(GenreFilter="All",COUNTIFS(tblGenre[show_id],$A302,tblGenre[Genre],GenreFilter)&gt;0)),1,0)</f>
        <v/>
      </c>
    </row>
    <row r="303" ht="15" customHeight="1" s="20">
      <c r="A303" s="19" t="inlineStr">
        <is>
          <t>s3132</t>
        </is>
      </c>
      <c r="B303" s="19" t="inlineStr">
        <is>
          <t>Movie</t>
        </is>
      </c>
      <c r="C303" s="19" t="inlineStr">
        <is>
          <t>Dil Chahta Hai</t>
        </is>
      </c>
      <c r="D303" s="19" t="inlineStr">
        <is>
          <t>Farhan Akhtar</t>
        </is>
      </c>
      <c r="E303" s="19" t="inlineStr">
        <is>
          <t>Aamir Khan, Saif Ali Khan, Akshaye Khanna, Preity Zinta, Sonali Kulkarni, Dimple Kapadia, Ayub Khan, Rajat Kapoor, Suhasini Mulay, Ahmed Khan</t>
        </is>
      </c>
      <c r="F303" s="19" t="inlineStr">
        <is>
          <t>India</t>
        </is>
      </c>
      <c r="G303" s="19" t="inlineStr">
        <is>
          <t>2019-12-15</t>
        </is>
      </c>
      <c r="H303" s="19" t="n">
        <v>2001</v>
      </c>
      <c r="I303" s="19" t="inlineStr">
        <is>
          <t>TV-14</t>
        </is>
      </c>
      <c r="J303" s="19" t="inlineStr">
        <is>
          <t>185 min</t>
        </is>
      </c>
      <c r="K303" s="19" t="inlineStr">
        <is>
          <t>Comedies, Dramas, International Movies</t>
        </is>
      </c>
      <c r="L303" s="19" t="inlineStr">
        <is>
          <t>Inseparable childhood friends Akash, Sameer and Siddharth are just out of college. Nothing comes between them – until they each fall in love.</t>
        </is>
      </c>
      <c r="M303" s="19" t="n">
        <v>2019</v>
      </c>
      <c r="N303" s="19">
        <f>IF(AND(OR(YearFilter="All",$M303=YearFilter),OR(RatingFilter="All",$I303=RatingFilter),OR(TypeFilter="All",$B303=TypeFilter),OR(GenreFilter="All",COUNTIFS(tblGenre[show_id],$A303,tblGenre[Genre],GenreFilter)&gt;0)),1,0)</f>
        <v/>
      </c>
    </row>
    <row r="304" ht="15" customHeight="1" s="20">
      <c r="A304" s="19" t="inlineStr">
        <is>
          <t>s3133</t>
        </is>
      </c>
      <c r="B304" s="19" t="inlineStr">
        <is>
          <t>Movie</t>
        </is>
      </c>
      <c r="C304" s="19" t="inlineStr">
        <is>
          <t>Dil Dhadakne Do</t>
        </is>
      </c>
      <c r="D304" s="19" t="inlineStr">
        <is>
          <t>Zoya Akhtar</t>
        </is>
      </c>
      <c r="E304" s="19" t="inlineStr">
        <is>
          <t>Anil Kapoor, Priyanka Chopra, Ranveer Singh, Anushka Sharma, Farhan Akhtar, Shefali Shah, Rahul Bose, Parmeet Sethi, Vikrant Massey, Zarina Wahab, Aamir Khan</t>
        </is>
      </c>
      <c r="F304" s="19" t="inlineStr">
        <is>
          <t>India</t>
        </is>
      </c>
      <c r="G304" s="19" t="inlineStr">
        <is>
          <t>2019-12-15</t>
        </is>
      </c>
      <c r="H304" s="19" t="n">
        <v>2015</v>
      </c>
      <c r="I304" s="19" t="inlineStr">
        <is>
          <t>TV-MA</t>
        </is>
      </c>
      <c r="J304" s="19" t="inlineStr">
        <is>
          <t>174 min</t>
        </is>
      </c>
      <c r="K304" s="19" t="inlineStr">
        <is>
          <t>Comedies, Dramas, International Movies</t>
        </is>
      </c>
      <c r="L304" s="19" t="inlineStr">
        <is>
          <t>While hosting a shipboard holiday for relatives and friends, a wealthy but dysfunctional family must face the ugly truths under their flawless facade.</t>
        </is>
      </c>
      <c r="M304" s="19" t="n">
        <v>2019</v>
      </c>
      <c r="N304" s="19">
        <f>IF(AND(OR(YearFilter="All",$M304=YearFilter),OR(RatingFilter="All",$I304=RatingFilter),OR(TypeFilter="All",$B304=TypeFilter),OR(GenreFilter="All",COUNTIFS(tblGenre[show_id],$A304,tblGenre[Genre],GenreFilter)&gt;0)),1,0)</f>
        <v/>
      </c>
    </row>
    <row r="305" ht="15" customHeight="1" s="20">
      <c r="A305" s="19" t="inlineStr">
        <is>
          <t>s3134</t>
        </is>
      </c>
      <c r="B305" s="19" t="inlineStr">
        <is>
          <t>Movie</t>
        </is>
      </c>
      <c r="C305" s="19" t="inlineStr">
        <is>
          <t>Don</t>
        </is>
      </c>
      <c r="D305" s="19" t="inlineStr">
        <is>
          <t>Farhan Akhtar</t>
        </is>
      </c>
      <c r="E305" s="19" t="inlineStr">
        <is>
          <t>Shah Rukh Khan, Priyanka Chopra, Arjun Rampal, Isha Koppikar, Kareena Kapoor, Boman Irani, Om Puri, Pavan Malhotra</t>
        </is>
      </c>
      <c r="F305" s="19" t="inlineStr">
        <is>
          <t>India</t>
        </is>
      </c>
      <c r="G305" s="19" t="inlineStr">
        <is>
          <t>2019-12-15</t>
        </is>
      </c>
      <c r="H305" s="19" t="n">
        <v>2006</v>
      </c>
      <c r="I305" s="19" t="inlineStr">
        <is>
          <t>TV-14</t>
        </is>
      </c>
      <c r="J305" s="19" t="inlineStr">
        <is>
          <t>169 min</t>
        </is>
      </c>
      <c r="K305" s="19" t="inlineStr">
        <is>
          <t>Action &amp; Adventure, International Movies</t>
        </is>
      </c>
      <c r="L305" s="19" t="inlineStr">
        <is>
          <t>A ruthless crime boss and drug lord is nabbed and held captive by the authorities, who send his naïve look-alike to infiltrate the man's gang.</t>
        </is>
      </c>
      <c r="M305" s="19" t="n">
        <v>2019</v>
      </c>
      <c r="N305" s="19">
        <f>IF(AND(OR(YearFilter="All",$M305=YearFilter),OR(RatingFilter="All",$I305=RatingFilter),OR(TypeFilter="All",$B305=TypeFilter),OR(GenreFilter="All",COUNTIFS(tblGenre[show_id],$A305,tblGenre[Genre],GenreFilter)&gt;0)),1,0)</f>
        <v/>
      </c>
    </row>
    <row r="306" ht="15" customHeight="1" s="20">
      <c r="A306" s="19" t="inlineStr">
        <is>
          <t>s3135</t>
        </is>
      </c>
      <c r="B306" s="19" t="inlineStr">
        <is>
          <t>Movie</t>
        </is>
      </c>
      <c r="C306" s="19" t="inlineStr">
        <is>
          <t>Don 2</t>
        </is>
      </c>
      <c r="D306" s="19" t="inlineStr">
        <is>
          <t>Farhan Akhtar</t>
        </is>
      </c>
      <c r="E306" s="19" t="inlineStr">
        <is>
          <t>Shah Rukh Khan, Priyanka Chopra, Boman Irani, Lara Dutta, Kunal Kapoor, Om Puri, Alyy Khan, Nawab Shah</t>
        </is>
      </c>
      <c r="F306" s="19" t="inlineStr">
        <is>
          <t>India, Germany</t>
        </is>
      </c>
      <c r="G306" s="19" t="inlineStr">
        <is>
          <t>2019-12-15</t>
        </is>
      </c>
      <c r="H306" s="19" t="n">
        <v>2011</v>
      </c>
      <c r="I306" s="19" t="inlineStr">
        <is>
          <t>TV-14</t>
        </is>
      </c>
      <c r="J306" s="19" t="inlineStr">
        <is>
          <t>148 min</t>
        </is>
      </c>
      <c r="K306" s="19" t="inlineStr">
        <is>
          <t>Action &amp; Adventure, International Movies, Music &amp; Musicals</t>
        </is>
      </c>
      <c r="L306" s="19" t="inlineStr">
        <is>
          <t>With Asia under his complete control, criminal mastermind Don turns to Europe, battling the mob bosses of each nation along the way.</t>
        </is>
      </c>
      <c r="M306" s="19" t="n">
        <v>2019</v>
      </c>
      <c r="N306" s="19">
        <f>IF(AND(OR(YearFilter="All",$M306=YearFilter),OR(RatingFilter="All",$I306=RatingFilter),OR(TypeFilter="All",$B306=TypeFilter),OR(GenreFilter="All",COUNTIFS(tblGenre[show_id],$A306,tblGenre[Genre],GenreFilter)&gt;0)),1,0)</f>
        <v/>
      </c>
    </row>
    <row r="307" ht="15" customHeight="1" s="20">
      <c r="A307" s="19" t="inlineStr">
        <is>
          <t>s3136</t>
        </is>
      </c>
      <c r="B307" s="19" t="inlineStr">
        <is>
          <t>Movie</t>
        </is>
      </c>
      <c r="C307" s="19" t="inlineStr">
        <is>
          <t>Fukrey</t>
        </is>
      </c>
      <c r="D307" s="19" t="inlineStr">
        <is>
          <t>Mrighdeep Singh Lamba</t>
        </is>
      </c>
      <c r="E307" s="19" t="inlineStr">
        <is>
          <t>Pulkit Samrat, Manjot Singh, Ali Fazal, Varun Sharma, Richa Chadda, Priya Anand, Vishakha Singh, Pankaj Tripathi</t>
        </is>
      </c>
      <c r="F307" s="19" t="inlineStr">
        <is>
          <t>India</t>
        </is>
      </c>
      <c r="G307" s="19" t="inlineStr">
        <is>
          <t>2019-12-15</t>
        </is>
      </c>
      <c r="H307" s="19" t="n">
        <v>2013</v>
      </c>
      <c r="I307" s="19" t="inlineStr">
        <is>
          <t>TV-14</t>
        </is>
      </c>
      <c r="J307" s="19" t="inlineStr">
        <is>
          <t>135 min</t>
        </is>
      </c>
      <c r="K307" s="19" t="inlineStr">
        <is>
          <t>Action &amp; Adventure, Comedies, Dramas</t>
        </is>
      </c>
      <c r="L307" s="19" t="inlineStr">
        <is>
          <t>Four young male friends tackle the challenges and unexpected catastrophes of growing up clueless in this music-packed Bollywood teen drama.</t>
        </is>
      </c>
      <c r="M307" s="19" t="n">
        <v>2019</v>
      </c>
      <c r="N307" s="19">
        <f>IF(AND(OR(YearFilter="All",$M307=YearFilter),OR(RatingFilter="All",$I307=RatingFilter),OR(TypeFilter="All",$B307=TypeFilter),OR(GenreFilter="All",COUNTIFS(tblGenre[show_id],$A307,tblGenre[Genre],GenreFilter)&gt;0)),1,0)</f>
        <v/>
      </c>
    </row>
    <row r="308" ht="15" customHeight="1" s="20">
      <c r="A308" s="19" t="inlineStr">
        <is>
          <t>s3137</t>
        </is>
      </c>
      <c r="B308" s="19" t="inlineStr">
        <is>
          <t>Movie</t>
        </is>
      </c>
      <c r="C308" s="19" t="inlineStr">
        <is>
          <t>Game</t>
        </is>
      </c>
      <c r="D308" s="19" t="inlineStr">
        <is>
          <t>Abhinay Deo</t>
        </is>
      </c>
      <c r="E308" s="19" t="inlineStr">
        <is>
          <t>Abhishek Bachchan, Kangana Ranaut, Anupam Kher, Boman Irani, Jimmy Shergill, Shahana Goswami, Gauhar Khan, Sarah-Jane Dias</t>
        </is>
      </c>
      <c r="F308" s="19" t="inlineStr">
        <is>
          <t>India</t>
        </is>
      </c>
      <c r="G308" s="19" t="inlineStr">
        <is>
          <t>2019-12-15</t>
        </is>
      </c>
      <c r="H308" s="19" t="n">
        <v>2011</v>
      </c>
      <c r="I308" s="19" t="inlineStr">
        <is>
          <t>TV-14</t>
        </is>
      </c>
      <c r="J308" s="19" t="inlineStr">
        <is>
          <t>135 min</t>
        </is>
      </c>
      <c r="K308" s="19" t="inlineStr">
        <is>
          <t>International Movies, Thrillers</t>
        </is>
      </c>
      <c r="L308" s="19" t="inlineStr">
        <is>
          <t>A tycoon accuses three strangers of killing his daughter but mysteriously dies before he can expose them, sparking a tangled hunt for the real culprit.</t>
        </is>
      </c>
      <c r="M308" s="19" t="n">
        <v>2019</v>
      </c>
      <c r="N308" s="19">
        <f>IF(AND(OR(YearFilter="All",$M308=YearFilter),OR(RatingFilter="All",$I308=RatingFilter),OR(TypeFilter="All",$B308=TypeFilter),OR(GenreFilter="All",COUNTIFS(tblGenre[show_id],$A308,tblGenre[Genre],GenreFilter)&gt;0)),1,0)</f>
        <v/>
      </c>
    </row>
    <row r="309" ht="15" customHeight="1" s="20">
      <c r="A309" s="19" t="inlineStr">
        <is>
          <t>s3140</t>
        </is>
      </c>
      <c r="B309" s="19" t="inlineStr">
        <is>
          <t>Movie</t>
        </is>
      </c>
      <c r="C309" s="19" t="inlineStr">
        <is>
          <t>Honeymoon Travels Pvt. Ltd.</t>
        </is>
      </c>
      <c r="D309" s="19" t="inlineStr">
        <is>
          <t>Reema Kagti</t>
        </is>
      </c>
      <c r="E309" s="19" t="inlineStr">
        <is>
          <t>Shabana Azmi, Boman Irani, Abhay Deol, Minissha Lamba, Kay Kay Menon, Raima Sen, Sandhya Mridul, Vikram Chatwal, Ameesha Patel, Karan Khanna, Diya Mirza, Ranvir Shorey</t>
        </is>
      </c>
      <c r="F309" s="19" t="inlineStr">
        <is>
          <t>India</t>
        </is>
      </c>
      <c r="G309" s="19" t="inlineStr">
        <is>
          <t>2019-12-15</t>
        </is>
      </c>
      <c r="H309" s="19" t="n">
        <v>2007</v>
      </c>
      <c r="I309" s="19" t="inlineStr">
        <is>
          <t>TV-14</t>
        </is>
      </c>
      <c r="J309" s="19" t="inlineStr">
        <is>
          <t>119 min</t>
        </is>
      </c>
      <c r="K309" s="19" t="inlineStr">
        <is>
          <t>Comedies, Dramas, International Movies</t>
        </is>
      </c>
      <c r="L309" s="19" t="inlineStr">
        <is>
          <t>This offbeat comedy-drama follows six quirky newlywed couples as they set off on a bus from Mumbai to Goa on their honeymoons.</t>
        </is>
      </c>
      <c r="M309" s="19" t="n">
        <v>2019</v>
      </c>
      <c r="N309" s="19">
        <f>IF(AND(OR(YearFilter="All",$M309=YearFilter),OR(RatingFilter="All",$I309=RatingFilter),OR(TypeFilter="All",$B309=TypeFilter),OR(GenreFilter="All",COUNTIFS(tblGenre[show_id],$A309,tblGenre[Genre],GenreFilter)&gt;0)),1,0)</f>
        <v/>
      </c>
    </row>
    <row r="310" ht="15" customHeight="1" s="20">
      <c r="A310" s="19" t="inlineStr">
        <is>
          <t>s3142</t>
        </is>
      </c>
      <c r="B310" s="19" t="inlineStr">
        <is>
          <t>Movie</t>
        </is>
      </c>
      <c r="C310" s="19" t="inlineStr">
        <is>
          <t>Karthik Calling Karthik</t>
        </is>
      </c>
      <c r="D310" s="19" t="inlineStr">
        <is>
          <t>Vijay Lalwani</t>
        </is>
      </c>
      <c r="E310" s="19" t="inlineStr">
        <is>
          <t>Farhan Akhtar, Deepika Padukone, Ram Kapoor, Vivan Bhatena, Vipin Sharma, Yatin Karyekar, Shefali Shah</t>
        </is>
      </c>
      <c r="F310" s="19" t="inlineStr">
        <is>
          <t>India</t>
        </is>
      </c>
      <c r="G310" s="19" t="inlineStr">
        <is>
          <t>2019-12-15</t>
        </is>
      </c>
      <c r="H310" s="19" t="n">
        <v>2010</v>
      </c>
      <c r="I310" s="19" t="inlineStr">
        <is>
          <t>TV-14</t>
        </is>
      </c>
      <c r="J310" s="19" t="inlineStr">
        <is>
          <t>135 min</t>
        </is>
      </c>
      <c r="K310" s="19" t="inlineStr">
        <is>
          <t>Dramas, International Movies, Thrillers</t>
        </is>
      </c>
      <c r="L310" s="19" t="inlineStr">
        <is>
          <t>Unlucky in love and bullied at work, an office drone is resigned to his dead-end life until it’s transformed by mysterious calls from … himself.</t>
        </is>
      </c>
      <c r="M310" s="19" t="n">
        <v>2019</v>
      </c>
      <c r="N310" s="19">
        <f>IF(AND(OR(YearFilter="All",$M310=YearFilter),OR(RatingFilter="All",$I310=RatingFilter),OR(TypeFilter="All",$B310=TypeFilter),OR(GenreFilter="All",COUNTIFS(tblGenre[show_id],$A310,tblGenre[Genre],GenreFilter)&gt;0)),1,0)</f>
        <v/>
      </c>
    </row>
    <row r="311" ht="15" customHeight="1" s="20">
      <c r="A311" s="19" t="inlineStr">
        <is>
          <t>s3143</t>
        </is>
      </c>
      <c r="B311" s="19" t="inlineStr">
        <is>
          <t>Movie</t>
        </is>
      </c>
      <c r="C311" s="19" t="inlineStr">
        <is>
          <t>Lakshya</t>
        </is>
      </c>
      <c r="D311" s="19" t="inlineStr">
        <is>
          <t>Farhan Akhtar</t>
        </is>
      </c>
      <c r="E311" s="19" t="inlineStr">
        <is>
          <t>Amitabh Bachchan, Hrithik Roshan, Preity Zinta, Om Puri, Sharad Kapoor, Rajendranath Zutshi, Sushant Singh, Prashant Chainani, Shakeel Khan, Ranvir Shorey</t>
        </is>
      </c>
      <c r="F311" s="19" t="inlineStr">
        <is>
          <t>India</t>
        </is>
      </c>
      <c r="G311" s="19" t="inlineStr">
        <is>
          <t>2019-12-15</t>
        </is>
      </c>
      <c r="H311" s="19" t="n">
        <v>2004</v>
      </c>
      <c r="I311" s="19" t="inlineStr">
        <is>
          <t>TV-PG</t>
        </is>
      </c>
      <c r="J311" s="19" t="inlineStr">
        <is>
          <t>185 min</t>
        </is>
      </c>
      <c r="K311" s="19" t="inlineStr">
        <is>
          <t>Action &amp; Adventure, Dramas, International Movies</t>
        </is>
      </c>
      <c r="L311" s="19" t="inlineStr">
        <is>
          <t>After dropping out of the army, a spoiled teenager reenlists and proves his mettle by becoming an officer just as war breaks out.</t>
        </is>
      </c>
      <c r="M311" s="19" t="n">
        <v>2019</v>
      </c>
      <c r="N311" s="19">
        <f>IF(AND(OR(YearFilter="All",$M311=YearFilter),OR(RatingFilter="All",$I311=RatingFilter),OR(TypeFilter="All",$B311=TypeFilter),OR(GenreFilter="All",COUNTIFS(tblGenre[show_id],$A311,tblGenre[Genre],GenreFilter)&gt;0)),1,0)</f>
        <v/>
      </c>
    </row>
    <row r="312" ht="15" customHeight="1" s="20">
      <c r="A312" s="19" t="inlineStr">
        <is>
          <t>s3144</t>
        </is>
      </c>
      <c r="B312" s="19" t="inlineStr">
        <is>
          <t>Movie</t>
        </is>
      </c>
      <c r="C312" s="19" t="inlineStr">
        <is>
          <t>Luck by Chance</t>
        </is>
      </c>
      <c r="D312" s="19" t="inlineStr">
        <is>
          <t>Zoya Akhtar</t>
        </is>
      </c>
      <c r="E312" s="19" t="inlineStr">
        <is>
          <t>Farhan Akhtar, Konkona Sen Sharma, Rishi Kapoor, Dimple Kapadia, Isha Sharvani, Sanjay Kapoor, Juhi Chawla, Hrithik Roshan, Alyy Khan, Sheeba Chaddha</t>
        </is>
      </c>
      <c r="F312" s="19" t="inlineStr">
        <is>
          <t>India</t>
        </is>
      </c>
      <c r="G312" s="19" t="inlineStr">
        <is>
          <t>2019-12-15</t>
        </is>
      </c>
      <c r="H312" s="19" t="n">
        <v>2009</v>
      </c>
      <c r="I312" s="19" t="inlineStr">
        <is>
          <t>TV-14</t>
        </is>
      </c>
      <c r="J312" s="19" t="inlineStr">
        <is>
          <t>156 min</t>
        </is>
      </c>
      <c r="K312" s="19" t="inlineStr">
        <is>
          <t>Dramas, International Movies, Romantic Movies</t>
        </is>
      </c>
      <c r="L312" s="19" t="inlineStr">
        <is>
          <t>When Vikram gets tapped to play the male lead in a Bollywood film, he can't believe his luck. But it may ruin his relationship with his girlfriend.</t>
        </is>
      </c>
      <c r="M312" s="19" t="n">
        <v>2019</v>
      </c>
      <c r="N312" s="19">
        <f>IF(AND(OR(YearFilter="All",$M312=YearFilter),OR(RatingFilter="All",$I312=RatingFilter),OR(TypeFilter="All",$B312=TypeFilter),OR(GenreFilter="All",COUNTIFS(tblGenre[show_id],$A312,tblGenre[Genre],GenreFilter)&gt;0)),1,0)</f>
        <v/>
      </c>
    </row>
    <row r="313" ht="15" customHeight="1" s="20">
      <c r="A313" s="19" t="inlineStr">
        <is>
          <t>s3146</t>
        </is>
      </c>
      <c r="B313" s="19" t="inlineStr">
        <is>
          <t>Movie</t>
        </is>
      </c>
      <c r="C313" s="19" t="inlineStr">
        <is>
          <t>Rock On!!</t>
        </is>
      </c>
      <c r="D313" s="19" t="inlineStr">
        <is>
          <t>Abhishek Kapoor</t>
        </is>
      </c>
      <c r="E313" s="19" t="inlineStr">
        <is>
          <t>Farhan Akhtar, Arjun Rampal, Purab Kohli, Luke Kenny, Prachi Desai, Shahana Goswami, Koel Purie</t>
        </is>
      </c>
      <c r="F313" s="19" t="inlineStr">
        <is>
          <t>India</t>
        </is>
      </c>
      <c r="G313" s="19" t="inlineStr">
        <is>
          <t>2019-12-15</t>
        </is>
      </c>
      <c r="H313" s="19" t="n">
        <v>2008</v>
      </c>
      <c r="I313" s="19" t="inlineStr">
        <is>
          <t>TV-14</t>
        </is>
      </c>
      <c r="J313" s="19" t="inlineStr">
        <is>
          <t>139 min</t>
        </is>
      </c>
      <c r="K313" s="19" t="inlineStr">
        <is>
          <t>Dramas, International Movies, Music &amp; Musicals</t>
        </is>
      </c>
      <c r="L313" s="19" t="inlineStr">
        <is>
          <t>Four friends hoped that their rock band would be a hit. After breaking up, the band members reunite and take another shot at fulfilling their dream.</t>
        </is>
      </c>
      <c r="M313" s="19" t="n">
        <v>2019</v>
      </c>
      <c r="N313" s="19">
        <f>IF(AND(OR(YearFilter="All",$M313=YearFilter),OR(RatingFilter="All",$I313=RatingFilter),OR(TypeFilter="All",$B313=TypeFilter),OR(GenreFilter="All",COUNTIFS(tblGenre[show_id],$A313,tblGenre[Genre],GenreFilter)&gt;0)),1,0)</f>
        <v/>
      </c>
    </row>
    <row r="314" ht="15" customHeight="1" s="20">
      <c r="A314" s="19" t="inlineStr">
        <is>
          <t>s3148</t>
        </is>
      </c>
      <c r="B314" s="19" t="inlineStr">
        <is>
          <t>Movie</t>
        </is>
      </c>
      <c r="C314" s="19" t="inlineStr">
        <is>
          <t>Talaash</t>
        </is>
      </c>
      <c r="D314" s="19" t="inlineStr">
        <is>
          <t>Reema Kagti</t>
        </is>
      </c>
      <c r="E314" s="19" t="inlineStr">
        <is>
          <t>Aamir Khan, Rani Mukerji, Kareena Kapoor, Nawazuddin Siddiqui, Shernaz Patel, Sheeba Chaddha</t>
        </is>
      </c>
      <c r="F314" s="19" t="inlineStr">
        <is>
          <t>India</t>
        </is>
      </c>
      <c r="G314" s="19" t="inlineStr">
        <is>
          <t>2019-12-15</t>
        </is>
      </c>
      <c r="H314" s="19" t="n">
        <v>2012</v>
      </c>
      <c r="I314" s="19" t="inlineStr">
        <is>
          <t>TV-14</t>
        </is>
      </c>
      <c r="J314" s="19" t="inlineStr">
        <is>
          <t>140 min</t>
        </is>
      </c>
      <c r="K314" s="19" t="inlineStr">
        <is>
          <t>Dramas, International Movies, Thrillers</t>
        </is>
      </c>
      <c r="L314" s="19" t="inlineStr">
        <is>
          <t>Set in the jumbled landscape of Mumbai, this mystery drama centers on a police inspector who's trying to cope with the collapse of his marriage.</t>
        </is>
      </c>
      <c r="M314" s="19" t="n">
        <v>2019</v>
      </c>
      <c r="N314" s="19">
        <f>IF(AND(OR(YearFilter="All",$M314=YearFilter),OR(RatingFilter="All",$I314=RatingFilter),OR(TypeFilter="All",$B314=TypeFilter),OR(GenreFilter="All",COUNTIFS(tblGenre[show_id],$A314,tblGenre[Genre],GenreFilter)&gt;0)),1,0)</f>
        <v/>
      </c>
    </row>
    <row r="315" ht="15" customHeight="1" s="20">
      <c r="A315" s="19" t="inlineStr">
        <is>
          <t>s3150</t>
        </is>
      </c>
      <c r="B315" s="19" t="inlineStr">
        <is>
          <t>Movie</t>
        </is>
      </c>
      <c r="C315" s="19" t="inlineStr">
        <is>
          <t>Zindagi Na Milegi Dobara</t>
        </is>
      </c>
      <c r="D315" s="19" t="inlineStr">
        <is>
          <t>Zoya Akhtar</t>
        </is>
      </c>
      <c r="E315" s="19" t="inlineStr">
        <is>
          <t>Hrithik Roshan, Abhay Deol, Farhan Akhtar, Katrina Kaif, Kalki Koechlin, Deepti Naval, Naseeruddin Shah, Ariadna Cabrol</t>
        </is>
      </c>
      <c r="F315" s="19" t="inlineStr">
        <is>
          <t>India</t>
        </is>
      </c>
      <c r="G315" s="19" t="inlineStr">
        <is>
          <t>2019-12-15</t>
        </is>
      </c>
      <c r="H315" s="19" t="n">
        <v>2011</v>
      </c>
      <c r="I315" s="19" t="inlineStr">
        <is>
          <t>TV-14</t>
        </is>
      </c>
      <c r="J315" s="19" t="inlineStr">
        <is>
          <t>154 min</t>
        </is>
      </c>
      <c r="K315" s="19" t="inlineStr">
        <is>
          <t>Comedies, Dramas, International Movies</t>
        </is>
      </c>
      <c r="L315" s="19" t="inlineStr">
        <is>
          <t>Three friends on an adventurous road trip/bachelor party in Spain learn some lessons about themselves and each other that will change them forever.</t>
        </is>
      </c>
      <c r="M315" s="19" t="n">
        <v>2019</v>
      </c>
      <c r="N315" s="19">
        <f>IF(AND(OR(YearFilter="All",$M315=YearFilter),OR(RatingFilter="All",$I315=RatingFilter),OR(TypeFilter="All",$B315=TypeFilter),OR(GenreFilter="All",COUNTIFS(tblGenre[show_id],$A315,tblGenre[Genre],GenreFilter)&gt;0)),1,0)</f>
        <v/>
      </c>
    </row>
    <row r="316" ht="15" customHeight="1" s="20">
      <c r="A316" s="19" t="inlineStr">
        <is>
          <t>s3159</t>
        </is>
      </c>
      <c r="B316" s="19" t="inlineStr">
        <is>
          <t>Movie</t>
        </is>
      </c>
      <c r="C316" s="19" t="inlineStr">
        <is>
          <t>The Sky Is Pink</t>
        </is>
      </c>
      <c r="D316" s="19" t="inlineStr">
        <is>
          <t>Shonali Bose</t>
        </is>
      </c>
      <c r="E316" s="19" t="inlineStr">
        <is>
          <t>Rohit Saraf, Zaira Wasim, Farhan Akhtar, Priyanka Chopra</t>
        </is>
      </c>
      <c r="F316" s="19" t="inlineStr">
        <is>
          <t>India, United Kingdom, Canada, United States</t>
        </is>
      </c>
      <c r="G316" s="19" t="inlineStr">
        <is>
          <t>2019-12-11</t>
        </is>
      </c>
      <c r="H316" s="19" t="n">
        <v>2019</v>
      </c>
      <c r="I316" s="19" t="inlineStr">
        <is>
          <t>TV-MA</t>
        </is>
      </c>
      <c r="J316" s="19" t="inlineStr">
        <is>
          <t>143 min</t>
        </is>
      </c>
      <c r="K316" s="19" t="inlineStr">
        <is>
          <t>Dramas, International Movies</t>
        </is>
      </c>
      <c r="L316" s="19" t="inlineStr">
        <is>
          <t>After succumbing to her terminal illness, a teenager posthumously narrates her parents’ tenacious relationship in this drama based on a true story.</t>
        </is>
      </c>
      <c r="M316" s="19" t="n">
        <v>2019</v>
      </c>
      <c r="N316" s="19">
        <f>IF(AND(OR(YearFilter="All",$M316=YearFilter),OR(RatingFilter="All",$I316=RatingFilter),OR(TypeFilter="All",$B316=TypeFilter),OR(GenreFilter="All",COUNTIFS(tblGenre[show_id],$A316,tblGenre[Genre],GenreFilter)&gt;0)),1,0)</f>
        <v/>
      </c>
    </row>
    <row r="317" ht="15" customHeight="1" s="20">
      <c r="A317" s="19" t="inlineStr">
        <is>
          <t>s3164</t>
        </is>
      </c>
      <c r="B317" s="19" t="inlineStr">
        <is>
          <t>Movie</t>
        </is>
      </c>
      <c r="C317" s="19" t="inlineStr">
        <is>
          <t>Saaho</t>
        </is>
      </c>
      <c r="D317" s="19" t="inlineStr">
        <is>
          <t>Sujeeth</t>
        </is>
      </c>
      <c r="E317" s="19" t="inlineStr">
        <is>
          <t>Prabhas, Shraddha Kapoor, Jackie Shroff, Chunky Pandey, Neil Nitin Mukesh, Arun Vijay, Vennela Kishore, Murli Sharma, Lal, Prakash Belawadi, Mahesh Manjrekar, Tinnu Anand</t>
        </is>
      </c>
      <c r="F317" s="19" t="inlineStr">
        <is>
          <t>India</t>
        </is>
      </c>
      <c r="G317" s="19" t="inlineStr">
        <is>
          <t>2019-12-08</t>
        </is>
      </c>
      <c r="H317" s="19" t="n">
        <v>2019</v>
      </c>
      <c r="I317" s="19" t="inlineStr">
        <is>
          <t>TV-14</t>
        </is>
      </c>
      <c r="J317" s="19" t="inlineStr">
        <is>
          <t>172 min</t>
        </is>
      </c>
      <c r="K317" s="19" t="inlineStr">
        <is>
          <t>Action &amp; Adventure, International Movies</t>
        </is>
      </c>
      <c r="L317" s="19" t="inlineStr">
        <is>
          <t>In a fictional megalopolis, a stunning underworld theft triggers a fierce power struggle among the gangsters, with an enigmatic cop on their trail.</t>
        </is>
      </c>
      <c r="M317" s="19" t="n">
        <v>2019</v>
      </c>
      <c r="N317" s="19">
        <f>IF(AND(OR(YearFilter="All",$M317=YearFilter),OR(RatingFilter="All",$I317=RatingFilter),OR(TypeFilter="All",$B317=TypeFilter),OR(GenreFilter="All",COUNTIFS(tblGenre[show_id],$A317,tblGenre[Genre],GenreFilter)&gt;0)),1,0)</f>
        <v/>
      </c>
    </row>
    <row r="318" ht="15" customHeight="1" s="20">
      <c r="A318" s="19" t="inlineStr">
        <is>
          <t>s3190</t>
        </is>
      </c>
      <c r="B318" s="19" t="inlineStr">
        <is>
          <t>Movie</t>
        </is>
      </c>
      <c r="C318" s="19" t="inlineStr">
        <is>
          <t>Baby Dolls</t>
        </is>
      </c>
      <c r="D318" s="19" t="inlineStr">
        <is>
          <t>Vijay Kumar Arora</t>
        </is>
      </c>
      <c r="E318" s="19" t="inlineStr">
        <is>
          <t>Nirmal Rishi, Sonam Bajwa, Sukhwinder Chahal, Tania, Gurnam Bhullar</t>
        </is>
      </c>
      <c r="F318" s="19" t="inlineStr">
        <is>
          <t>India</t>
        </is>
      </c>
      <c r="G318" s="19" t="inlineStr">
        <is>
          <t>2019-12-01</t>
        </is>
      </c>
      <c r="H318" s="19" t="n">
        <v>2019</v>
      </c>
      <c r="I318" s="19" t="inlineStr">
        <is>
          <t>TV-PG</t>
        </is>
      </c>
      <c r="J318" s="19" t="inlineStr">
        <is>
          <t>127 min</t>
        </is>
      </c>
      <c r="K318" s="19" t="inlineStr">
        <is>
          <t>Comedies, International Movies, Romantic Movies</t>
        </is>
      </c>
      <c r="L318" s="19" t="inlineStr">
        <is>
          <t>When two sisters travel from Canada to Punjab to visit their maternal family, they discover an opportunity to mend a broken bond with their grandmother.</t>
        </is>
      </c>
      <c r="M318" s="19" t="n">
        <v>2019</v>
      </c>
      <c r="N318" s="19">
        <f>IF(AND(OR(YearFilter="All",$M318=YearFilter),OR(RatingFilter="All",$I318=RatingFilter),OR(TypeFilter="All",$B318=TypeFilter),OR(GenreFilter="All",COUNTIFS(tblGenre[show_id],$A318,tblGenre[Genre],GenreFilter)&gt;0)),1,0)</f>
        <v/>
      </c>
    </row>
    <row r="319" ht="15" customHeight="1" s="20">
      <c r="A319" s="19" t="inlineStr">
        <is>
          <t>s3194</t>
        </is>
      </c>
      <c r="B319" s="19" t="inlineStr">
        <is>
          <t>Movie</t>
        </is>
      </c>
      <c r="C319" s="19" t="inlineStr">
        <is>
          <t>High End Yaariyan</t>
        </is>
      </c>
      <c r="D319" s="19" t="inlineStr">
        <is>
          <t>Pankaj Batra</t>
        </is>
      </c>
      <c r="E319" s="19" t="inlineStr">
        <is>
          <t>Ninja, Ranjit Bawa, Jassi Gill, Musskan Sethi, Navneet Kaur Dhillon, Neet Mahal, Aarushi Sharma</t>
        </is>
      </c>
      <c r="F319" s="19" t="inlineStr">
        <is>
          <t>India</t>
        </is>
      </c>
      <c r="G319" s="19" t="inlineStr">
        <is>
          <t>2019-12-01</t>
        </is>
      </c>
      <c r="H319" s="19" t="n">
        <v>2019</v>
      </c>
      <c r="I319" s="19" t="inlineStr">
        <is>
          <t>TV-14</t>
        </is>
      </c>
      <c r="J319" s="19" t="inlineStr">
        <is>
          <t>120 min</t>
        </is>
      </c>
      <c r="K319" s="19" t="inlineStr">
        <is>
          <t>Comedies, International Movies, Romantic Movies</t>
        </is>
      </c>
      <c r="L319" s="19" t="inlineStr">
        <is>
          <t>From romantic pursuits to their friendship, a trio of young men navigate the complexities of relationships while sharing a London apartment.</t>
        </is>
      </c>
      <c r="M319" s="19" t="n">
        <v>2019</v>
      </c>
      <c r="N319" s="19">
        <f>IF(AND(OR(YearFilter="All",$M319=YearFilter),OR(RatingFilter="All",$I319=RatingFilter),OR(TypeFilter="All",$B319=TypeFilter),OR(GenreFilter="All",COUNTIFS(tblGenre[show_id],$A319,tblGenre[Genre],GenreFilter)&gt;0)),1,0)</f>
        <v/>
      </c>
    </row>
    <row r="320" ht="15" customHeight="1" s="20">
      <c r="A320" s="19" t="inlineStr">
        <is>
          <t>s3196</t>
        </is>
      </c>
      <c r="B320" s="19" t="inlineStr">
        <is>
          <t>Movie</t>
        </is>
      </c>
      <c r="C320" s="19" t="inlineStr">
        <is>
          <t>Jindua</t>
        </is>
      </c>
      <c r="D320" s="19" t="inlineStr">
        <is>
          <t>Navaniat Singh</t>
        </is>
      </c>
      <c r="E320" s="19" t="inlineStr">
        <is>
          <t>Jimmy Shergill, Sargun Mehta, Neeru Bajwa, Bhavkhandan Singh Rakhra, Arkie Kandola, Nina Rehill, Rajiv Thakur, Harjap Singh Bhangal, Balinder Johal, Carolyn Bridget Kennedy, Sonia Dhillon, Jimmy Sheirgill</t>
        </is>
      </c>
      <c r="F320" s="19" t="inlineStr">
        <is>
          <t>India</t>
        </is>
      </c>
      <c r="G320" s="19" t="inlineStr">
        <is>
          <t>2019-12-01</t>
        </is>
      </c>
      <c r="H320" s="19" t="n">
        <v>2017</v>
      </c>
      <c r="I320" s="19" t="inlineStr">
        <is>
          <t>TV-14</t>
        </is>
      </c>
      <c r="J320" s="19" t="inlineStr">
        <is>
          <t>135 min</t>
        </is>
      </c>
      <c r="K320" s="19" t="inlineStr">
        <is>
          <t>Dramas, International Movies, Romantic Movies</t>
        </is>
      </c>
      <c r="L320" s="19" t="inlineStr">
        <is>
          <t>An Indian man in Canada marries a local citizen to legalize his immigration status. The only problem? His girlfriend isn't thrilled about his new wife.</t>
        </is>
      </c>
      <c r="M320" s="19" t="n">
        <v>2019</v>
      </c>
      <c r="N320" s="19">
        <f>IF(AND(OR(YearFilter="All",$M320=YearFilter),OR(RatingFilter="All",$I320=RatingFilter),OR(TypeFilter="All",$B320=TypeFilter),OR(GenreFilter="All",COUNTIFS(tblGenre[show_id],$A320,tblGenre[Genre],GenreFilter)&gt;0)),1,0)</f>
        <v/>
      </c>
    </row>
    <row r="321" ht="15" customHeight="1" s="20">
      <c r="A321" s="19" t="inlineStr">
        <is>
          <t>s3197</t>
        </is>
      </c>
      <c r="B321" s="19" t="inlineStr">
        <is>
          <t>Movie</t>
        </is>
      </c>
      <c r="C321" s="19" t="inlineStr">
        <is>
          <t>Lakeeran</t>
        </is>
      </c>
      <c r="E321" s="19" t="inlineStr">
        <is>
          <t>Harman Virk, Yuvika Chaudhry, Nirmal Rishi, Shavinder Mahal, B.N. Sharma, Anita Meet, Poonam Sood, B.B. Verma, Satwant Kaur, Gurinder Rai</t>
        </is>
      </c>
      <c r="F321" s="19" t="inlineStr">
        <is>
          <t>India</t>
        </is>
      </c>
      <c r="G321" s="19" t="inlineStr">
        <is>
          <t>2019-12-01</t>
        </is>
      </c>
      <c r="H321" s="19" t="n">
        <v>2016</v>
      </c>
      <c r="I321" s="19" t="inlineStr">
        <is>
          <t>TV-PG</t>
        </is>
      </c>
      <c r="J321" s="19" t="inlineStr">
        <is>
          <t>111 min</t>
        </is>
      </c>
      <c r="K321" s="19" t="inlineStr">
        <is>
          <t>Dramas, International Movies, Romantic Movies</t>
        </is>
      </c>
      <c r="L321" s="19" t="inlineStr">
        <is>
          <t>Guilt-ridden over his involvement in a fatal car accident, a young ex-pat returns to Punjab, falling for a woman who carries traumas of her own.</t>
        </is>
      </c>
      <c r="M321" s="19" t="n">
        <v>2019</v>
      </c>
      <c r="N321" s="19">
        <f>IF(AND(OR(YearFilter="All",$M321=YearFilter),OR(RatingFilter="All",$I321=RatingFilter),OR(TypeFilter="All",$B321=TypeFilter),OR(GenreFilter="All",COUNTIFS(tblGenre[show_id],$A321,tblGenre[Genre],GenreFilter)&gt;0)),1,0)</f>
        <v/>
      </c>
    </row>
    <row r="322" ht="15" customHeight="1" s="20">
      <c r="A322" s="19" t="inlineStr">
        <is>
          <t>s3199</t>
        </is>
      </c>
      <c r="B322" s="19" t="inlineStr">
        <is>
          <t>Movie</t>
        </is>
      </c>
      <c r="C322" s="19" t="inlineStr">
        <is>
          <t>Qismat</t>
        </is>
      </c>
      <c r="D322" s="19" t="inlineStr">
        <is>
          <t>Jagdeep Sidhu</t>
        </is>
      </c>
      <c r="E322" s="19" t="inlineStr">
        <is>
          <t>Ammy Virk, Sargun Mehta, Guggu Gill, Tania, Harby Sangha, Hardeep Gill, Sukhdev Barnala, Satwant Kaur, Baljinder Kaur, Jashanjeet Gosha</t>
        </is>
      </c>
      <c r="F322" s="19" t="inlineStr">
        <is>
          <t>India</t>
        </is>
      </c>
      <c r="G322" s="19" t="inlineStr">
        <is>
          <t>2019-12-01</t>
        </is>
      </c>
      <c r="H322" s="19" t="n">
        <v>2018</v>
      </c>
      <c r="I322" s="19" t="inlineStr">
        <is>
          <t>TV-PG</t>
        </is>
      </c>
      <c r="J322" s="19" t="inlineStr">
        <is>
          <t>137 min</t>
        </is>
      </c>
      <c r="K322" s="19" t="inlineStr">
        <is>
          <t>Dramas, International Movies, Romantic Movies</t>
        </is>
      </c>
      <c r="L322" s="19" t="inlineStr">
        <is>
          <t>A young villager moves to Chandigarh and falls for his bubbly neighbor, but their love story is affected by several heartbreaking twists of fate.</t>
        </is>
      </c>
      <c r="M322" s="19" t="n">
        <v>2019</v>
      </c>
      <c r="N322" s="19">
        <f>IF(AND(OR(YearFilter="All",$M322=YearFilter),OR(RatingFilter="All",$I322=RatingFilter),OR(TypeFilter="All",$B322=TypeFilter),OR(GenreFilter="All",COUNTIFS(tblGenre[show_id],$A322,tblGenre[Genre],GenreFilter)&gt;0)),1,0)</f>
        <v/>
      </c>
    </row>
    <row r="323" ht="15" customHeight="1" s="20">
      <c r="A323" s="19" t="inlineStr">
        <is>
          <t>s3202</t>
        </is>
      </c>
      <c r="B323" s="19" t="inlineStr">
        <is>
          <t>Movie</t>
        </is>
      </c>
      <c r="C323" s="19" t="inlineStr">
        <is>
          <t>Thug Life</t>
        </is>
      </c>
      <c r="D323" s="19" t="inlineStr">
        <is>
          <t>Mukesh Vohra</t>
        </is>
      </c>
      <c r="E323" s="19" t="inlineStr">
        <is>
          <t>Harish Verma, Jass Bajwa, Rajiv Thakur, Ihana Dhillon, Yograj Singh, Karamjit Anmol, Anita Devgan, Vrajesh Hirjee, Rana Jung Bahadur, Hobby Dhaliwal</t>
        </is>
      </c>
      <c r="F323" s="19" t="inlineStr">
        <is>
          <t>India</t>
        </is>
      </c>
      <c r="G323" s="19" t="inlineStr">
        <is>
          <t>2019-12-01</t>
        </is>
      </c>
      <c r="H323" s="19" t="n">
        <v>2017</v>
      </c>
      <c r="I323" s="19" t="inlineStr">
        <is>
          <t>TV-14</t>
        </is>
      </c>
      <c r="J323" s="19" t="inlineStr">
        <is>
          <t>133 min</t>
        </is>
      </c>
      <c r="K323" s="19" t="inlineStr">
        <is>
          <t>Comedies, Dramas, International Movies</t>
        </is>
      </c>
      <c r="L323" s="19" t="inlineStr">
        <is>
          <t>A get-rich-quick scheme goes awry when a group of friends stumbles onto a dangerous conspiracy and wind up getting mistaken for the bad guys.</t>
        </is>
      </c>
      <c r="M323" s="19" t="n">
        <v>2019</v>
      </c>
      <c r="N323" s="19">
        <f>IF(AND(OR(YearFilter="All",$M323=YearFilter),OR(RatingFilter="All",$I323=RatingFilter),OR(TypeFilter="All",$B323=TypeFilter),OR(GenreFilter="All",COUNTIFS(tblGenre[show_id],$A323,tblGenre[Genre],GenreFilter)&gt;0)),1,0)</f>
        <v/>
      </c>
    </row>
    <row r="324" ht="15" customHeight="1" s="20">
      <c r="A324" s="19" t="inlineStr">
        <is>
          <t>s3207</t>
        </is>
      </c>
      <c r="B324" s="19" t="inlineStr">
        <is>
          <t>Movie</t>
        </is>
      </c>
      <c r="C324" s="19" t="inlineStr">
        <is>
          <t>The Zoya Factor</t>
        </is>
      </c>
      <c r="D324" s="19" t="inlineStr">
        <is>
          <t>Abhishek Sharma</t>
        </is>
      </c>
      <c r="E324" s="19" t="inlineStr">
        <is>
          <t>Sonam Kapoor, Dulquer Salmaan, Sanjay Kapoor, Sikander Kher, Angad Bedi, Koel Purie, Pooja Bhamrah, Manu Rishi Chadha</t>
        </is>
      </c>
      <c r="F324" s="19" t="inlineStr">
        <is>
          <t>India</t>
        </is>
      </c>
      <c r="G324" s="19" t="inlineStr">
        <is>
          <t>2019-11-30</t>
        </is>
      </c>
      <c r="H324" s="19" t="n">
        <v>2019</v>
      </c>
      <c r="I324" s="19" t="inlineStr">
        <is>
          <t>TV-14</t>
        </is>
      </c>
      <c r="J324" s="19" t="inlineStr">
        <is>
          <t>135 min</t>
        </is>
      </c>
      <c r="K324" s="19" t="inlineStr">
        <is>
          <t>Comedies, Dramas, International Movies</t>
        </is>
      </c>
      <c r="L324" s="19" t="inlineStr">
        <is>
          <t>A goofy copywriter unwittingly convinces the Indian cricket team that she’s their lucky mascot, to the dismay of their superstition-shunning captain.</t>
        </is>
      </c>
      <c r="M324" s="19" t="n">
        <v>2019</v>
      </c>
      <c r="N324" s="19">
        <f>IF(AND(OR(YearFilter="All",$M324=YearFilter),OR(RatingFilter="All",$I324=RatingFilter),OR(TypeFilter="All",$B324=TypeFilter),OR(GenreFilter="All",COUNTIFS(tblGenre[show_id],$A324,tblGenre[Genre],GenreFilter)&gt;0)),1,0)</f>
        <v/>
      </c>
    </row>
    <row r="325" ht="15" customHeight="1" s="20">
      <c r="A325" s="19" t="inlineStr">
        <is>
          <t>s3225</t>
        </is>
      </c>
      <c r="B325" s="19" t="inlineStr">
        <is>
          <t>Movie</t>
        </is>
      </c>
      <c r="C325" s="19" t="inlineStr">
        <is>
          <t>Evvarikee Cheppoddu</t>
        </is>
      </c>
      <c r="D325" s="19" t="inlineStr">
        <is>
          <t>Basava Shankar Eeday</t>
        </is>
      </c>
      <c r="E325" s="19" t="inlineStr">
        <is>
          <t>Rakesh Varre, Gargeyi, Vamsi raj Nekkanti, D P Ghani, K Prasanna</t>
        </is>
      </c>
      <c r="F325" s="19" t="inlineStr">
        <is>
          <t>India</t>
        </is>
      </c>
      <c r="G325" s="19" t="inlineStr">
        <is>
          <t>2019-11-27</t>
        </is>
      </c>
      <c r="H325" s="19" t="n">
        <v>2019</v>
      </c>
      <c r="I325" s="19" t="inlineStr">
        <is>
          <t>TV-14</t>
        </is>
      </c>
      <c r="J325" s="19" t="inlineStr">
        <is>
          <t>134 min</t>
        </is>
      </c>
      <c r="K325" s="19" t="inlineStr">
        <is>
          <t>Comedies, International Movies, Romantic Movies</t>
        </is>
      </c>
      <c r="L325" s="19" t="inlineStr">
        <is>
          <t>When caste differences throw a wrench into their otherwise blossoming relationship, a couple must somehow convince the girl’s father to let them marry.</t>
        </is>
      </c>
      <c r="M325" s="19" t="n">
        <v>2019</v>
      </c>
      <c r="N325" s="19">
        <f>IF(AND(OR(YearFilter="All",$M325=YearFilter),OR(RatingFilter="All",$I325=RatingFilter),OR(TypeFilter="All",$B325=TypeFilter),OR(GenreFilter="All",COUNTIFS(tblGenre[show_id],$A325,tblGenre[Genre],GenreFilter)&gt;0)),1,0)</f>
        <v/>
      </c>
    </row>
    <row r="326" ht="15" customHeight="1" s="20">
      <c r="A326" s="19" t="inlineStr">
        <is>
          <t>s3234</t>
        </is>
      </c>
      <c r="B326" s="19" t="inlineStr">
        <is>
          <t>Movie</t>
        </is>
      </c>
      <c r="C326" s="19" t="inlineStr">
        <is>
          <t>Pranaam</t>
        </is>
      </c>
      <c r="D326" s="19" t="inlineStr">
        <is>
          <t>Sanjiv Jaiswal</t>
        </is>
      </c>
      <c r="E326" s="19" t="inlineStr">
        <is>
          <t>Rajeev Khandelwal, Samiksha Singh, S.M. Zaheer, Vikram Gokhale, Meenakshi Sethi, Atul Kulkarni, Abhimanyu Singh, Aniruddha Dave</t>
        </is>
      </c>
      <c r="F326" s="19" t="inlineStr">
        <is>
          <t>India</t>
        </is>
      </c>
      <c r="G326" s="19" t="inlineStr">
        <is>
          <t>2019-11-25</t>
        </is>
      </c>
      <c r="H326" s="19" t="n">
        <v>2019</v>
      </c>
      <c r="I326" s="19" t="inlineStr">
        <is>
          <t>TV-14</t>
        </is>
      </c>
      <c r="J326" s="19" t="inlineStr">
        <is>
          <t>117 min</t>
        </is>
      </c>
      <c r="K326" s="19" t="inlineStr">
        <is>
          <t>Action &amp; Adventure, Dramas, International Movies</t>
        </is>
      </c>
      <c r="L326" s="19" t="inlineStr">
        <is>
          <t>Aspiring to fulfill his father’s dream and become a civil services officer, a young man loses his way upon becoming entangled with a criminal lynchpin.</t>
        </is>
      </c>
      <c r="M326" s="19" t="n">
        <v>2019</v>
      </c>
      <c r="N326" s="19">
        <f>IF(AND(OR(YearFilter="All",$M326=YearFilter),OR(RatingFilter="All",$I326=RatingFilter),OR(TypeFilter="All",$B326=TypeFilter),OR(GenreFilter="All",COUNTIFS(tblGenre[show_id],$A326,tblGenre[Genre],GenreFilter)&gt;0)),1,0)</f>
        <v/>
      </c>
    </row>
    <row r="327" ht="15" customHeight="1" s="20">
      <c r="A327" s="19" t="inlineStr">
        <is>
          <t>s3252</t>
        </is>
      </c>
      <c r="B327" s="19" t="inlineStr">
        <is>
          <t>Movie</t>
        </is>
      </c>
      <c r="C327" s="19" t="inlineStr">
        <is>
          <t>Dorasaani</t>
        </is>
      </c>
      <c r="D327" s="19" t="inlineStr">
        <is>
          <t>KVR Mahendra</t>
        </is>
      </c>
      <c r="E327" s="19" t="inlineStr">
        <is>
          <t>Anand Deverakonda, Shivatmika Rajasekhar, Kannada Kishore</t>
        </is>
      </c>
      <c r="F327" s="19" t="inlineStr">
        <is>
          <t>India</t>
        </is>
      </c>
      <c r="G327" s="19" t="inlineStr">
        <is>
          <t>2019-11-20</t>
        </is>
      </c>
      <c r="H327" s="19" t="n">
        <v>2019</v>
      </c>
      <c r="I327" s="19" t="inlineStr">
        <is>
          <t>TV-14</t>
        </is>
      </c>
      <c r="J327" s="19" t="inlineStr">
        <is>
          <t>134 min</t>
        </is>
      </c>
      <c r="K327" s="19" t="inlineStr">
        <is>
          <t>Dramas, International Movies, Romantic Movies</t>
        </is>
      </c>
      <c r="L327" s="19" t="inlineStr">
        <is>
          <t>A village landlord's daughter and an educated commoner must decide if their budding forbidden love is worth resisting a repressive social hierarchy.</t>
        </is>
      </c>
      <c r="M327" s="19" t="n">
        <v>2019</v>
      </c>
      <c r="N327" s="19">
        <f>IF(AND(OR(YearFilter="All",$M327=YearFilter),OR(RatingFilter="All",$I327=RatingFilter),OR(TypeFilter="All",$B327=TypeFilter),OR(GenreFilter="All",COUNTIFS(tblGenre[show_id],$A327,tblGenre[Genre],GenreFilter)&gt;0)),1,0)</f>
        <v/>
      </c>
    </row>
    <row r="328" ht="15" customHeight="1" s="20">
      <c r="A328" s="19" t="inlineStr">
        <is>
          <t>s3255</t>
        </is>
      </c>
      <c r="B328" s="19" t="inlineStr">
        <is>
          <t>Movie</t>
        </is>
      </c>
      <c r="C328" s="19" t="inlineStr">
        <is>
          <t>Mallesham</t>
        </is>
      </c>
      <c r="D328" s="19" t="inlineStr">
        <is>
          <t>Raj R</t>
        </is>
      </c>
      <c r="E328" s="19" t="inlineStr">
        <is>
          <t>Jhansi, Priyadarshi Pullikonda, Ananya Nagalla</t>
        </is>
      </c>
      <c r="F328" s="19" t="inlineStr">
        <is>
          <t>India</t>
        </is>
      </c>
      <c r="G328" s="19" t="inlineStr">
        <is>
          <t>2019-11-20</t>
        </is>
      </c>
      <c r="H328" s="19" t="n">
        <v>2019</v>
      </c>
      <c r="I328" s="19" t="inlineStr">
        <is>
          <t>TV-14</t>
        </is>
      </c>
      <c r="J328" s="19" t="inlineStr">
        <is>
          <t>131 min</t>
        </is>
      </c>
      <c r="K328" s="19" t="inlineStr">
        <is>
          <t>Dramas, Independent Movies, International Movies</t>
        </is>
      </c>
      <c r="L328" s="19" t="inlineStr">
        <is>
          <t>A self-trained engineer risks debt, love and reputation in his quest to improve the grueling work conditions of his mother and her weaving community.</t>
        </is>
      </c>
      <c r="M328" s="19" t="n">
        <v>2019</v>
      </c>
      <c r="N328" s="19">
        <f>IF(AND(OR(YearFilter="All",$M328=YearFilter),OR(RatingFilter="All",$I328=RatingFilter),OR(TypeFilter="All",$B328=TypeFilter),OR(GenreFilter="All",COUNTIFS(tblGenre[show_id],$A328,tblGenre[Genre],GenreFilter)&gt;0)),1,0)</f>
        <v/>
      </c>
    </row>
    <row r="329" ht="15" customHeight="1" s="20">
      <c r="A329" s="19" t="inlineStr">
        <is>
          <t>s3268</t>
        </is>
      </c>
      <c r="B329" s="19" t="inlineStr">
        <is>
          <t>Movie</t>
        </is>
      </c>
      <c r="C329" s="19" t="inlineStr">
        <is>
          <t>Guna 369</t>
        </is>
      </c>
      <c r="D329" s="19" t="inlineStr">
        <is>
          <t>Arjun Jandyala</t>
        </is>
      </c>
      <c r="E329" s="19" t="inlineStr">
        <is>
          <t>Adithya Menon, Kartikeya Gummakonda, Anagha LK</t>
        </is>
      </c>
      <c r="F329" s="19" t="inlineStr">
        <is>
          <t>India</t>
        </is>
      </c>
      <c r="G329" s="19" t="inlineStr">
        <is>
          <t>2019-11-15</t>
        </is>
      </c>
      <c r="H329" s="19" t="n">
        <v>2019</v>
      </c>
      <c r="I329" s="19" t="inlineStr">
        <is>
          <t>TV-MA</t>
        </is>
      </c>
      <c r="J329" s="19" t="inlineStr">
        <is>
          <t>143 min</t>
        </is>
      </c>
      <c r="K329" s="19" t="inlineStr">
        <is>
          <t>Action &amp; Adventure, Dramas, International Movies</t>
        </is>
      </c>
      <c r="L329" s="19" t="inlineStr">
        <is>
          <t>A pampered but kind-hearted average joe ditches his romancing and peacekeeping ways when he’s framed for a murder he didn’t commit.</t>
        </is>
      </c>
      <c r="M329" s="19" t="n">
        <v>2019</v>
      </c>
      <c r="N329" s="19">
        <f>IF(AND(OR(YearFilter="All",$M329=YearFilter),OR(RatingFilter="All",$I329=RatingFilter),OR(TypeFilter="All",$B329=TypeFilter),OR(GenreFilter="All",COUNTIFS(tblGenre[show_id],$A329,tblGenre[Genre],GenreFilter)&gt;0)),1,0)</f>
        <v/>
      </c>
    </row>
    <row r="330" ht="15" customHeight="1" s="20">
      <c r="A330" s="19" t="inlineStr">
        <is>
          <t>s3269</t>
        </is>
      </c>
      <c r="B330" s="19" t="inlineStr">
        <is>
          <t>Movie</t>
        </is>
      </c>
      <c r="C330" s="19" t="inlineStr">
        <is>
          <t>House Arrest</t>
        </is>
      </c>
      <c r="D330" s="19" t="inlineStr">
        <is>
          <t>Shashanka Ghosh, Samit Basu</t>
        </is>
      </c>
      <c r="E330" s="19" t="inlineStr">
        <is>
          <t>Ali Fazal, Shriya Pilgaonkar, Jim Sarbh, Barkha Singh, Badrul Islam, Sunil Kumar</t>
        </is>
      </c>
      <c r="F330" s="19" t="inlineStr">
        <is>
          <t>India</t>
        </is>
      </c>
      <c r="G330" s="19" t="inlineStr">
        <is>
          <t>2019-11-15</t>
        </is>
      </c>
      <c r="H330" s="19" t="n">
        <v>2019</v>
      </c>
      <c r="I330" s="19" t="inlineStr">
        <is>
          <t>TV-14</t>
        </is>
      </c>
      <c r="J330" s="19" t="inlineStr">
        <is>
          <t>105 min</t>
        </is>
      </c>
      <c r="K330" s="19" t="inlineStr">
        <is>
          <t>Comedies, Independent Movies, International Movies</t>
        </is>
      </c>
      <c r="L330" s="19" t="inlineStr">
        <is>
          <t>A world-weary man’s self-imposed home confinement becomes a comedy of errors with the simultaneous arrivals of a peculiar package and a curious journalist.</t>
        </is>
      </c>
      <c r="M330" s="19" t="n">
        <v>2019</v>
      </c>
      <c r="N330" s="19">
        <f>IF(AND(OR(YearFilter="All",$M330=YearFilter),OR(RatingFilter="All",$I330=RatingFilter),OR(TypeFilter="All",$B330=TypeFilter),OR(GenreFilter="All",COUNTIFS(tblGenre[show_id],$A330,tblGenre[Genre],GenreFilter)&gt;0)),1,0)</f>
        <v/>
      </c>
    </row>
    <row r="331" ht="15" customHeight="1" s="20">
      <c r="A331" s="19" t="inlineStr">
        <is>
          <t>s3279</t>
        </is>
      </c>
      <c r="B331" s="19" t="inlineStr">
        <is>
          <t>Movie</t>
        </is>
      </c>
      <c r="C331" s="19" t="inlineStr">
        <is>
          <t>SunGanges</t>
        </is>
      </c>
      <c r="D331" s="19" t="inlineStr">
        <is>
          <t>Valli Bindana</t>
        </is>
      </c>
      <c r="E331" s="19" t="inlineStr">
        <is>
          <t>Naseeruddin Shah</t>
        </is>
      </c>
      <c r="F331" s="19" t="inlineStr">
        <is>
          <t>India, United States</t>
        </is>
      </c>
      <c r="G331" s="19" t="inlineStr">
        <is>
          <t>2019-11-15</t>
        </is>
      </c>
      <c r="H331" s="19" t="n">
        <v>2018</v>
      </c>
      <c r="I331" s="19" t="inlineStr">
        <is>
          <t>TV-14</t>
        </is>
      </c>
      <c r="J331" s="19" t="inlineStr">
        <is>
          <t>74 min</t>
        </is>
      </c>
      <c r="K331" s="19" t="inlineStr">
        <is>
          <t>Documentaries, International Movies</t>
        </is>
      </c>
      <c r="L331" s="19" t="inlineStr">
        <is>
          <t>A trio of filmmakers treks across India to explore the correlation between vanishing rivers, massive energy projects and renewable energy sources.</t>
        </is>
      </c>
      <c r="M331" s="19" t="n">
        <v>2019</v>
      </c>
      <c r="N331" s="19">
        <f>IF(AND(OR(YearFilter="All",$M331=YearFilter),OR(RatingFilter="All",$I331=RatingFilter),OR(TypeFilter="All",$B331=TypeFilter),OR(GenreFilter="All",COUNTIFS(tblGenre[show_id],$A331,tblGenre[Genre],GenreFilter)&gt;0)),1,0)</f>
        <v/>
      </c>
    </row>
    <row r="332" ht="15" customHeight="1" s="20">
      <c r="A332" s="19" t="inlineStr">
        <is>
          <t>s3294</t>
        </is>
      </c>
      <c r="B332" s="19" t="inlineStr">
        <is>
          <t>TV Show</t>
        </is>
      </c>
      <c r="C332" s="19" t="inlineStr">
        <is>
          <t>Little Things</t>
        </is>
      </c>
      <c r="E332" s="19" t="inlineStr">
        <is>
          <t>Dhruv Sehgal, Mithila Palkar</t>
        </is>
      </c>
      <c r="F332" s="19" t="inlineStr">
        <is>
          <t>India</t>
        </is>
      </c>
      <c r="G332" s="19" t="inlineStr">
        <is>
          <t>2019-11-09</t>
        </is>
      </c>
      <c r="H332" s="19" t="n">
        <v>2019</v>
      </c>
      <c r="I332" s="19" t="inlineStr">
        <is>
          <t>TV-MA</t>
        </is>
      </c>
      <c r="J332" s="19" t="inlineStr">
        <is>
          <t>3 Seasons</t>
        </is>
      </c>
      <c r="K332" s="19" t="inlineStr">
        <is>
          <t>International TV Shows, Romantic TV Shows, TV Comedies</t>
        </is>
      </c>
      <c r="L332" s="19" t="inlineStr">
        <is>
          <t>A cohabiting couple in their 20s navigate the ups and downs of work, modern-day relationships and finding themselves in contemporary Mumbai.</t>
        </is>
      </c>
      <c r="M332" s="19" t="n">
        <v>2019</v>
      </c>
      <c r="N332" s="19">
        <f>IF(AND(OR(YearFilter="All",$M332=YearFilter),OR(RatingFilter="All",$I332=RatingFilter),OR(TypeFilter="All",$B332=TypeFilter),OR(GenreFilter="All",COUNTIFS(tblGenre[show_id],$A332,tblGenre[Genre],GenreFilter)&gt;0)),1,0)</f>
        <v/>
      </c>
    </row>
    <row r="333" ht="15" customHeight="1" s="20">
      <c r="A333" s="19" t="inlineStr">
        <is>
          <t>s3300</t>
        </is>
      </c>
      <c r="B333" s="19" t="inlineStr">
        <is>
          <t>Movie</t>
        </is>
      </c>
      <c r="C333" s="19" t="inlineStr">
        <is>
          <t>U Turn</t>
        </is>
      </c>
      <c r="D333" s="19" t="inlineStr">
        <is>
          <t>Pawan Kumar</t>
        </is>
      </c>
      <c r="E333" s="19" t="inlineStr">
        <is>
          <t>Roger Narayan, Shraddha Srinath, Dileep Raj, Krishna Hebbale, Ram Manjjonaath, Chethan Dsouza</t>
        </is>
      </c>
      <c r="F333" s="19" t="inlineStr">
        <is>
          <t>India</t>
        </is>
      </c>
      <c r="G333" s="19" t="inlineStr">
        <is>
          <t>2019-11-07</t>
        </is>
      </c>
      <c r="H333" s="19" t="n">
        <v>2016</v>
      </c>
      <c r="I333" s="19" t="inlineStr">
        <is>
          <t>TV-14</t>
        </is>
      </c>
      <c r="J333" s="19" t="inlineStr">
        <is>
          <t>121 min</t>
        </is>
      </c>
      <c r="K333" s="19" t="inlineStr">
        <is>
          <t>International Movies, Thrillers</t>
        </is>
      </c>
      <c r="L333" s="19" t="inlineStr">
        <is>
          <t>A reporter must hunt for the truth behind a strange murder after she crosses paths with a young cop and becomes the investigation's prime suspect.</t>
        </is>
      </c>
      <c r="M333" s="19" t="n">
        <v>2019</v>
      </c>
      <c r="N333" s="19">
        <f>IF(AND(OR(YearFilter="All",$M333=YearFilter),OR(RatingFilter="All",$I333=RatingFilter),OR(TypeFilter="All",$B333=TypeFilter),OR(GenreFilter="All",COUNTIFS(tblGenre[show_id],$A333,tblGenre[Genre],GenreFilter)&gt;0)),1,0)</f>
        <v/>
      </c>
    </row>
    <row r="334" ht="15" customHeight="1" s="20">
      <c r="A334" s="19" t="inlineStr">
        <is>
          <t>s3313</t>
        </is>
      </c>
      <c r="B334" s="19" t="inlineStr">
        <is>
          <t>Movie</t>
        </is>
      </c>
      <c r="C334" s="19" t="inlineStr">
        <is>
          <t>Oththa Seruppu Size 7</t>
        </is>
      </c>
      <c r="D334" s="19" t="inlineStr">
        <is>
          <t>Parthiban</t>
        </is>
      </c>
      <c r="E334" s="19" t="inlineStr">
        <is>
          <t>Parthiban</t>
        </is>
      </c>
      <c r="F334" s="19" t="inlineStr">
        <is>
          <t>India</t>
        </is>
      </c>
      <c r="G334" s="19" t="inlineStr">
        <is>
          <t>2019-11-04</t>
        </is>
      </c>
      <c r="H334" s="19" t="n">
        <v>2019</v>
      </c>
      <c r="I334" s="19" t="inlineStr">
        <is>
          <t>TV-MA</t>
        </is>
      </c>
      <c r="J334" s="19" t="inlineStr">
        <is>
          <t>103 min</t>
        </is>
      </c>
      <c r="K334" s="19" t="inlineStr">
        <is>
          <t>Dramas, International Movies, Thrillers</t>
        </is>
      </c>
      <c r="L334" s="19" t="inlineStr">
        <is>
          <t>Taken into custody, a murder suspect's theatrical explanations of his peculiar modus operandi unearth truths far beyond the crime he’s accused of.</t>
        </is>
      </c>
      <c r="M334" s="19" t="n">
        <v>2019</v>
      </c>
      <c r="N334" s="19">
        <f>IF(AND(OR(YearFilter="All",$M334=YearFilter),OR(RatingFilter="All",$I334=RatingFilter),OR(TypeFilter="All",$B334=TypeFilter),OR(GenreFilter="All",COUNTIFS(tblGenre[show_id],$A334,tblGenre[Genre],GenreFilter)&gt;0)),1,0)</f>
        <v/>
      </c>
    </row>
    <row r="335" ht="15" customHeight="1" s="20">
      <c r="A335" s="19" t="inlineStr">
        <is>
          <t>s3335</t>
        </is>
      </c>
      <c r="B335" s="19" t="inlineStr">
        <is>
          <t>Movie</t>
        </is>
      </c>
      <c r="C335" s="19" t="inlineStr">
        <is>
          <t>Drive</t>
        </is>
      </c>
      <c r="D335" s="19" t="inlineStr">
        <is>
          <t>Tarun Mansukhani</t>
        </is>
      </c>
      <c r="E335" s="19" t="inlineStr">
        <is>
          <t>Jacqueline Fernandez, Sushant Singh Rajput, Boman Irani, Pankaj Tripathi, Vikramjeet Virk, Sapna Pabbi, Vibha Chhibber, Kaustubh Kumar</t>
        </is>
      </c>
      <c r="F335" s="19" t="inlineStr">
        <is>
          <t>India</t>
        </is>
      </c>
      <c r="G335" s="19" t="inlineStr">
        <is>
          <t>2019-11-01</t>
        </is>
      </c>
      <c r="H335" s="19" t="n">
        <v>2019</v>
      </c>
      <c r="I335" s="19" t="inlineStr">
        <is>
          <t>TV-14</t>
        </is>
      </c>
      <c r="J335" s="19" t="inlineStr">
        <is>
          <t>119 min</t>
        </is>
      </c>
      <c r="K335" s="19" t="inlineStr">
        <is>
          <t>Action &amp; Adventure, International Movies</t>
        </is>
      </c>
      <c r="L335" s="19" t="inlineStr">
        <is>
          <t>A notorious thief allies with a street racer for a grand heist involving an elaborate game of deceit with authorities, who have their own dirty secrets.</t>
        </is>
      </c>
      <c r="M335" s="19" t="n">
        <v>2019</v>
      </c>
      <c r="N335" s="19">
        <f>IF(AND(OR(YearFilter="All",$M335=YearFilter),OR(RatingFilter="All",$I335=RatingFilter),OR(TypeFilter="All",$B335=TypeFilter),OR(GenreFilter="All",COUNTIFS(tblGenre[show_id],$A335,tblGenre[Genre],GenreFilter)&gt;0)),1,0)</f>
        <v/>
      </c>
    </row>
    <row r="336" ht="15" customHeight="1" s="20">
      <c r="A336" s="19" t="inlineStr">
        <is>
          <t>s3360</t>
        </is>
      </c>
      <c r="B336" s="19" t="inlineStr">
        <is>
          <t>Movie</t>
        </is>
      </c>
      <c r="C336" s="19" t="inlineStr">
        <is>
          <t>Mehandi Circus</t>
        </is>
      </c>
      <c r="D336" s="19" t="inlineStr">
        <is>
          <t>Saravana Rajendran</t>
        </is>
      </c>
      <c r="E336" s="19" t="inlineStr">
        <is>
          <t>Madhampatti Rangaraj, Shweta Tripathi, Vela Ramamoorthy, Ankur Vikal, G. Marimuthu, Sunny Charles</t>
        </is>
      </c>
      <c r="F336" s="19" t="inlineStr">
        <is>
          <t>India</t>
        </is>
      </c>
      <c r="G336" s="19" t="inlineStr">
        <is>
          <t>2019-10-30</t>
        </is>
      </c>
      <c r="H336" s="19" t="n">
        <v>2019</v>
      </c>
      <c r="I336" s="19" t="inlineStr">
        <is>
          <t>TV-MA</t>
        </is>
      </c>
      <c r="J336" s="19" t="inlineStr">
        <is>
          <t>126 min</t>
        </is>
      </c>
      <c r="K336" s="19" t="inlineStr">
        <is>
          <t>Dramas, International Movies, Romantic Movies</t>
        </is>
      </c>
      <c r="L336" s="19" t="inlineStr">
        <is>
          <t>In the early 1990s, the love between a cassette shop owner and a traveling circus performer challenges caste barriers and disapproving parents.</t>
        </is>
      </c>
      <c r="M336" s="19" t="n">
        <v>2019</v>
      </c>
      <c r="N336" s="19">
        <f>IF(AND(OR(YearFilter="All",$M336=YearFilter),OR(RatingFilter="All",$I336=RatingFilter),OR(TypeFilter="All",$B336=TypeFilter),OR(GenreFilter="All",COUNTIFS(tblGenre[show_id],$A336,tblGenre[Genre],GenreFilter)&gt;0)),1,0)</f>
        <v/>
      </c>
    </row>
    <row r="337" ht="15" customHeight="1" s="20">
      <c r="A337" s="19" t="inlineStr">
        <is>
          <t>s3404</t>
        </is>
      </c>
      <c r="B337" s="19" t="inlineStr">
        <is>
          <t>TV Show</t>
        </is>
      </c>
      <c r="C337" s="19" t="inlineStr">
        <is>
          <t>Mighty Little Bheem: Diwali</t>
        </is>
      </c>
      <c r="E337" s="19" t="inlineStr">
        <is>
          <t>Samriddhi Shukla, Nishka Raheja, Arannya Kaur, Shanoor Mirza, Rajesh Kava</t>
        </is>
      </c>
      <c r="F337" s="19" t="inlineStr">
        <is>
          <t>India</t>
        </is>
      </c>
      <c r="G337" s="19" t="inlineStr">
        <is>
          <t>2019-10-18</t>
        </is>
      </c>
      <c r="H337" s="19" t="n">
        <v>2019</v>
      </c>
      <c r="I337" s="19" t="inlineStr">
        <is>
          <t>TV-Y</t>
        </is>
      </c>
      <c r="J337" s="19" t="inlineStr">
        <is>
          <t>1 Season</t>
        </is>
      </c>
      <c r="K337" s="19" t="inlineStr">
        <is>
          <t>Kids' TV, TV Comedies</t>
        </is>
      </c>
      <c r="L337" s="19" t="inlineStr">
        <is>
          <t>From decorating his home to devouring sweets, join Bheem as he makes merry – and a bit of mischief – while the festival of lights is in full swing.</t>
        </is>
      </c>
      <c r="M337" s="19" t="n">
        <v>2019</v>
      </c>
      <c r="N337" s="19">
        <f>IF(AND(OR(YearFilter="All",$M337=YearFilter),OR(RatingFilter="All",$I337=RatingFilter),OR(TypeFilter="All",$B337=TypeFilter),OR(GenreFilter="All",COUNTIFS(tblGenre[show_id],$A337,tblGenre[Genre],GenreFilter)&gt;0)),1,0)</f>
        <v/>
      </c>
    </row>
    <row r="338" ht="15" customHeight="1" s="20">
      <c r="A338" s="19" t="inlineStr">
        <is>
          <t>s3413</t>
        </is>
      </c>
      <c r="B338" s="19" t="inlineStr">
        <is>
          <t>Movie</t>
        </is>
      </c>
      <c r="C338" s="19" t="inlineStr">
        <is>
          <t>Upstarts</t>
        </is>
      </c>
      <c r="D338" s="19" t="inlineStr">
        <is>
          <t>Udai Singh Pawar</t>
        </is>
      </c>
      <c r="E338" s="19" t="inlineStr">
        <is>
          <t>Priyanshu Painyuli, Chandrachoor Rai, Shadab Kamal, Rajeev Siddhartha, Sheetal Thakur, Ninad Kamat, Swati Semwal, Eijaz Khan</t>
        </is>
      </c>
      <c r="F338" s="19" t="inlineStr">
        <is>
          <t>India</t>
        </is>
      </c>
      <c r="G338" s="19" t="inlineStr">
        <is>
          <t>2019-10-18</t>
        </is>
      </c>
      <c r="H338" s="19" t="n">
        <v>2019</v>
      </c>
      <c r="I338" s="19" t="inlineStr">
        <is>
          <t>TV-14</t>
        </is>
      </c>
      <c r="J338" s="19" t="inlineStr">
        <is>
          <t>112 min</t>
        </is>
      </c>
      <c r="K338" s="19" t="inlineStr">
        <is>
          <t>Comedies, Dramas, International Movies</t>
        </is>
      </c>
      <c r="L338" s="19" t="inlineStr">
        <is>
          <t>Hoping to do good while making millions, three college graduates create a startup. But as business begins to flourish, their own bond starts to fray.</t>
        </is>
      </c>
      <c r="M338" s="19" t="n">
        <v>2019</v>
      </c>
      <c r="N338" s="19">
        <f>IF(AND(OR(YearFilter="All",$M338=YearFilter),OR(RatingFilter="All",$I338=RatingFilter),OR(TypeFilter="All",$B338=TypeFilter),OR(GenreFilter="All",COUNTIFS(tblGenre[show_id],$A338,tblGenre[Genre],GenreFilter)&gt;0)),1,0)</f>
        <v/>
      </c>
    </row>
    <row r="339" ht="15" customHeight="1" s="20">
      <c r="A339" s="19" t="inlineStr">
        <is>
          <t>s3447</t>
        </is>
      </c>
      <c r="B339" s="19" t="inlineStr">
        <is>
          <t>Movie</t>
        </is>
      </c>
      <c r="C339" s="19" t="inlineStr">
        <is>
          <t>Noblemen</t>
        </is>
      </c>
      <c r="D339" s="19" t="inlineStr">
        <is>
          <t>Vandana Kataria</t>
        </is>
      </c>
      <c r="E339" s="19" t="inlineStr">
        <is>
          <t>Ali Haji, Kunal Kapoor, Muskkaan Jaferi, Hardik Thakkar, Ali Mir, Shaan Grover, M.K. Raina, Ivan Rodrigues</t>
        </is>
      </c>
      <c r="F339" s="19" t="inlineStr">
        <is>
          <t>India</t>
        </is>
      </c>
      <c r="G339" s="19" t="inlineStr">
        <is>
          <t>2019-10-05</t>
        </is>
      </c>
      <c r="H339" s="19" t="n">
        <v>2019</v>
      </c>
      <c r="I339" s="19" t="inlineStr">
        <is>
          <t>TV-MA</t>
        </is>
      </c>
      <c r="J339" s="19" t="inlineStr">
        <is>
          <t>109 min</t>
        </is>
      </c>
      <c r="K339" s="19" t="inlineStr">
        <is>
          <t>Dramas, Independent Movies, International Movies</t>
        </is>
      </c>
      <c r="L339" s="19" t="inlineStr">
        <is>
          <t>When he lands the lead in his Christian school's production of "The Merchant of Venice," a secretly gay student is bullied by wealthy upperclassmen.</t>
        </is>
      </c>
      <c r="M339" s="19" t="n">
        <v>2019</v>
      </c>
      <c r="N339" s="19">
        <f>IF(AND(OR(YearFilter="All",$M339=YearFilter),OR(RatingFilter="All",$I339=RatingFilter),OR(TypeFilter="All",$B339=TypeFilter),OR(GenreFilter="All",COUNTIFS(tblGenre[show_id],$A339,tblGenre[Genre],GenreFilter)&gt;0)),1,0)</f>
        <v/>
      </c>
    </row>
    <row r="340" ht="15" customHeight="1" s="20">
      <c r="A340" s="19" t="inlineStr">
        <is>
          <t>s3464</t>
        </is>
      </c>
      <c r="B340" s="19" t="inlineStr">
        <is>
          <t>TV Show</t>
        </is>
      </c>
      <c r="C340" s="19" t="inlineStr">
        <is>
          <t>College Romance</t>
        </is>
      </c>
      <c r="E340" s="19" t="inlineStr">
        <is>
          <t>Manjot Singh, Apoorva Arora, Keshav Sadhna, Shreya Mehta, Hira Ashar, Gagan Arora</t>
        </is>
      </c>
      <c r="F340" s="19" t="inlineStr">
        <is>
          <t>India</t>
        </is>
      </c>
      <c r="G340" s="19" t="inlineStr">
        <is>
          <t>2019-10-01</t>
        </is>
      </c>
      <c r="H340" s="19" t="n">
        <v>2018</v>
      </c>
      <c r="I340" s="19" t="inlineStr">
        <is>
          <t>TV-MA</t>
        </is>
      </c>
      <c r="J340" s="19" t="inlineStr">
        <is>
          <t>1 Season</t>
        </is>
      </c>
      <c r="K340" s="19" t="inlineStr">
        <is>
          <t>International TV Shows, Romantic TV Shows, TV Comedies</t>
        </is>
      </c>
      <c r="L340" s="19" t="inlineStr">
        <is>
          <t>Three best friends look for love, laughs and some lifelong memories while attending college together.</t>
        </is>
      </c>
      <c r="M340" s="19" t="n">
        <v>2019</v>
      </c>
      <c r="N340" s="19">
        <f>IF(AND(OR(YearFilter="All",$M340=YearFilter),OR(RatingFilter="All",$I340=RatingFilter),OR(TypeFilter="All",$B340=TypeFilter),OR(GenreFilter="All",COUNTIFS(tblGenre[show_id],$A340,tblGenre[Genre],GenreFilter)&gt;0)),1,0)</f>
        <v/>
      </c>
    </row>
    <row r="341" ht="15" customHeight="1" s="20">
      <c r="A341" s="19" t="inlineStr">
        <is>
          <t>s3465</t>
        </is>
      </c>
      <c r="B341" s="19" t="inlineStr">
        <is>
          <t>TV Show</t>
        </is>
      </c>
      <c r="C341" s="19" t="inlineStr">
        <is>
          <t>Engineering Girls</t>
        </is>
      </c>
      <c r="E341" s="19" t="inlineStr">
        <is>
          <t>Barkha Singh, Kritika Avasthi, Sejal Kumar</t>
        </is>
      </c>
      <c r="F341" s="19" t="inlineStr">
        <is>
          <t>India</t>
        </is>
      </c>
      <c r="G341" s="19" t="inlineStr">
        <is>
          <t>2019-10-01</t>
        </is>
      </c>
      <c r="H341" s="19" t="n">
        <v>2018</v>
      </c>
      <c r="I341" s="19" t="inlineStr">
        <is>
          <t>TV-MA</t>
        </is>
      </c>
      <c r="J341" s="19" t="inlineStr">
        <is>
          <t>1 Season</t>
        </is>
      </c>
      <c r="K341" s="19" t="inlineStr">
        <is>
          <t>International TV Shows, TV Comedies</t>
        </is>
      </c>
      <c r="L341" s="19" t="inlineStr">
        <is>
          <t>Three engineering students deal with dorm drama, date around, and do whatever it takes to make their dreams come true.</t>
        </is>
      </c>
      <c r="M341" s="19" t="n">
        <v>2019</v>
      </c>
      <c r="N341" s="19">
        <f>IF(AND(OR(YearFilter="All",$M341=YearFilter),OR(RatingFilter="All",$I341=RatingFilter),OR(TypeFilter="All",$B341=TypeFilter),OR(GenreFilter="All",COUNTIFS(tblGenre[show_id],$A341,tblGenre[Genre],GenreFilter)&gt;0)),1,0)</f>
        <v/>
      </c>
    </row>
    <row r="342" ht="15" customHeight="1" s="20">
      <c r="A342" s="19" t="inlineStr">
        <is>
          <t>s3467</t>
        </is>
      </c>
      <c r="B342" s="19" t="inlineStr">
        <is>
          <t>TV Show</t>
        </is>
      </c>
      <c r="C342" s="19" t="inlineStr">
        <is>
          <t>Girls Hostel</t>
        </is>
      </c>
      <c r="E342" s="19" t="inlineStr">
        <is>
          <t>Srishti Shrivastava, Parul Gulati, Simran Natekar, Ahsaas Channa, Shreya Mehta, Gagan Arora, Trupti Khamkar, Khushbu Baid</t>
        </is>
      </c>
      <c r="F342" s="19" t="inlineStr">
        <is>
          <t>India</t>
        </is>
      </c>
      <c r="G342" s="19" t="inlineStr">
        <is>
          <t>2019-10-01</t>
        </is>
      </c>
      <c r="H342" s="19" t="n">
        <v>2018</v>
      </c>
      <c r="I342" s="19" t="inlineStr">
        <is>
          <t>TV-MA</t>
        </is>
      </c>
      <c r="J342" s="19" t="inlineStr">
        <is>
          <t>1 Season</t>
        </is>
      </c>
      <c r="K342" s="19" t="inlineStr">
        <is>
          <t>International TV Shows, TV Comedies, TV Dramas</t>
        </is>
      </c>
      <c r="L342" s="19" t="inlineStr">
        <is>
          <t>Four girls from different backgrounds become unlikely friends when they move into a dormitory for female dental students.</t>
        </is>
      </c>
      <c r="M342" s="19" t="n">
        <v>2019</v>
      </c>
      <c r="N342" s="19">
        <f>IF(AND(OR(YearFilter="All",$M342=YearFilter),OR(RatingFilter="All",$I342=RatingFilter),OR(TypeFilter="All",$B342=TypeFilter),OR(GenreFilter="All",COUNTIFS(tblGenre[show_id],$A342,tblGenre[Genre],GenreFilter)&gt;0)),1,0)</f>
        <v/>
      </c>
    </row>
    <row r="343" ht="15" customHeight="1" s="20">
      <c r="A343" s="19" t="inlineStr">
        <is>
          <t>s3468</t>
        </is>
      </c>
      <c r="B343" s="19" t="inlineStr">
        <is>
          <t>TV Show</t>
        </is>
      </c>
      <c r="C343" s="19" t="inlineStr">
        <is>
          <t>Inmates</t>
        </is>
      </c>
      <c r="E343" s="19" t="inlineStr">
        <is>
          <t>Kashyap Kapoor, Ashish Verma, Raghav Raj Kakker, Mukti Mohan, Akanksha Thakur</t>
        </is>
      </c>
      <c r="F343" s="19" t="inlineStr">
        <is>
          <t>India</t>
        </is>
      </c>
      <c r="G343" s="19" t="inlineStr">
        <is>
          <t>2019-10-01</t>
        </is>
      </c>
      <c r="H343" s="19" t="n">
        <v>2017</v>
      </c>
      <c r="I343" s="19" t="inlineStr">
        <is>
          <t>TV-MA</t>
        </is>
      </c>
      <c r="J343" s="19" t="inlineStr">
        <is>
          <t>1 Season</t>
        </is>
      </c>
      <c r="K343" s="19" t="inlineStr">
        <is>
          <t>International TV Shows, TV Comedies</t>
        </is>
      </c>
      <c r="L343" s="19" t="inlineStr">
        <is>
          <t>While living under one roof, five close-knit 20-somethings maneuver the highs and lows of friendship, romantic entanglements and finding themselves.</t>
        </is>
      </c>
      <c r="M343" s="19" t="n">
        <v>2019</v>
      </c>
      <c r="N343" s="19">
        <f>IF(AND(OR(YearFilter="All",$M343=YearFilter),OR(RatingFilter="All",$I343=RatingFilter),OR(TypeFilter="All",$B343=TypeFilter),OR(GenreFilter="All",COUNTIFS(tblGenre[show_id],$A343,tblGenre[Genre],GenreFilter)&gt;0)),1,0)</f>
        <v/>
      </c>
    </row>
    <row r="344" ht="15" customHeight="1" s="20">
      <c r="A344" s="19" t="inlineStr">
        <is>
          <t>s3469</t>
        </is>
      </c>
      <c r="B344" s="19" t="inlineStr">
        <is>
          <t>Movie</t>
        </is>
      </c>
      <c r="C344" s="19" t="inlineStr">
        <is>
          <t>Limitless</t>
        </is>
      </c>
      <c r="D344" s="19" t="inlineStr">
        <is>
          <t>Vrinda Samartha</t>
        </is>
      </c>
      <c r="F344" s="19" t="inlineStr">
        <is>
          <t>India</t>
        </is>
      </c>
      <c r="G344" s="19" t="inlineStr">
        <is>
          <t>2019-10-01</t>
        </is>
      </c>
      <c r="H344" s="19" t="n">
        <v>2017</v>
      </c>
      <c r="I344" s="19" t="inlineStr">
        <is>
          <t>TV-PG</t>
        </is>
      </c>
      <c r="J344" s="19" t="inlineStr">
        <is>
          <t>59 min</t>
        </is>
      </c>
      <c r="K344" s="19" t="inlineStr">
        <is>
          <t>Documentaries, International Movies, Sports Movies</t>
        </is>
      </c>
      <c r="L344" s="19" t="inlineStr">
        <is>
          <t>This documentary follows eight women in India who struggle with self-confidence and society's expectations but rediscover themselves through running.</t>
        </is>
      </c>
      <c r="M344" s="19" t="n">
        <v>2019</v>
      </c>
      <c r="N344" s="19">
        <f>IF(AND(OR(YearFilter="All",$M344=YearFilter),OR(RatingFilter="All",$I344=RatingFilter),OR(TypeFilter="All",$B344=TypeFilter),OR(GenreFilter="All",COUNTIFS(tblGenre[show_id],$A344,tblGenre[Genre],GenreFilter)&gt;0)),1,0)</f>
        <v/>
      </c>
    </row>
    <row r="345" ht="15" customHeight="1" s="20">
      <c r="A345" s="19" t="inlineStr">
        <is>
          <t>s3482</t>
        </is>
      </c>
      <c r="B345" s="19" t="inlineStr">
        <is>
          <t>TV Show</t>
        </is>
      </c>
      <c r="C345" s="19" t="inlineStr">
        <is>
          <t>Bard of Blood</t>
        </is>
      </c>
      <c r="E345" s="19" t="inlineStr">
        <is>
          <t>Emraan Hashmi, Viineet Kumar, Sobhita Dhulipala, Jaideep Ahlawat, Kirti Kulhari, Sohum Shah, Rajit Kapoor, Danish Hussain</t>
        </is>
      </c>
      <c r="F345" s="19" t="inlineStr">
        <is>
          <t>India</t>
        </is>
      </c>
      <c r="G345" s="19" t="inlineStr">
        <is>
          <t>2019-09-27</t>
        </is>
      </c>
      <c r="H345" s="19" t="n">
        <v>2019</v>
      </c>
      <c r="I345" s="19" t="inlineStr">
        <is>
          <t>TV-MA</t>
        </is>
      </c>
      <c r="J345" s="19" t="inlineStr">
        <is>
          <t>1 Season</t>
        </is>
      </c>
      <c r="K345" s="19" t="inlineStr">
        <is>
          <t>International TV Shows, TV Action &amp; Adventure, TV Dramas</t>
        </is>
      </c>
      <c r="L345" s="19" t="inlineStr">
        <is>
          <t>Years after a disastrous job in Balochistan, a former Indian spy must confront his past when he returns to lead an unsanctioned hostage-rescue mission.</t>
        </is>
      </c>
      <c r="M345" s="19" t="n">
        <v>2019</v>
      </c>
      <c r="N345" s="19">
        <f>IF(AND(OR(YearFilter="All",$M345=YearFilter),OR(RatingFilter="All",$I345=RatingFilter),OR(TypeFilter="All",$B345=TypeFilter),OR(GenreFilter="All",COUNTIFS(tblGenre[show_id],$A345,tblGenre[Genre],GenreFilter)&gt;0)),1,0)</f>
        <v/>
      </c>
    </row>
    <row r="346" ht="15" customHeight="1" s="20">
      <c r="A346" s="19" t="inlineStr">
        <is>
          <t>s3487</t>
        </is>
      </c>
      <c r="B346" s="19" t="inlineStr">
        <is>
          <t>Movie</t>
        </is>
      </c>
      <c r="C346" s="19" t="inlineStr">
        <is>
          <t>Malaal</t>
        </is>
      </c>
      <c r="D346" s="19" t="inlineStr">
        <is>
          <t>Mangesh Hadawale</t>
        </is>
      </c>
      <c r="E346" s="19" t="inlineStr">
        <is>
          <t>Meezaan Jaffrey, Sharmin Segal, Chinmaya Surve, Anil Gawas, Sonal Jha, Sanjay Gurbaxani, Sameer Dharmadhikari, Deepak Damle</t>
        </is>
      </c>
      <c r="F346" s="19" t="inlineStr">
        <is>
          <t>India</t>
        </is>
      </c>
      <c r="G346" s="19" t="inlineStr">
        <is>
          <t>2019-09-26</t>
        </is>
      </c>
      <c r="H346" s="19" t="n">
        <v>2019</v>
      </c>
      <c r="I346" s="19" t="inlineStr">
        <is>
          <t>TV-14</t>
        </is>
      </c>
      <c r="J346" s="19" t="inlineStr">
        <is>
          <t>133 min</t>
        </is>
      </c>
      <c r="K346" s="19" t="inlineStr">
        <is>
          <t>Dramas, International Movies, Romantic Movies</t>
        </is>
      </c>
      <c r="L346" s="19" t="inlineStr">
        <is>
          <t>Class divides become thorns in the budding romance between the crony of a nativist Mumbai politician and the new, North Indian resident of his chawl.</t>
        </is>
      </c>
      <c r="M346" s="19" t="n">
        <v>2019</v>
      </c>
      <c r="N346" s="19">
        <f>IF(AND(OR(YearFilter="All",$M346=YearFilter),OR(RatingFilter="All",$I346=RatingFilter),OR(TypeFilter="All",$B346=TypeFilter),OR(GenreFilter="All",COUNTIFS(tblGenre[show_id],$A346,tblGenre[Genre],GenreFilter)&gt;0)),1,0)</f>
        <v/>
      </c>
    </row>
    <row r="347" ht="15" customHeight="1" s="20">
      <c r="A347" s="19" t="inlineStr">
        <is>
          <t>s3497</t>
        </is>
      </c>
      <c r="B347" s="19" t="inlineStr">
        <is>
          <t>Movie</t>
        </is>
      </c>
      <c r="C347" s="19" t="inlineStr">
        <is>
          <t>Manmadhudu 2</t>
        </is>
      </c>
      <c r="D347" s="19" t="inlineStr">
        <is>
          <t>Rahul Ravindran</t>
        </is>
      </c>
      <c r="E347" s="19" t="inlineStr">
        <is>
          <t>Nagarjuna Akkineni, Rakul Preet Singh, Lakshmi, Rao Ramesh, Vennela Kishore, Jhansi, Devadarshini Chetan, Nishanti</t>
        </is>
      </c>
      <c r="F347" s="19" t="inlineStr">
        <is>
          <t>India</t>
        </is>
      </c>
      <c r="G347" s="19" t="inlineStr">
        <is>
          <t>2019-09-23</t>
        </is>
      </c>
      <c r="H347" s="19" t="n">
        <v>2019</v>
      </c>
      <c r="I347" s="19" t="inlineStr">
        <is>
          <t>TV-MA</t>
        </is>
      </c>
      <c r="J347" s="19" t="inlineStr">
        <is>
          <t>152 min</t>
        </is>
      </c>
      <c r="K347" s="19" t="inlineStr">
        <is>
          <t>Comedies, Dramas, International Movies</t>
        </is>
      </c>
      <c r="L347" s="19" t="inlineStr">
        <is>
          <t>Under pressure to marry, a perennial bachelor hires a much younger woman to act as his fiancée, but her bond with his family throws his plan for a loop.</t>
        </is>
      </c>
      <c r="M347" s="19" t="n">
        <v>2019</v>
      </c>
      <c r="N347" s="19">
        <f>IF(AND(OR(YearFilter="All",$M347=YearFilter),OR(RatingFilter="All",$I347=RatingFilter),OR(TypeFilter="All",$B347=TypeFilter),OR(GenreFilter="All",COUNTIFS(tblGenre[show_id],$A347,tblGenre[Genre],GenreFilter)&gt;0)),1,0)</f>
        <v/>
      </c>
    </row>
    <row r="348" ht="15" customHeight="1" s="20">
      <c r="A348" s="19" t="inlineStr">
        <is>
          <t>s3499</t>
        </is>
      </c>
      <c r="B348" s="19" t="inlineStr">
        <is>
          <t>Movie</t>
        </is>
      </c>
      <c r="C348" s="19" t="inlineStr">
        <is>
          <t>Do Paise Ki Dhoop Chaar Aane Ki Baarish</t>
        </is>
      </c>
      <c r="D348" s="19" t="inlineStr">
        <is>
          <t>Deepti Naval</t>
        </is>
      </c>
      <c r="E348" s="19" t="inlineStr">
        <is>
          <t>Manisha Koirala, Rajit Kapoor, Sanaj Naval, Rajendra Gupta, Suhaas Khandke, Nassar Abdulla, Saurabh Dubey, Usha Jadhav, Ashwin Kaushal, Milind Soman</t>
        </is>
      </c>
      <c r="F348" s="19" t="inlineStr">
        <is>
          <t>India</t>
        </is>
      </c>
      <c r="G348" s="19" t="inlineStr">
        <is>
          <t>2019-09-22</t>
        </is>
      </c>
      <c r="H348" s="19" t="n">
        <v>2009</v>
      </c>
      <c r="I348" s="19" t="inlineStr">
        <is>
          <t>TV-MA</t>
        </is>
      </c>
      <c r="J348" s="19" t="inlineStr">
        <is>
          <t>121 min</t>
        </is>
      </c>
      <c r="K348" s="19" t="inlineStr">
        <is>
          <t>Dramas, Independent Movies, International Movies</t>
        </is>
      </c>
      <c r="L348" s="19" t="inlineStr">
        <is>
          <t>When a sex worker hires a gay songwriter to care for her disabled son, the ensuing bonds that form offer a complex portrayal of love and family.</t>
        </is>
      </c>
      <c r="M348" s="19" t="n">
        <v>2019</v>
      </c>
      <c r="N348" s="19">
        <f>IF(AND(OR(YearFilter="All",$M348=YearFilter),OR(RatingFilter="All",$I348=RatingFilter),OR(TypeFilter="All",$B348=TypeFilter),OR(GenreFilter="All",COUNTIFS(tblGenre[show_id],$A348,tblGenre[Genre],GenreFilter)&gt;0)),1,0)</f>
        <v/>
      </c>
    </row>
    <row r="349" ht="15" customHeight="1" s="20">
      <c r="A349" s="19" t="inlineStr">
        <is>
          <t>s3510</t>
        </is>
      </c>
      <c r="B349" s="19" t="inlineStr">
        <is>
          <t>Movie</t>
        </is>
      </c>
      <c r="C349" s="19" t="inlineStr">
        <is>
          <t>Kabir Singh</t>
        </is>
      </c>
      <c r="D349" s="19" t="inlineStr">
        <is>
          <t>Sandeep Reddy Vanga</t>
        </is>
      </c>
      <c r="E349" s="19" t="inlineStr">
        <is>
          <t>Shahid Kapoor, Kiara Advani, Suresh Oberoi, Arjan Bajwa, Adil Hussain, Nikita Dutta, Kamini Kaushal, Anurag Arora</t>
        </is>
      </c>
      <c r="F349" s="19" t="inlineStr">
        <is>
          <t>India</t>
        </is>
      </c>
      <c r="G349" s="19" t="inlineStr">
        <is>
          <t>2019-09-19</t>
        </is>
      </c>
      <c r="H349" s="19" t="n">
        <v>2019</v>
      </c>
      <c r="I349" s="19" t="inlineStr">
        <is>
          <t>TV-MA</t>
        </is>
      </c>
      <c r="J349" s="19" t="inlineStr">
        <is>
          <t>171 min</t>
        </is>
      </c>
      <c r="K349" s="19" t="inlineStr">
        <is>
          <t>Dramas, International Movies, Romantic Movies</t>
        </is>
      </c>
      <c r="L349" s="19" t="inlineStr">
        <is>
          <t>An exalted but short-fused surgeon plunges into a spiral of drugs, alcohol and rage after his intense relationship with his girlfriend turbulently ends.</t>
        </is>
      </c>
      <c r="M349" s="19" t="n">
        <v>2019</v>
      </c>
      <c r="N349" s="19">
        <f>IF(AND(OR(YearFilter="All",$M349=YearFilter),OR(RatingFilter="All",$I349=RatingFilter),OR(TypeFilter="All",$B349=TypeFilter),OR(GenreFilter="All",COUNTIFS(tblGenre[show_id],$A349,tblGenre[Genre],GenreFilter)&gt;0)),1,0)</f>
        <v/>
      </c>
    </row>
    <row r="350" ht="15" customHeight="1" s="20">
      <c r="A350" s="19" t="inlineStr">
        <is>
          <t>s3517</t>
        </is>
      </c>
      <c r="B350" s="19" t="inlineStr">
        <is>
          <t>Movie</t>
        </is>
      </c>
      <c r="C350" s="19" t="inlineStr">
        <is>
          <t>Oh! Baby</t>
        </is>
      </c>
      <c r="D350" s="19" t="inlineStr">
        <is>
          <t>B. V. Nandini Reddy</t>
        </is>
      </c>
      <c r="E350" s="19" t="inlineStr">
        <is>
          <t>Samantha Ruth Prabhu, Lakshmi, Rajendraprasad, Naga Shourya, Rao Ramesh, Teja Sajja, Pragathi, Jagapathi Babu, Aishwarya, Urvashi</t>
        </is>
      </c>
      <c r="F350" s="19" t="inlineStr">
        <is>
          <t>India</t>
        </is>
      </c>
      <c r="G350" s="19" t="inlineStr">
        <is>
          <t>2019-09-14</t>
        </is>
      </c>
      <c r="H350" s="19" t="n">
        <v>2019</v>
      </c>
      <c r="I350" s="19" t="inlineStr">
        <is>
          <t>TV-14</t>
        </is>
      </c>
      <c r="J350" s="19" t="inlineStr">
        <is>
          <t>157 min</t>
        </is>
      </c>
      <c r="K350" s="19" t="inlineStr">
        <is>
          <t>Comedies, International Movies, Music &amp; Musicals</t>
        </is>
      </c>
      <c r="L350" s="19" t="inlineStr">
        <is>
          <t>A surly septuagenarian gets another chance at her 20s after having her photo snapped at a studio that magically takes 50 years off her life.</t>
        </is>
      </c>
      <c r="M350" s="19" t="n">
        <v>2019</v>
      </c>
      <c r="N350" s="19">
        <f>IF(AND(OR(YearFilter="All",$M350=YearFilter),OR(RatingFilter="All",$I350=RatingFilter),OR(TypeFilter="All",$B350=TypeFilter),OR(GenreFilter="All",COUNTIFS(tblGenre[show_id],$A350,tblGenre[Genre],GenreFilter)&gt;0)),1,0)</f>
        <v/>
      </c>
    </row>
    <row r="351" ht="15" customHeight="1" s="20">
      <c r="A351" s="19" t="inlineStr">
        <is>
          <t>s3531</t>
        </is>
      </c>
      <c r="B351" s="19" t="inlineStr">
        <is>
          <t>Movie</t>
        </is>
      </c>
      <c r="C351" s="19" t="inlineStr">
        <is>
          <t>Article 15</t>
        </is>
      </c>
      <c r="D351" s="19" t="inlineStr">
        <is>
          <t>Anubhav Sinha</t>
        </is>
      </c>
      <c r="E351" s="19" t="inlineStr">
        <is>
          <t>Ayushmann Khurrana, Nassar, Manoj Pahwa, Kumud Mishra, Isha Talwar, Sayani Gupta, Mohammed Zeeshan Ayyub, Subhrajyoti Barat, Sushil Pandey, Aakash Dabhade</t>
        </is>
      </c>
      <c r="F351" s="19" t="inlineStr">
        <is>
          <t>India</t>
        </is>
      </c>
      <c r="G351" s="19" t="inlineStr">
        <is>
          <t>2019-09-06</t>
        </is>
      </c>
      <c r="H351" s="19" t="n">
        <v>2019</v>
      </c>
      <c r="I351" s="19" t="inlineStr">
        <is>
          <t>TV-MA</t>
        </is>
      </c>
      <c r="J351" s="19" t="inlineStr">
        <is>
          <t>125 min</t>
        </is>
      </c>
      <c r="K351" s="19" t="inlineStr">
        <is>
          <t>Dramas, International Movies, Thrillers</t>
        </is>
      </c>
      <c r="L351" s="19" t="inlineStr">
        <is>
          <t>The grim realities of caste discrimination come to light as an entitled but upright city cop ventures into India’s heartland to investigate a murder.</t>
        </is>
      </c>
      <c r="M351" s="19" t="n">
        <v>2019</v>
      </c>
      <c r="N351" s="19">
        <f>IF(AND(OR(YearFilter="All",$M351=YearFilter),OR(RatingFilter="All",$I351=RatingFilter),OR(TypeFilter="All",$B351=TypeFilter),OR(GenreFilter="All",COUNTIFS(tblGenre[show_id],$A351,tblGenre[Genre],GenreFilter)&gt;0)),1,0)</f>
        <v/>
      </c>
    </row>
    <row r="352" ht="15" customHeight="1" s="20">
      <c r="A352" s="19" t="inlineStr">
        <is>
          <t>s3532</t>
        </is>
      </c>
      <c r="B352" s="19" t="inlineStr">
        <is>
          <t>Movie</t>
        </is>
      </c>
      <c r="C352" s="19" t="inlineStr">
        <is>
          <t>Care of Kancharapalem</t>
        </is>
      </c>
      <c r="D352" s="19" t="inlineStr">
        <is>
          <t>Maha Venkatesh</t>
        </is>
      </c>
      <c r="E352" s="19" t="inlineStr">
        <is>
          <t>Subba Rao Vepada, Radha Bessy, Kesava Karri, Nithyasri Goru, Karthik Rathnam, Praneetha Patnaik, Mohan Bhagath, Praveena Paruchuri</t>
        </is>
      </c>
      <c r="F352" s="19" t="inlineStr">
        <is>
          <t>India</t>
        </is>
      </c>
      <c r="G352" s="19" t="inlineStr">
        <is>
          <t>2019-09-06</t>
        </is>
      </c>
      <c r="H352" s="19" t="n">
        <v>2018</v>
      </c>
      <c r="I352" s="19" t="inlineStr">
        <is>
          <t>TV-MA</t>
        </is>
      </c>
      <c r="J352" s="19" t="inlineStr">
        <is>
          <t>142 min</t>
        </is>
      </c>
      <c r="K352" s="19" t="inlineStr">
        <is>
          <t>Comedies, Dramas, Independent Movies</t>
        </is>
      </c>
      <c r="L352" s="19" t="inlineStr">
        <is>
          <t>From a schoolboy’s crush to a middle-aged bachelor’s office romance, four love stories spanning age, religion and status unfold in a small Indian town.</t>
        </is>
      </c>
      <c r="M352" s="19" t="n">
        <v>2019</v>
      </c>
      <c r="N352" s="19">
        <f>IF(AND(OR(YearFilter="All",$M352=YearFilter),OR(RatingFilter="All",$I352=RatingFilter),OR(TypeFilter="All",$B352=TypeFilter),OR(GenreFilter="All",COUNTIFS(tblGenre[show_id],$A352,tblGenre[Genre],GenreFilter)&gt;0)),1,0)</f>
        <v/>
      </c>
    </row>
    <row r="353" ht="15" customHeight="1" s="20">
      <c r="A353" s="19" t="inlineStr">
        <is>
          <t>s3533</t>
        </is>
      </c>
      <c r="B353" s="19" t="inlineStr">
        <is>
          <t>Movie</t>
        </is>
      </c>
      <c r="C353" s="19" t="inlineStr">
        <is>
          <t>Ee Nagaraniki Emaindi</t>
        </is>
      </c>
      <c r="D353" s="19" t="inlineStr">
        <is>
          <t>Tharun Bhascker</t>
        </is>
      </c>
      <c r="E353" s="19" t="inlineStr">
        <is>
          <t>Vishwaksen Naidu, Sushanth Reddy, Abhinav Gomatam, Venkatesh Kakumanu, Anisha Ambrose, Simran Choudhary</t>
        </is>
      </c>
      <c r="F353" s="19" t="inlineStr">
        <is>
          <t>India</t>
        </is>
      </c>
      <c r="G353" s="19" t="inlineStr">
        <is>
          <t>2019-09-06</t>
        </is>
      </c>
      <c r="H353" s="19" t="n">
        <v>2018</v>
      </c>
      <c r="I353" s="19" t="inlineStr">
        <is>
          <t>TV-14</t>
        </is>
      </c>
      <c r="J353" s="19" t="inlineStr">
        <is>
          <t>133 min</t>
        </is>
      </c>
      <c r="K353" s="19" t="inlineStr">
        <is>
          <t>Comedies, Independent Movies, International Movies</t>
        </is>
      </c>
      <c r="L353" s="19" t="inlineStr">
        <is>
          <t>In Goa and in desperate need of cash, four childhood friends get another shot at making their long-abandoned dreams of becoming filmmakers come true.</t>
        </is>
      </c>
      <c r="M353" s="19" t="n">
        <v>2019</v>
      </c>
      <c r="N353" s="19">
        <f>IF(AND(OR(YearFilter="All",$M353=YearFilter),OR(RatingFilter="All",$I353=RatingFilter),OR(TypeFilter="All",$B353=TypeFilter),OR(GenreFilter="All",COUNTIFS(tblGenre[show_id],$A353,tblGenre[Genre],GenreFilter)&gt;0)),1,0)</f>
        <v/>
      </c>
    </row>
    <row r="354" ht="15" customHeight="1" s="20">
      <c r="A354" s="19" t="inlineStr">
        <is>
          <t>s3538</t>
        </is>
      </c>
      <c r="B354" s="19" t="inlineStr">
        <is>
          <t>Movie</t>
        </is>
      </c>
      <c r="C354" s="19" t="inlineStr">
        <is>
          <t>Watchman</t>
        </is>
      </c>
      <c r="D354" s="19" t="inlineStr">
        <is>
          <t>A. L. Vijay</t>
        </is>
      </c>
      <c r="E354" s="19" t="inlineStr">
        <is>
          <t>G.V. Prakash Kumar, Samyuktha Hegde, Suman, Raj Arjun, Yogi Babu, Munishkanth</t>
        </is>
      </c>
      <c r="F354" s="19" t="inlineStr">
        <is>
          <t>India</t>
        </is>
      </c>
      <c r="G354" s="19" t="inlineStr">
        <is>
          <t>2019-09-04</t>
        </is>
      </c>
      <c r="H354" s="19" t="n">
        <v>2019</v>
      </c>
      <c r="I354" s="19" t="inlineStr">
        <is>
          <t>TV-14</t>
        </is>
      </c>
      <c r="J354" s="19" t="inlineStr">
        <is>
          <t>93 min</t>
        </is>
      </c>
      <c r="K354" s="19" t="inlineStr">
        <is>
          <t>Comedies, Dramas, International Movies</t>
        </is>
      </c>
      <c r="L354" s="19" t="inlineStr">
        <is>
          <t>Rushing to pay off a loan shark, a young man breaks into a bungalow to steal the cash, unprepared for the dog standing guard – or the trouble inside.</t>
        </is>
      </c>
      <c r="M354" s="19" t="n">
        <v>2019</v>
      </c>
      <c r="N354" s="19">
        <f>IF(AND(OR(YearFilter="All",$M354=YearFilter),OR(RatingFilter="All",$I354=RatingFilter),OR(TypeFilter="All",$B354=TypeFilter),OR(GenreFilter="All",COUNTIFS(tblGenre[show_id],$A354,tblGenre[Genre],GenreFilter)&gt;0)),1,0)</f>
        <v/>
      </c>
    </row>
    <row r="355" ht="15" customHeight="1" s="20">
      <c r="A355" s="19" t="inlineStr">
        <is>
          <t>s3564</t>
        </is>
      </c>
      <c r="B355" s="19" t="inlineStr">
        <is>
          <t>Movie</t>
        </is>
      </c>
      <c r="C355" s="19" t="inlineStr">
        <is>
          <t>Kaake Da Viyah</t>
        </is>
      </c>
      <c r="D355" s="19" t="inlineStr">
        <is>
          <t>Rai Yuvraj Bains</t>
        </is>
      </c>
      <c r="E355" s="19" t="inlineStr">
        <is>
          <t>Priti Sapru, Nirmal Rishi, Jordan Sandhu, Prabh Grewal, Karamjit Anmol, Harby Sangha, Gurmeet Sajan, Prince Kanwaljit Singh</t>
        </is>
      </c>
      <c r="F355" s="19" t="inlineStr">
        <is>
          <t>India</t>
        </is>
      </c>
      <c r="G355" s="19" t="inlineStr">
        <is>
          <t>2019-08-23</t>
        </is>
      </c>
      <c r="H355" s="19" t="n">
        <v>2019</v>
      </c>
      <c r="I355" s="19" t="inlineStr">
        <is>
          <t>TV-PG</t>
        </is>
      </c>
      <c r="J355" s="19" t="inlineStr">
        <is>
          <t>133 min</t>
        </is>
      </c>
      <c r="K355" s="19" t="inlineStr">
        <is>
          <t>Comedies, Dramas, International Movies</t>
        </is>
      </c>
      <c r="L355" s="19" t="inlineStr">
        <is>
          <t>In this zany comedy, a man is torn between the girl he loves and the respective women his warring mother and grandmother have chosen for him to marry.</t>
        </is>
      </c>
      <c r="M355" s="19" t="n">
        <v>2019</v>
      </c>
      <c r="N355" s="19">
        <f>IF(AND(OR(YearFilter="All",$M355=YearFilter),OR(RatingFilter="All",$I355=RatingFilter),OR(TypeFilter="All",$B355=TypeFilter),OR(GenreFilter="All",COUNTIFS(tblGenre[show_id],$A355,tblGenre[Genre],GenreFilter)&gt;0)),1,0)</f>
        <v/>
      </c>
    </row>
    <row r="356" ht="15" customHeight="1" s="20">
      <c r="A356" s="19" t="inlineStr">
        <is>
          <t>s3565</t>
        </is>
      </c>
      <c r="B356" s="19" t="inlineStr">
        <is>
          <t>Movie</t>
        </is>
      </c>
      <c r="C356" s="19" t="inlineStr">
        <is>
          <t>Marriage Palace</t>
        </is>
      </c>
      <c r="D356" s="19" t="inlineStr">
        <is>
          <t>Sunil Thakur</t>
        </is>
      </c>
      <c r="E356" s="19" t="inlineStr">
        <is>
          <t>Sharry Mann, Payal Rajput, Jaswinder Bhalla, B.N. Sharma, Harby Sangha, Nirmal Rishi, Anita Devgan, Rupinder Roopi</t>
        </is>
      </c>
      <c r="F356" s="19" t="inlineStr">
        <is>
          <t>India</t>
        </is>
      </c>
      <c r="G356" s="19" t="inlineStr">
        <is>
          <t>2019-08-23</t>
        </is>
      </c>
      <c r="H356" s="19" t="n">
        <v>2018</v>
      </c>
      <c r="I356" s="19" t="inlineStr">
        <is>
          <t>TV-14</t>
        </is>
      </c>
      <c r="J356" s="19" t="inlineStr">
        <is>
          <t>135 min</t>
        </is>
      </c>
      <c r="K356" s="19" t="inlineStr">
        <is>
          <t>Comedies, International Movies</t>
        </is>
      </c>
      <c r="L356" s="19" t="inlineStr">
        <is>
          <t>After a young man charms the girl he loves into accepting his proposal, an accidental swap on their wedding day leads him to marry the wrong bride.</t>
        </is>
      </c>
      <c r="M356" s="19" t="n">
        <v>2019</v>
      </c>
      <c r="N356" s="19">
        <f>IF(AND(OR(YearFilter="All",$M356=YearFilter),OR(RatingFilter="All",$I356=RatingFilter),OR(TypeFilter="All",$B356=TypeFilter),OR(GenreFilter="All",COUNTIFS(tblGenre[show_id],$A356,tblGenre[Genre],GenreFilter)&gt;0)),1,0)</f>
        <v/>
      </c>
    </row>
    <row r="357" ht="15" customHeight="1" s="20">
      <c r="A357" s="19" t="inlineStr">
        <is>
          <t>s3567</t>
        </is>
      </c>
      <c r="B357" s="19" t="inlineStr">
        <is>
          <t>Movie</t>
        </is>
      </c>
      <c r="C357" s="19" t="inlineStr">
        <is>
          <t>Saavat</t>
        </is>
      </c>
      <c r="D357" s="19" t="inlineStr">
        <is>
          <t>Saurabh Sinha</t>
        </is>
      </c>
      <c r="E357" s="19" t="inlineStr">
        <is>
          <t>Smita Tambe, Milind Shirole, Shwetambari Ghute, Shitanshu Kumar Sharad, Nishikant Rawji, Sanjivani Khanvilkar</t>
        </is>
      </c>
      <c r="F357" s="19" t="inlineStr">
        <is>
          <t>India</t>
        </is>
      </c>
      <c r="G357" s="19" t="inlineStr">
        <is>
          <t>2019-08-23</t>
        </is>
      </c>
      <c r="H357" s="19" t="n">
        <v>2019</v>
      </c>
      <c r="I357" s="19" t="inlineStr">
        <is>
          <t>TV-14</t>
        </is>
      </c>
      <c r="J357" s="19" t="inlineStr">
        <is>
          <t>118 min</t>
        </is>
      </c>
      <c r="K357" s="19" t="inlineStr">
        <is>
          <t>Dramas, Independent Movies, International Movies</t>
        </is>
      </c>
      <c r="L357" s="19" t="inlineStr">
        <is>
          <t>In rural India, a detective's investigation of seven confounding suicides uncovers revelations about the myths and mindsets of the rest of the village.</t>
        </is>
      </c>
      <c r="M357" s="19" t="n">
        <v>2019</v>
      </c>
      <c r="N357" s="19">
        <f>IF(AND(OR(YearFilter="All",$M357=YearFilter),OR(RatingFilter="All",$I357=RatingFilter),OR(TypeFilter="All",$B357=TypeFilter),OR(GenreFilter="All",COUNTIFS(tblGenre[show_id],$A357,tblGenre[Genre],GenreFilter)&gt;0)),1,0)</f>
        <v/>
      </c>
    </row>
    <row r="358" ht="15" customHeight="1" s="20">
      <c r="A358" s="19" t="inlineStr">
        <is>
          <t>s3570</t>
        </is>
      </c>
      <c r="B358" s="19" t="inlineStr">
        <is>
          <t>Movie</t>
        </is>
      </c>
      <c r="C358" s="19" t="inlineStr">
        <is>
          <t>Game Over (Tamil Version)</t>
        </is>
      </c>
      <c r="D358" s="19" t="inlineStr">
        <is>
          <t>Ashwin Saravanan</t>
        </is>
      </c>
      <c r="E358" s="19" t="inlineStr">
        <is>
          <t>Taapsee Pannu, Vinodhini, Parvathi T, Ramya Subramanian, Sanchana Natarajan, Anish Kuruvilla, David Solomon Raja</t>
        </is>
      </c>
      <c r="F358" s="19" t="inlineStr">
        <is>
          <t>India, Turkey</t>
        </is>
      </c>
      <c r="G358" s="19" t="inlineStr">
        <is>
          <t>2019-08-21</t>
        </is>
      </c>
      <c r="H358" s="19" t="n">
        <v>2019</v>
      </c>
      <c r="I358" s="19" t="inlineStr">
        <is>
          <t>TV-MA</t>
        </is>
      </c>
      <c r="J358" s="19" t="inlineStr">
        <is>
          <t>98 min</t>
        </is>
      </c>
      <c r="K358" s="19" t="inlineStr">
        <is>
          <t>Horror Movies, International Movies, Thrillers</t>
        </is>
      </c>
      <c r="L358" s="19" t="inlineStr">
        <is>
          <t>As a series of murders hit close to home, a video game designer with post-traumatic stress must confront her demons, or risk becoming their victim.</t>
        </is>
      </c>
      <c r="M358" s="19" t="n">
        <v>2019</v>
      </c>
      <c r="N358" s="19">
        <f>IF(AND(OR(YearFilter="All",$M358=YearFilter),OR(RatingFilter="All",$I358=RatingFilter),OR(TypeFilter="All",$B358=TypeFilter),OR(GenreFilter="All",COUNTIFS(tblGenre[show_id],$A358,tblGenre[Genre],GenreFilter)&gt;0)),1,0)</f>
        <v/>
      </c>
    </row>
    <row r="359" ht="15" customHeight="1" s="20">
      <c r="A359" s="19" t="inlineStr">
        <is>
          <t>s3590</t>
        </is>
      </c>
      <c r="B359" s="19" t="inlineStr">
        <is>
          <t>TV Show</t>
        </is>
      </c>
      <c r="C359" s="19" t="inlineStr">
        <is>
          <t>Sacred Games</t>
        </is>
      </c>
      <c r="D359" s="19" t="inlineStr">
        <is>
          <t>Vikramaditya Motwane, Anurag Kashyap</t>
        </is>
      </c>
      <c r="E359" s="19" t="inlineStr">
        <is>
          <t>Saif Ali Khan, Nawazuddin Siddiqui, Radhika Apte, Neeraj Kabi, Jitendra Joshi</t>
        </is>
      </c>
      <c r="F359" s="19" t="inlineStr">
        <is>
          <t>India, United States</t>
        </is>
      </c>
      <c r="G359" s="19" t="inlineStr">
        <is>
          <t>2019-08-15</t>
        </is>
      </c>
      <c r="H359" s="19" t="n">
        <v>2019</v>
      </c>
      <c r="I359" s="19" t="inlineStr">
        <is>
          <t>TV-MA</t>
        </is>
      </c>
      <c r="J359" s="19" t="inlineStr">
        <is>
          <t>2 Seasons</t>
        </is>
      </c>
      <c r="K359" s="19" t="inlineStr">
        <is>
          <t>Crime TV Shows, International TV Shows, TV Dramas</t>
        </is>
      </c>
      <c r="L359" s="19" t="inlineStr">
        <is>
          <t>A link in their pasts leads an honest cop to a fugitive gang boss, whose cryptic warning spurs the officer on a quest to save Mumbai from cataclysm.</t>
        </is>
      </c>
      <c r="M359" s="19" t="n">
        <v>2019</v>
      </c>
      <c r="N359" s="19">
        <f>IF(AND(OR(YearFilter="All",$M359=YearFilter),OR(RatingFilter="All",$I359=RatingFilter),OR(TypeFilter="All",$B359=TypeFilter),OR(GenreFilter="All",COUNTIFS(tblGenre[show_id],$A359,tblGenre[Genre],GenreFilter)&gt;0)),1,0)</f>
        <v/>
      </c>
    </row>
    <row r="360" ht="15" customHeight="1" s="20">
      <c r="A360" s="19" t="inlineStr">
        <is>
          <t>s3594</t>
        </is>
      </c>
      <c r="B360" s="19" t="inlineStr">
        <is>
          <t>Movie</t>
        </is>
      </c>
      <c r="C360" s="19" t="inlineStr">
        <is>
          <t>Uyare</t>
        </is>
      </c>
      <c r="D360" s="19" t="inlineStr">
        <is>
          <t>Manu Ashokan</t>
        </is>
      </c>
      <c r="E360" s="19" t="inlineStr">
        <is>
          <t>Parvathy, Asif Ali, Tovino Thomas, Siddique, Pratap Pothan, Samyuktha Menon, Anarkali Marikar, Prem Prakash</t>
        </is>
      </c>
      <c r="F360" s="19" t="inlineStr">
        <is>
          <t>India</t>
        </is>
      </c>
      <c r="G360" s="19" t="inlineStr">
        <is>
          <t>2019-08-14</t>
        </is>
      </c>
      <c r="H360" s="19" t="n">
        <v>2019</v>
      </c>
      <c r="I360" s="19" t="inlineStr">
        <is>
          <t>TV-14</t>
        </is>
      </c>
      <c r="J360" s="19" t="inlineStr">
        <is>
          <t>119 min</t>
        </is>
      </c>
      <c r="K360" s="19" t="inlineStr">
        <is>
          <t>Dramas, International Movies</t>
        </is>
      </c>
      <c r="L360" s="19" t="inlineStr">
        <is>
          <t>An aspiring pilot fights for her future – and justice – after surviving an acid attack from her abusive boyfriend.</t>
        </is>
      </c>
      <c r="M360" s="19" t="n">
        <v>2019</v>
      </c>
      <c r="N360" s="19">
        <f>IF(AND(OR(YearFilter="All",$M360=YearFilter),OR(RatingFilter="All",$I360=RatingFilter),OR(TypeFilter="All",$B360=TypeFilter),OR(GenreFilter="All",COUNTIFS(tblGenre[show_id],$A360,tblGenre[Genre],GenreFilter)&gt;0)),1,0)</f>
        <v/>
      </c>
    </row>
    <row r="361" ht="15" customHeight="1" s="20">
      <c r="A361" s="19" t="inlineStr">
        <is>
          <t>s3595</t>
        </is>
      </c>
      <c r="B361" s="19" t="inlineStr">
        <is>
          <t>Movie</t>
        </is>
      </c>
      <c r="C361" s="19" t="inlineStr">
        <is>
          <t>90 ML</t>
        </is>
      </c>
      <c r="D361" s="19" t="inlineStr">
        <is>
          <t>Anita Udeep</t>
        </is>
      </c>
      <c r="E361" s="19" t="inlineStr">
        <is>
          <t>Oviya, Masoom Shankar, Bommu Lakshmi, Monisha Ram, Tej Raj, Shree Gopika, Anson Paul, Devadarshini Chetan</t>
        </is>
      </c>
      <c r="F361" s="19" t="inlineStr">
        <is>
          <t>India</t>
        </is>
      </c>
      <c r="G361" s="19" t="inlineStr">
        <is>
          <t>2019-08-13</t>
        </is>
      </c>
      <c r="H361" s="19" t="n">
        <v>2019</v>
      </c>
      <c r="I361" s="19" t="inlineStr">
        <is>
          <t>TV-MA</t>
        </is>
      </c>
      <c r="J361" s="19" t="inlineStr">
        <is>
          <t>123 min</t>
        </is>
      </c>
      <c r="K361" s="19" t="inlineStr">
        <is>
          <t>Comedies, International Movies, Music &amp; Musicals</t>
        </is>
      </c>
      <c r="L361" s="19" t="inlineStr">
        <is>
          <t>Four friends shake up their lives when they meet a new woman in their apartment complex who encourages them to embrace their wild sides.</t>
        </is>
      </c>
      <c r="M361" s="19" t="n">
        <v>2019</v>
      </c>
      <c r="N361" s="19">
        <f>IF(AND(OR(YearFilter="All",$M361=YearFilter),OR(RatingFilter="All",$I361=RatingFilter),OR(TypeFilter="All",$B361=TypeFilter),OR(GenreFilter="All",COUNTIFS(tblGenre[show_id],$A361,tblGenre[Genre],GenreFilter)&gt;0)),1,0)</f>
        <v/>
      </c>
    </row>
    <row r="362" ht="15" customHeight="1" s="20">
      <c r="A362" s="19" t="inlineStr">
        <is>
          <t>s3603</t>
        </is>
      </c>
      <c r="B362" s="19" t="inlineStr">
        <is>
          <t>Movie</t>
        </is>
      </c>
      <c r="C362" s="19" t="inlineStr">
        <is>
          <t>Jaoon Kahan Bata Ae Dil</t>
        </is>
      </c>
      <c r="D362" s="19" t="inlineStr">
        <is>
          <t>Aadish Keluskar</t>
        </is>
      </c>
      <c r="E362" s="19" t="inlineStr">
        <is>
          <t>Khushboo Upadhyay, Rohit Kokate, Himanshu Kohli, Mohammed Shakir</t>
        </is>
      </c>
      <c r="F362" s="19" t="inlineStr">
        <is>
          <t>India</t>
        </is>
      </c>
      <c r="G362" s="19" t="inlineStr">
        <is>
          <t>2019-08-09</t>
        </is>
      </c>
      <c r="H362" s="19" t="n">
        <v>2018</v>
      </c>
      <c r="I362" s="19" t="inlineStr">
        <is>
          <t>TV-MA</t>
        </is>
      </c>
      <c r="J362" s="19" t="inlineStr">
        <is>
          <t>107 min</t>
        </is>
      </c>
      <c r="K362" s="19" t="inlineStr">
        <is>
          <t>Dramas, Independent Movies, International Movies</t>
        </is>
      </c>
      <c r="L362" s="19" t="inlineStr">
        <is>
          <t>A couple’s caustic, increasingly jarring interactions over a Mumbai evening strain their relationship until it threatens to break at its fraying seams.</t>
        </is>
      </c>
      <c r="M362" s="19" t="n">
        <v>2019</v>
      </c>
      <c r="N362" s="19">
        <f>IF(AND(OR(YearFilter="All",$M362=YearFilter),OR(RatingFilter="All",$I362=RatingFilter),OR(TypeFilter="All",$B362=TypeFilter),OR(GenreFilter="All",COUNTIFS(tblGenre[show_id],$A362,tblGenre[Genre],GenreFilter)&gt;0)),1,0)</f>
        <v/>
      </c>
    </row>
    <row r="363" ht="15" customHeight="1" s="20">
      <c r="A363" s="19" t="inlineStr">
        <is>
          <t>s3617</t>
        </is>
      </c>
      <c r="B363" s="19" t="inlineStr">
        <is>
          <t>Movie</t>
        </is>
      </c>
      <c r="C363" s="19" t="inlineStr">
        <is>
          <t>Badla</t>
        </is>
      </c>
      <c r="D363" s="19" t="inlineStr">
        <is>
          <t>Sujoy Ghosh</t>
        </is>
      </c>
      <c r="E363" s="19" t="inlineStr">
        <is>
          <t>Amitabh Bachchan, Taapsee Pannu, Amrita Singh, Tony Luke, Manav Kaul</t>
        </is>
      </c>
      <c r="F363" s="19" t="inlineStr">
        <is>
          <t>India</t>
        </is>
      </c>
      <c r="G363" s="19" t="inlineStr">
        <is>
          <t>2019-08-07</t>
        </is>
      </c>
      <c r="H363" s="19" t="n">
        <v>2019</v>
      </c>
      <c r="I363" s="19" t="inlineStr">
        <is>
          <t>TV-14</t>
        </is>
      </c>
      <c r="J363" s="19" t="inlineStr">
        <is>
          <t>117 min</t>
        </is>
      </c>
      <c r="K363" s="19" t="inlineStr">
        <is>
          <t>International Movies, Thrillers</t>
        </is>
      </c>
      <c r="L363" s="19" t="inlineStr">
        <is>
          <t>When a woman is accused of killing her lover, a renowned lawyer is hired – but the more they try to  untangle the truth, the more convoluted it becomes.</t>
        </is>
      </c>
      <c r="M363" s="19" t="n">
        <v>2019</v>
      </c>
      <c r="N363" s="19">
        <f>IF(AND(OR(YearFilter="All",$M363=YearFilter),OR(RatingFilter="All",$I363=RatingFilter),OR(TypeFilter="All",$B363=TypeFilter),OR(GenreFilter="All",COUNTIFS(tblGenre[show_id],$A363,tblGenre[Genre],GenreFilter)&gt;0)),1,0)</f>
        <v/>
      </c>
    </row>
    <row r="364" ht="15" customHeight="1" s="20">
      <c r="A364" s="19" t="inlineStr">
        <is>
          <t>s3631</t>
        </is>
      </c>
      <c r="B364" s="19" t="inlineStr">
        <is>
          <t>Movie</t>
        </is>
      </c>
      <c r="C364" s="19" t="inlineStr">
        <is>
          <t>Uriyadi 2</t>
        </is>
      </c>
      <c r="D364" s="19" t="inlineStr">
        <is>
          <t>Vijay Kumar</t>
        </is>
      </c>
      <c r="E364" s="19" t="inlineStr">
        <is>
          <t>Vijay Kumar, Vismaya, Shankar Thas, Abbas, Sudhakar, Durai Ramesh</t>
        </is>
      </c>
      <c r="F364" s="19" t="inlineStr">
        <is>
          <t>India</t>
        </is>
      </c>
      <c r="G364" s="19" t="inlineStr">
        <is>
          <t>2019-08-02</t>
        </is>
      </c>
      <c r="H364" s="19" t="n">
        <v>2019</v>
      </c>
      <c r="I364" s="19" t="inlineStr">
        <is>
          <t>TV-14</t>
        </is>
      </c>
      <c r="J364" s="19" t="inlineStr">
        <is>
          <t>116 min</t>
        </is>
      </c>
      <c r="K364" s="19" t="inlineStr">
        <is>
          <t>Dramas, International Movies</t>
        </is>
      </c>
      <c r="L364" s="19" t="inlineStr">
        <is>
          <t>When a chemical plant's poor conditions cause tragedies, an employee leads a protest against the company’s callous owner and local politicians.</t>
        </is>
      </c>
      <c r="M364" s="19" t="n">
        <v>2019</v>
      </c>
      <c r="N364" s="19">
        <f>IF(AND(OR(YearFilter="All",$M364=YearFilter),OR(RatingFilter="All",$I364=RatingFilter),OR(TypeFilter="All",$B364=TypeFilter),OR(GenreFilter="All",COUNTIFS(tblGenre[show_id],$A364,tblGenre[Genre],GenreFilter)&gt;0)),1,0)</f>
        <v/>
      </c>
    </row>
    <row r="365" ht="15" customHeight="1" s="20">
      <c r="A365" s="19" t="inlineStr">
        <is>
          <t>s3632</t>
        </is>
      </c>
      <c r="B365" s="19" t="inlineStr">
        <is>
          <t>Movie</t>
        </is>
      </c>
      <c r="C365" s="19" t="inlineStr">
        <is>
          <t>Manu</t>
        </is>
      </c>
      <c r="D365" s="19" t="inlineStr">
        <is>
          <t>Phanindra Narsetti</t>
        </is>
      </c>
      <c r="E365" s="19" t="inlineStr">
        <is>
          <t>Raja Goutham, Chandini Chowdary, Bomma Sreedhar, John Kottoly, Srikanth Mullagiri, Ravi Teja</t>
        </is>
      </c>
      <c r="F365" s="19" t="inlineStr">
        <is>
          <t>India</t>
        </is>
      </c>
      <c r="G365" s="19" t="inlineStr">
        <is>
          <t>2019-08-01</t>
        </is>
      </c>
      <c r="H365" s="19" t="n">
        <v>2018</v>
      </c>
      <c r="I365" s="19" t="inlineStr">
        <is>
          <t>TV-14</t>
        </is>
      </c>
      <c r="J365" s="19" t="inlineStr">
        <is>
          <t>177 min</t>
        </is>
      </c>
      <c r="K365" s="19" t="inlineStr">
        <is>
          <t>Dramas, Independent Movies, International Movies</t>
        </is>
      </c>
      <c r="L365" s="19" t="inlineStr">
        <is>
          <t>The relationship between a painter and his admirer unfolds as an abstract, twist-filled hide-and-seek game against the backdrop of murder and revenge.</t>
        </is>
      </c>
      <c r="M365" s="19" t="n">
        <v>2019</v>
      </c>
      <c r="N365" s="19">
        <f>IF(AND(OR(YearFilter="All",$M365=YearFilter),OR(RatingFilter="All",$I365=RatingFilter),OR(TypeFilter="All",$B365=TypeFilter),OR(GenreFilter="All",COUNTIFS(tblGenre[show_id],$A365,tblGenre[Genre],GenreFilter)&gt;0)),1,0)</f>
        <v/>
      </c>
    </row>
    <row r="366" ht="15" customHeight="1" s="20">
      <c r="A366" s="19" t="inlineStr">
        <is>
          <t>s3656</t>
        </is>
      </c>
      <c r="B366" s="19" t="inlineStr">
        <is>
          <t>TV Show</t>
        </is>
      </c>
      <c r="C366" s="19" t="inlineStr">
        <is>
          <t>Typewriter</t>
        </is>
      </c>
      <c r="E366" s="19" t="inlineStr">
        <is>
          <t>Aarna Sharma, Aaryansh Malviya, Mikail Gandhi, Palash Kamble, Jishu Sengupta, Palomi Ghosh, Purab Kohli, Sameer Kochhar, Sara Gesawat</t>
        </is>
      </c>
      <c r="F366" s="19" t="inlineStr">
        <is>
          <t>India</t>
        </is>
      </c>
      <c r="G366" s="19" t="inlineStr">
        <is>
          <t>2019-07-19</t>
        </is>
      </c>
      <c r="H366" s="19" t="n">
        <v>2019</v>
      </c>
      <c r="I366" s="19" t="inlineStr">
        <is>
          <t>TV-MA</t>
        </is>
      </c>
      <c r="J366" s="19" t="inlineStr">
        <is>
          <t>1 Season</t>
        </is>
      </c>
      <c r="K366" s="19" t="inlineStr">
        <is>
          <t>International TV Shows, TV Horror, TV Mysteries</t>
        </is>
      </c>
      <c r="L366" s="19" t="inlineStr">
        <is>
          <t>Three young friends in Goa plan to search an old villa for ghosts, but when a new family moves in, the home’s buried past resurfaces in chilling ways.</t>
        </is>
      </c>
      <c r="M366" s="19" t="n">
        <v>2019</v>
      </c>
      <c r="N366" s="19">
        <f>IF(AND(OR(YearFilter="All",$M366=YearFilter),OR(RatingFilter="All",$I366=RatingFilter),OR(TypeFilter="All",$B366=TypeFilter),OR(GenreFilter="All",COUNTIFS(tblGenre[show_id],$A366,tblGenre[Genre],GenreFilter)&gt;0)),1,0)</f>
        <v/>
      </c>
    </row>
    <row r="367" ht="15" customHeight="1" s="20">
      <c r="A367" s="19" t="inlineStr">
        <is>
          <t>s3659</t>
        </is>
      </c>
      <c r="B367" s="19" t="inlineStr">
        <is>
          <t>Movie</t>
        </is>
      </c>
      <c r="C367" s="19" t="inlineStr">
        <is>
          <t>Mauli</t>
        </is>
      </c>
      <c r="D367" s="19" t="inlineStr">
        <is>
          <t>Aditya Sarpotdar</t>
        </is>
      </c>
      <c r="E367" s="19" t="inlineStr">
        <is>
          <t>Riteish Deshmukh, Saiyami Kher, Jitendra Joshi, Siddarth Jadhav, Shrikant Yadav, Vijay Nikam, Umesh Jagtap, Usha Naik, Girija Oak, Genelia D'Souza</t>
        </is>
      </c>
      <c r="F367" s="19" t="inlineStr">
        <is>
          <t>India</t>
        </is>
      </c>
      <c r="G367" s="19" t="inlineStr">
        <is>
          <t>2019-07-17</t>
        </is>
      </c>
      <c r="H367" s="19" t="n">
        <v>2018</v>
      </c>
      <c r="I367" s="19" t="inlineStr">
        <is>
          <t>TV-14</t>
        </is>
      </c>
      <c r="J367" s="19" t="inlineStr">
        <is>
          <t>136 min</t>
        </is>
      </c>
      <c r="K367" s="19" t="inlineStr">
        <is>
          <t>Action &amp; Adventure, Dramas, International Movies</t>
        </is>
      </c>
      <c r="L367" s="19" t="inlineStr">
        <is>
          <t>An unconventional police officer faces off against a gang of thugs as he tries to bring order to the far-flung village he’s been stationed in.</t>
        </is>
      </c>
      <c r="M367" s="19" t="n">
        <v>2019</v>
      </c>
      <c r="N367" s="19">
        <f>IF(AND(OR(YearFilter="All",$M367=YearFilter),OR(RatingFilter="All",$I367=RatingFilter),OR(TypeFilter="All",$B367=TypeFilter),OR(GenreFilter="All",COUNTIFS(tblGenre[show_id],$A367,tblGenre[Genre],GenreFilter)&gt;0)),1,0)</f>
        <v/>
      </c>
    </row>
    <row r="368" ht="15" customHeight="1" s="20">
      <c r="A368" s="19" t="inlineStr">
        <is>
          <t>s3662</t>
        </is>
      </c>
      <c r="B368" s="19" t="inlineStr">
        <is>
          <t>Movie</t>
        </is>
      </c>
      <c r="C368" s="19" t="inlineStr">
        <is>
          <t>Bogda</t>
        </is>
      </c>
      <c r="D368" s="19" t="inlineStr">
        <is>
          <t>Nisheeta Keni</t>
        </is>
      </c>
      <c r="E368" s="19" t="inlineStr">
        <is>
          <t>Suhas Joshi, Mrunmayee Deshpande, Rohit Kokate, Ajinkya Bhosale, Jayant Gadekar, Vivekanand Walake, Pallavi Malvade, Nirmala Tikam</t>
        </is>
      </c>
      <c r="F368" s="19" t="inlineStr">
        <is>
          <t>India</t>
        </is>
      </c>
      <c r="G368" s="19" t="inlineStr">
        <is>
          <t>2019-07-16</t>
        </is>
      </c>
      <c r="H368" s="19" t="n">
        <v>2018</v>
      </c>
      <c r="I368" s="19" t="inlineStr">
        <is>
          <t>TV-PG</t>
        </is>
      </c>
      <c r="J368" s="19" t="inlineStr">
        <is>
          <t>161 min</t>
        </is>
      </c>
      <c r="K368" s="19" t="inlineStr">
        <is>
          <t>Dramas, International Movies</t>
        </is>
      </c>
      <c r="L368" s="19" t="inlineStr">
        <is>
          <t>An aspiring dancer accompanies her terminally ill mother on one last road trip that alternately strains and strengthens their knotty relationship.</t>
        </is>
      </c>
      <c r="M368" s="19" t="n">
        <v>2019</v>
      </c>
      <c r="N368" s="19">
        <f>IF(AND(OR(YearFilter="All",$M368=YearFilter),OR(RatingFilter="All",$I368=RatingFilter),OR(TypeFilter="All",$B368=TypeFilter),OR(GenreFilter="All",COUNTIFS(tblGenre[show_id],$A368,tblGenre[Genre],GenreFilter)&gt;0)),1,0)</f>
        <v/>
      </c>
    </row>
    <row r="369" ht="15" customHeight="1" s="20">
      <c r="A369" s="19" t="inlineStr">
        <is>
          <t>s3700</t>
        </is>
      </c>
      <c r="B369" s="19" t="inlineStr">
        <is>
          <t>Movie</t>
        </is>
      </c>
      <c r="C369" s="19" t="inlineStr">
        <is>
          <t>Romeo Akbar Walter</t>
        </is>
      </c>
      <c r="D369" s="19" t="inlineStr">
        <is>
          <t>Robbie Grewal</t>
        </is>
      </c>
      <c r="E369" s="19" t="inlineStr">
        <is>
          <t>John Abraham, Jackie Shroff, Mouni Roy, Sikander Kher, Raghuvir Yadav, Alka Amin, Rajesh Shringarpure, Anil George</t>
        </is>
      </c>
      <c r="F369" s="19" t="inlineStr">
        <is>
          <t>India</t>
        </is>
      </c>
      <c r="G369" s="19" t="inlineStr">
        <is>
          <t>2019-06-30</t>
        </is>
      </c>
      <c r="H369" s="19" t="n">
        <v>2019</v>
      </c>
      <c r="I369" s="19" t="inlineStr">
        <is>
          <t>TV-14</t>
        </is>
      </c>
      <c r="J369" s="19" t="inlineStr">
        <is>
          <t>141 min</t>
        </is>
      </c>
      <c r="K369" s="19" t="inlineStr">
        <is>
          <t>Dramas, International Movies, Thrillers</t>
        </is>
      </c>
      <c r="L369" s="19" t="inlineStr">
        <is>
          <t>In 1971, a fallen army major’s son is tapped by India's Research and Analysis Wing to serve as an undercover agent in Pakistan in the lead-up to war.</t>
        </is>
      </c>
      <c r="M369" s="19" t="n">
        <v>2019</v>
      </c>
      <c r="N369" s="19">
        <f>IF(AND(OR(YearFilter="All",$M369=YearFilter),OR(RatingFilter="All",$I369=RatingFilter),OR(TypeFilter="All",$B369=TypeFilter),OR(GenreFilter="All",COUNTIFS(tblGenre[show_id],$A369,tblGenre[Genre],GenreFilter)&gt;0)),1,0)</f>
        <v/>
      </c>
    </row>
    <row r="370" ht="15" customHeight="1" s="20">
      <c r="A370" s="19" t="inlineStr">
        <is>
          <t>s3702</t>
        </is>
      </c>
      <c r="B370" s="19" t="inlineStr">
        <is>
          <t>Movie</t>
        </is>
      </c>
      <c r="C370" s="19" t="inlineStr">
        <is>
          <t>Super Deluxe</t>
        </is>
      </c>
      <c r="D370" s="19" t="inlineStr">
        <is>
          <t>Thiagarajan Kumararaja</t>
        </is>
      </c>
      <c r="E370" s="19" t="inlineStr">
        <is>
          <t>Vijay Sethupathi, Fahadh Faasil, Samantha Ruth Prabhu, Ramya Krishnan, Mysskin, Gayathrie, Ashwanth Ashok Kumar, Bagavathi Perumal</t>
        </is>
      </c>
      <c r="F370" s="19" t="inlineStr">
        <is>
          <t>India</t>
        </is>
      </c>
      <c r="G370" s="19" t="inlineStr">
        <is>
          <t>2019-06-29</t>
        </is>
      </c>
      <c r="H370" s="19" t="n">
        <v>2019</v>
      </c>
      <c r="I370" s="19" t="inlineStr">
        <is>
          <t>TV-MA</t>
        </is>
      </c>
      <c r="J370" s="19" t="inlineStr">
        <is>
          <t>176 min</t>
        </is>
      </c>
      <c r="K370" s="19" t="inlineStr">
        <is>
          <t>Comedies, Dramas, International Movies</t>
        </is>
      </c>
      <c r="L370" s="19" t="inlineStr">
        <is>
          <t>Sex, stigma and spirituality merge in these eccentric stories of an angsty teenager, an unfaithful wife and a transgender woman returning to her past.</t>
        </is>
      </c>
      <c r="M370" s="19" t="n">
        <v>2019</v>
      </c>
      <c r="N370" s="19">
        <f>IF(AND(OR(YearFilter="All",$M370=YearFilter),OR(RatingFilter="All",$I370=RatingFilter),OR(TypeFilter="All",$B370=TypeFilter),OR(GenreFilter="All",COUNTIFS(tblGenre[show_id],$A370,tblGenre[Genre],GenreFilter)&gt;0)),1,0)</f>
        <v/>
      </c>
    </row>
    <row r="371" ht="15" customHeight="1" s="20">
      <c r="A371" s="19" t="inlineStr">
        <is>
          <t>s3714</t>
        </is>
      </c>
      <c r="B371" s="19" t="inlineStr">
        <is>
          <t>Movie</t>
        </is>
      </c>
      <c r="C371" s="19" t="inlineStr">
        <is>
          <t>Kahaani</t>
        </is>
      </c>
      <c r="D371" s="19" t="inlineStr">
        <is>
          <t>Sujoy Ghosh</t>
        </is>
      </c>
      <c r="E371" s="19" t="inlineStr">
        <is>
          <t>Vidya Balan, Parambrata Chatterjee, Dhritiman Chatterjee, Saswata Chatterjee, Indraneil Sengupta, Nawazuddin Siddiqui, Darshan Jariwala, Masood Akhtar, Riddhi Sen</t>
        </is>
      </c>
      <c r="F371" s="19" t="inlineStr">
        <is>
          <t>India</t>
        </is>
      </c>
      <c r="G371" s="19" t="inlineStr">
        <is>
          <t>2019-06-26</t>
        </is>
      </c>
      <c r="H371" s="19" t="n">
        <v>2012</v>
      </c>
      <c r="I371" s="19" t="inlineStr">
        <is>
          <t>TV-14</t>
        </is>
      </c>
      <c r="J371" s="19" t="inlineStr">
        <is>
          <t>122 min</t>
        </is>
      </c>
      <c r="K371" s="19" t="inlineStr">
        <is>
          <t>International Movies, Music &amp; Musicals, Thrillers</t>
        </is>
      </c>
      <c r="L371" s="19" t="inlineStr">
        <is>
          <t>Pregnant and alone in the city of Kolkata, a woman begins a relentless search for her missing husband, only to find that nothing is what it seems.</t>
        </is>
      </c>
      <c r="M371" s="19" t="n">
        <v>2019</v>
      </c>
      <c r="N371" s="19">
        <f>IF(AND(OR(YearFilter="All",$M371=YearFilter),OR(RatingFilter="All",$I371=RatingFilter),OR(TypeFilter="All",$B371=TypeFilter),OR(GenreFilter="All",COUNTIFS(tblGenre[show_id],$A371,tblGenre[Genre],GenreFilter)&gt;0)),1,0)</f>
        <v/>
      </c>
    </row>
    <row r="372" ht="15" customHeight="1" s="20">
      <c r="A372" s="19" t="inlineStr">
        <is>
          <t>s3715</t>
        </is>
      </c>
      <c r="B372" s="19" t="inlineStr">
        <is>
          <t>Movie</t>
        </is>
      </c>
      <c r="C372" s="19" t="inlineStr">
        <is>
          <t>Unbroken</t>
        </is>
      </c>
      <c r="D372" s="19" t="inlineStr">
        <is>
          <t>Svati Chakravarty Bhatkal</t>
        </is>
      </c>
      <c r="F372" s="19" t="inlineStr">
        <is>
          <t>India</t>
        </is>
      </c>
      <c r="G372" s="19" t="inlineStr">
        <is>
          <t>2019-06-26</t>
        </is>
      </c>
      <c r="H372" s="19" t="n">
        <v>2019</v>
      </c>
      <c r="I372" s="19" t="inlineStr">
        <is>
          <t>TV-14</t>
        </is>
      </c>
      <c r="J372" s="19" t="inlineStr">
        <is>
          <t>109 min</t>
        </is>
      </c>
      <c r="K372" s="19" t="inlineStr">
        <is>
          <t>Documentaries, International Movies</t>
        </is>
      </c>
      <c r="L372" s="19" t="inlineStr">
        <is>
          <t>After the brutal murders of their loved ones, three individuals share how they healed through forgiveness in this documentary presented by Aamir Khan.</t>
        </is>
      </c>
      <c r="M372" s="19" t="n">
        <v>2019</v>
      </c>
      <c r="N372" s="19">
        <f>IF(AND(OR(YearFilter="All",$M372=YearFilter),OR(RatingFilter="All",$I372=RatingFilter),OR(TypeFilter="All",$B372=TypeFilter),OR(GenreFilter="All",COUNTIFS(tblGenre[show_id],$A372,tblGenre[Genre],GenreFilter)&gt;0)),1,0)</f>
        <v/>
      </c>
    </row>
    <row r="373" ht="15" customHeight="1" s="20">
      <c r="A373" s="19" t="inlineStr">
        <is>
          <t>s3730</t>
        </is>
      </c>
      <c r="B373" s="19" t="inlineStr">
        <is>
          <t>Movie</t>
        </is>
      </c>
      <c r="C373" s="19" t="inlineStr">
        <is>
          <t>Rakkhosh</t>
        </is>
      </c>
      <c r="D373" s="19" t="inlineStr">
        <is>
          <t>Abhijit Kokate, Srivinay Salian</t>
        </is>
      </c>
      <c r="E373" s="19" t="inlineStr">
        <is>
          <t>Sanjay Mishra, Priyanka Bose, Tannishtha Chatterjee, Barun Chanda, Sonamoni Jayant Gadekar, Ashwath Bhatt, Atul Mahale</t>
        </is>
      </c>
      <c r="F373" s="19" t="inlineStr">
        <is>
          <t>India</t>
        </is>
      </c>
      <c r="G373" s="19" t="inlineStr">
        <is>
          <t>2019-06-20</t>
        </is>
      </c>
      <c r="H373" s="19" t="n">
        <v>2019</v>
      </c>
      <c r="I373" s="19" t="inlineStr">
        <is>
          <t>TV-MA</t>
        </is>
      </c>
      <c r="J373" s="19" t="inlineStr">
        <is>
          <t>116 min</t>
        </is>
      </c>
      <c r="K373" s="19" t="inlineStr">
        <is>
          <t>Horror Movies, Independent Movies, International Movies</t>
        </is>
      </c>
      <c r="L373" s="19" t="inlineStr">
        <is>
          <t>An asylum patient’s troubled past threatens his grasp on reality as fellow hospital residents begin disappearing at the hands of an unknown entity.</t>
        </is>
      </c>
      <c r="M373" s="19" t="n">
        <v>2019</v>
      </c>
      <c r="N373" s="19">
        <f>IF(AND(OR(YearFilter="All",$M373=YearFilter),OR(RatingFilter="All",$I373=RatingFilter),OR(TypeFilter="All",$B373=TypeFilter),OR(GenreFilter="All",COUNTIFS(tblGenre[show_id],$A373,tblGenre[Genre],GenreFilter)&gt;0)),1,0)</f>
        <v/>
      </c>
    </row>
    <row r="374" ht="15" customHeight="1" s="20">
      <c r="A374" s="19" t="inlineStr">
        <is>
          <t>s3740</t>
        </is>
      </c>
      <c r="B374" s="19" t="inlineStr">
        <is>
          <t>Movie</t>
        </is>
      </c>
      <c r="C374" s="19" t="inlineStr">
        <is>
          <t>Luckee</t>
        </is>
      </c>
      <c r="D374" s="19" t="inlineStr">
        <is>
          <t>Sanjay Jadhav</t>
        </is>
      </c>
      <c r="E374" s="19" t="inlineStr">
        <is>
          <t>Abhay Mahajan, Dipti Sati, Mayur More, Shubhangi Tambale, Chetan Dalvi, Nilesh Diwekar</t>
        </is>
      </c>
      <c r="F374" s="19" t="inlineStr">
        <is>
          <t>India</t>
        </is>
      </c>
      <c r="G374" s="19" t="inlineStr">
        <is>
          <t>2019-06-15</t>
        </is>
      </c>
      <c r="H374" s="19" t="n">
        <v>2019</v>
      </c>
      <c r="I374" s="19" t="inlineStr">
        <is>
          <t>TV-14</t>
        </is>
      </c>
      <c r="J374" s="19" t="inlineStr">
        <is>
          <t>113 min</t>
        </is>
      </c>
      <c r="K374" s="19" t="inlineStr">
        <is>
          <t>Comedies, International Movies, Romantic Movies</t>
        </is>
      </c>
      <c r="L374" s="19" t="inlineStr">
        <is>
          <t>When his friends make a bet that he can woo his college crush, a lovesick student named Luckee struggles between satisfying his heart and hormones.</t>
        </is>
      </c>
      <c r="M374" s="19" t="n">
        <v>2019</v>
      </c>
      <c r="N374" s="19">
        <f>IF(AND(OR(YearFilter="All",$M374=YearFilter),OR(RatingFilter="All",$I374=RatingFilter),OR(TypeFilter="All",$B374=TypeFilter),OR(GenreFilter="All",COUNTIFS(tblGenre[show_id],$A374,tblGenre[Genre],GenreFilter)&gt;0)),1,0)</f>
        <v/>
      </c>
    </row>
    <row r="375" ht="15" customHeight="1" s="20">
      <c r="A375" s="19" t="inlineStr">
        <is>
          <t>s3741</t>
        </is>
      </c>
      <c r="B375" s="19" t="inlineStr">
        <is>
          <t>Movie</t>
        </is>
      </c>
      <c r="C375" s="19" t="inlineStr">
        <is>
          <t>Pihu</t>
        </is>
      </c>
      <c r="D375" s="19" t="inlineStr">
        <is>
          <t>Vinod Kapri</t>
        </is>
      </c>
      <c r="E375" s="19" t="inlineStr">
        <is>
          <t>Pihu Myra Vishwakarma</t>
        </is>
      </c>
      <c r="F375" s="19" t="inlineStr">
        <is>
          <t>India</t>
        </is>
      </c>
      <c r="G375" s="19" t="inlineStr">
        <is>
          <t>2019-06-15</t>
        </is>
      </c>
      <c r="H375" s="19" t="n">
        <v>2018</v>
      </c>
      <c r="I375" s="19" t="inlineStr">
        <is>
          <t>TV-14</t>
        </is>
      </c>
      <c r="J375" s="19" t="inlineStr">
        <is>
          <t>90 min</t>
        </is>
      </c>
      <c r="K375" s="19" t="inlineStr">
        <is>
          <t>Dramas, Independent Movies, International Movies</t>
        </is>
      </c>
      <c r="L375" s="19" t="inlineStr">
        <is>
          <t>A two-year-old must fend for herself when her mother suddenly passes away while her father is gone for a conference, leaving her prone to danger.</t>
        </is>
      </c>
      <c r="M375" s="19" t="n">
        <v>2019</v>
      </c>
      <c r="N375" s="19">
        <f>IF(AND(OR(YearFilter="All",$M375=YearFilter),OR(RatingFilter="All",$I375=RatingFilter),OR(TypeFilter="All",$B375=TypeFilter),OR(GenreFilter="All",COUNTIFS(tblGenre[show_id],$A375,tblGenre[Genre],GenreFilter)&gt;0)),1,0)</f>
        <v/>
      </c>
    </row>
    <row r="376" ht="15" customHeight="1" s="20">
      <c r="A376" s="19" t="inlineStr">
        <is>
          <t>s3751</t>
        </is>
      </c>
      <c r="B376" s="19" t="inlineStr">
        <is>
          <t>TV Show</t>
        </is>
      </c>
      <c r="C376" s="19" t="inlineStr">
        <is>
          <t>Leila</t>
        </is>
      </c>
      <c r="E376" s="19" t="inlineStr">
        <is>
          <t>Huma Qureshi, Siddharth, Rahul Khanna, Arif Zakaria, Seema Biswas, Sanjay Suri, Akash Khurana, Ashwath Bhatt, Anupam Bhattacharya, Adarsh Gourav</t>
        </is>
      </c>
      <c r="F376" s="19" t="inlineStr">
        <is>
          <t>India</t>
        </is>
      </c>
      <c r="G376" s="19" t="inlineStr">
        <is>
          <t>2019-06-14</t>
        </is>
      </c>
      <c r="H376" s="19" t="n">
        <v>2019</v>
      </c>
      <c r="I376" s="19" t="inlineStr">
        <is>
          <t>TV-MA</t>
        </is>
      </c>
      <c r="J376" s="19" t="inlineStr">
        <is>
          <t>1 Season</t>
        </is>
      </c>
      <c r="K376" s="19" t="inlineStr">
        <is>
          <t>British TV Shows, International TV Shows, TV Dramas</t>
        </is>
      </c>
      <c r="L376" s="19" t="inlineStr">
        <is>
          <t>In a near-future world where an oppressive regime segregates society, one woman skirts the system to search for the daughter taken from her years ago.</t>
        </is>
      </c>
      <c r="M376" s="19" t="n">
        <v>2019</v>
      </c>
      <c r="N376" s="19">
        <f>IF(AND(OR(YearFilter="All",$M376=YearFilter),OR(RatingFilter="All",$I376=RatingFilter),OR(TypeFilter="All",$B376=TypeFilter),OR(GenreFilter="All",COUNTIFS(tblGenre[show_id],$A376,tblGenre[Genre],GenreFilter)&gt;0)),1,0)</f>
        <v/>
      </c>
    </row>
    <row r="377" ht="15" customHeight="1" s="20">
      <c r="A377" s="19" t="inlineStr">
        <is>
          <t>s3766</t>
        </is>
      </c>
      <c r="B377" s="19" t="inlineStr">
        <is>
          <t>Movie</t>
        </is>
      </c>
      <c r="C377" s="19" t="inlineStr">
        <is>
          <t>Luka Chuppi</t>
        </is>
      </c>
      <c r="D377" s="19" t="inlineStr">
        <is>
          <t>Laxman Utekar</t>
        </is>
      </c>
      <c r="E377" s="19" t="inlineStr">
        <is>
          <t>Kartik Aaryan, Kriti Sanon, Pankaj Tripathi, Vinay Pathak, Aparshakti Khurana, Atul Srivastava, Alka Amin</t>
        </is>
      </c>
      <c r="F377" s="19" t="inlineStr">
        <is>
          <t>India</t>
        </is>
      </c>
      <c r="G377" s="19" t="inlineStr">
        <is>
          <t>2019-06-07</t>
        </is>
      </c>
      <c r="H377" s="19" t="n">
        <v>2019</v>
      </c>
      <c r="I377" s="19" t="inlineStr">
        <is>
          <t>TV-PG</t>
        </is>
      </c>
      <c r="J377" s="19" t="inlineStr">
        <is>
          <t>125 min</t>
        </is>
      </c>
      <c r="K377" s="19" t="inlineStr">
        <is>
          <t>Comedies, International Movies, Romantic Movies</t>
        </is>
      </c>
      <c r="L377" s="19" t="inlineStr">
        <is>
          <t>Pretending to marry in order to cohabitate, a small-town couple lands in endless awkward situations to hide the truth from their orthodox families.</t>
        </is>
      </c>
      <c r="M377" s="19" t="n">
        <v>2019</v>
      </c>
      <c r="N377" s="19">
        <f>IF(AND(OR(YearFilter="All",$M377=YearFilter),OR(RatingFilter="All",$I377=RatingFilter),OR(TypeFilter="All",$B377=TypeFilter),OR(GenreFilter="All",COUNTIFS(tblGenre[show_id],$A377,tblGenre[Genre],GenreFilter)&gt;0)),1,0)</f>
        <v/>
      </c>
    </row>
    <row r="378" ht="15" customHeight="1" s="20">
      <c r="A378" s="19" t="inlineStr">
        <is>
          <t>s3769</t>
        </is>
      </c>
      <c r="B378" s="19" t="inlineStr">
        <is>
          <t>Movie</t>
        </is>
      </c>
      <c r="C378" s="19" t="inlineStr">
        <is>
          <t>Stree</t>
        </is>
      </c>
      <c r="D378" s="19" t="inlineStr">
        <is>
          <t>Amar Kaushik</t>
        </is>
      </c>
      <c r="E378" s="19" t="inlineStr">
        <is>
          <t>Rajkummar Rao, Shraddha Kapoor, Pankaj Tripathi, Aparshakti Khurana, Abhishek Banerjee, Atul Srivastava</t>
        </is>
      </c>
      <c r="F378" s="19" t="inlineStr">
        <is>
          <t>India</t>
        </is>
      </c>
      <c r="G378" s="19" t="inlineStr">
        <is>
          <t>2019-06-07</t>
        </is>
      </c>
      <c r="H378" s="19" t="n">
        <v>2018</v>
      </c>
      <c r="I378" s="19" t="inlineStr">
        <is>
          <t>TV-MA</t>
        </is>
      </c>
      <c r="J378" s="19" t="inlineStr">
        <is>
          <t>127 min</t>
        </is>
      </c>
      <c r="K378" s="19" t="inlineStr">
        <is>
          <t>Comedies, Horror Movies, Independent Movies</t>
        </is>
      </c>
      <c r="L378" s="19" t="inlineStr">
        <is>
          <t>Once a year, men in a small town fear abduction by an eccentric female spirit. A young tailor dismisses the idea of the ghost – until he falls for her.</t>
        </is>
      </c>
      <c r="M378" s="19" t="n">
        <v>2019</v>
      </c>
      <c r="N378" s="19">
        <f>IF(AND(OR(YearFilter="All",$M378=YearFilter),OR(RatingFilter="All",$I378=RatingFilter),OR(TypeFilter="All",$B378=TypeFilter),OR(GenreFilter="All",COUNTIFS(tblGenre[show_id],$A378,tblGenre[Genre],GenreFilter)&gt;0)),1,0)</f>
        <v/>
      </c>
    </row>
    <row r="379" ht="15" customHeight="1" s="20">
      <c r="A379" s="19" t="inlineStr">
        <is>
          <t>s3782</t>
        </is>
      </c>
      <c r="B379" s="19" t="inlineStr">
        <is>
          <t>Movie</t>
        </is>
      </c>
      <c r="C379" s="19" t="inlineStr">
        <is>
          <t>Krutant</t>
        </is>
      </c>
      <c r="D379" s="19" t="inlineStr">
        <is>
          <t>Datta Mohan Bhandare</t>
        </is>
      </c>
      <c r="E379" s="19" t="inlineStr">
        <is>
          <t>Suyog Rajendra Gorhe, Sandeep Kulkarni, Vidya Karanjikar, Sayli Patil</t>
        </is>
      </c>
      <c r="F379" s="19" t="inlineStr">
        <is>
          <t>India</t>
        </is>
      </c>
      <c r="G379" s="19" t="inlineStr">
        <is>
          <t>2019-06-02</t>
        </is>
      </c>
      <c r="H379" s="19" t="n">
        <v>2019</v>
      </c>
      <c r="I379" s="19" t="inlineStr">
        <is>
          <t>TV-14</t>
        </is>
      </c>
      <c r="J379" s="19" t="inlineStr">
        <is>
          <t>114 min</t>
        </is>
      </c>
      <c r="K379" s="19" t="inlineStr">
        <is>
          <t>Dramas, International Movies</t>
        </is>
      </c>
      <c r="L379" s="19" t="inlineStr">
        <is>
          <t>When a busy workaholic leaves town to meet friends, an unexpected delay leads him to the hut of an old man, whose haunting tale could change his life.</t>
        </is>
      </c>
      <c r="M379" s="19" t="n">
        <v>2019</v>
      </c>
      <c r="N379" s="19">
        <f>IF(AND(OR(YearFilter="All",$M379=YearFilter),OR(RatingFilter="All",$I379=RatingFilter),OR(TypeFilter="All",$B379=TypeFilter),OR(GenreFilter="All",COUNTIFS(tblGenre[show_id],$A379,tblGenre[Genre],GenreFilter)&gt;0)),1,0)</f>
        <v/>
      </c>
    </row>
    <row r="380" ht="15" customHeight="1" s="20">
      <c r="A380" s="19" t="inlineStr">
        <is>
          <t>s3784</t>
        </is>
      </c>
      <c r="B380" s="19" t="inlineStr">
        <is>
          <t>Movie</t>
        </is>
      </c>
      <c r="C380" s="19" t="inlineStr">
        <is>
          <t>III Smoking Barrels</t>
        </is>
      </c>
      <c r="D380" s="19" t="inlineStr">
        <is>
          <t>Sanjib Dey</t>
        </is>
      </c>
      <c r="E380" s="19" t="inlineStr">
        <is>
          <t>Subrat Dutta, Indraneil Sengupta, Mandakini Goswami, Amrita Chattopadhyay, Nalneesh Neel, Niloy Sankar Gupta, Shiny Gogoi, Siddharth Boro</t>
        </is>
      </c>
      <c r="F380" s="19" t="inlineStr">
        <is>
          <t>India</t>
        </is>
      </c>
      <c r="G380" s="19" t="inlineStr">
        <is>
          <t>2019-06-01</t>
        </is>
      </c>
      <c r="H380" s="19" t="n">
        <v>2017</v>
      </c>
      <c r="I380" s="19" t="inlineStr">
        <is>
          <t>TV-MA</t>
        </is>
      </c>
      <c r="J380" s="19" t="inlineStr">
        <is>
          <t>128 min</t>
        </is>
      </c>
      <c r="K380" s="19" t="inlineStr">
        <is>
          <t>Dramas, Independent Movies, International Movies</t>
        </is>
      </c>
      <c r="L380" s="19" t="inlineStr">
        <is>
          <t>In three stories set in Northeast India, a child goes on the run, a young adult falls in with the wrong crowd and a desperate man turns to crime.</t>
        </is>
      </c>
      <c r="M380" s="19" t="n">
        <v>2019</v>
      </c>
      <c r="N380" s="19">
        <f>IF(AND(OR(YearFilter="All",$M380=YearFilter),OR(RatingFilter="All",$I380=RatingFilter),OR(TypeFilter="All",$B380=TypeFilter),OR(GenreFilter="All",COUNTIFS(tblGenre[show_id],$A380,tblGenre[Genre],GenreFilter)&gt;0)),1,0)</f>
        <v/>
      </c>
    </row>
    <row r="381" ht="15" customHeight="1" s="20">
      <c r="A381" s="19" t="inlineStr">
        <is>
          <t>s3789</t>
        </is>
      </c>
      <c r="B381" s="19" t="inlineStr">
        <is>
          <t>Movie</t>
        </is>
      </c>
      <c r="C381" s="19" t="inlineStr">
        <is>
          <t>Chopsticks</t>
        </is>
      </c>
      <c r="D381" s="19" t="inlineStr">
        <is>
          <t>Sachin Yardi</t>
        </is>
      </c>
      <c r="E381" s="19" t="inlineStr">
        <is>
          <t>Abhay Deol, Mithila Palkar, Vijay Raaz</t>
        </is>
      </c>
      <c r="F381" s="19" t="inlineStr">
        <is>
          <t>India</t>
        </is>
      </c>
      <c r="G381" s="19" t="inlineStr">
        <is>
          <t>2019-05-31</t>
        </is>
      </c>
      <c r="H381" s="19" t="n">
        <v>2019</v>
      </c>
      <c r="I381" s="19" t="inlineStr">
        <is>
          <t>TV-MA</t>
        </is>
      </c>
      <c r="J381" s="19" t="inlineStr">
        <is>
          <t>101 min</t>
        </is>
      </c>
      <c r="K381" s="19" t="inlineStr">
        <is>
          <t>Comedies, Dramas, Independent Movies</t>
        </is>
      </c>
      <c r="L381" s="19" t="inlineStr">
        <is>
          <t>A gifted but insecure woman embarks on a transformative journey when she enlists an enigmatic con man to recover her stolen car from an eccentric thug.</t>
        </is>
      </c>
      <c r="M381" s="19" t="n">
        <v>2019</v>
      </c>
      <c r="N381" s="19">
        <f>IF(AND(OR(YearFilter="All",$M381=YearFilter),OR(RatingFilter="All",$I381=RatingFilter),OR(TypeFilter="All",$B381=TypeFilter),OR(GenreFilter="All",COUNTIFS(tblGenre[show_id],$A381,tblGenre[Genre],GenreFilter)&gt;0)),1,0)</f>
        <v/>
      </c>
    </row>
    <row r="382" ht="15" customHeight="1" s="20">
      <c r="A382" s="19" t="inlineStr">
        <is>
          <t>s3791</t>
        </is>
      </c>
      <c r="B382" s="19" t="inlineStr">
        <is>
          <t>Movie</t>
        </is>
      </c>
      <c r="C382" s="19" t="inlineStr">
        <is>
          <t>Mere Pyare Prime Minister</t>
        </is>
      </c>
      <c r="D382" s="19" t="inlineStr">
        <is>
          <t>Rakeysh Omprakash Mehra</t>
        </is>
      </c>
      <c r="E382" s="19" t="inlineStr">
        <is>
          <t>Anjali Patil, Om Kanojiya, Niteesh Wadhwa, Makrand Deshpande, Syna Anand, Prasad, Adarsh, Rasika Agashe</t>
        </is>
      </c>
      <c r="F382" s="19" t="inlineStr">
        <is>
          <t>India</t>
        </is>
      </c>
      <c r="G382" s="19" t="inlineStr">
        <is>
          <t>2019-05-31</t>
        </is>
      </c>
      <c r="H382" s="19" t="n">
        <v>2019</v>
      </c>
      <c r="I382" s="19" t="inlineStr">
        <is>
          <t>TV-MA</t>
        </is>
      </c>
      <c r="J382" s="19" t="inlineStr">
        <is>
          <t>103 min</t>
        </is>
      </c>
      <c r="K382" s="19" t="inlineStr">
        <is>
          <t>Dramas, International Movies</t>
        </is>
      </c>
      <c r="L382" s="19" t="inlineStr">
        <is>
          <t>When his mother suffers a traumatic incident, a boy from the Mumbai slums treks to Delhi to deliver his written plea for justice to the Prime Minister.</t>
        </is>
      </c>
      <c r="M382" s="19" t="n">
        <v>2019</v>
      </c>
      <c r="N382" s="19">
        <f>IF(AND(OR(YearFilter="All",$M382=YearFilter),OR(RatingFilter="All",$I382=RatingFilter),OR(TypeFilter="All",$B382=TypeFilter),OR(GenreFilter="All",COUNTIFS(tblGenre[show_id],$A382,tblGenre[Genre],GenreFilter)&gt;0)),1,0)</f>
        <v/>
      </c>
    </row>
    <row r="383" ht="15" customHeight="1" s="20">
      <c r="A383" s="19" t="inlineStr">
        <is>
          <t>s3805</t>
        </is>
      </c>
      <c r="B383" s="19" t="inlineStr">
        <is>
          <t>Movie</t>
        </is>
      </c>
      <c r="C383" s="19" t="inlineStr">
        <is>
          <t>The Man Who Feels No Pain</t>
        </is>
      </c>
      <c r="D383" s="19" t="inlineStr">
        <is>
          <t>Vasan Bala</t>
        </is>
      </c>
      <c r="E383" s="19" t="inlineStr">
        <is>
          <t>Abhimanyu Dassani, Radhika Madan, Gulshan Devaiah, Mahesh Manjrekar, Jimit Trivedi, Loveleen Mishra, Sartaaj Kakkar, Riva Arora</t>
        </is>
      </c>
      <c r="F383" s="19" t="inlineStr">
        <is>
          <t>India</t>
        </is>
      </c>
      <c r="G383" s="19" t="inlineStr">
        <is>
          <t>2019-05-22</t>
        </is>
      </c>
      <c r="H383" s="19" t="n">
        <v>2018</v>
      </c>
      <c r="I383" s="19" t="inlineStr">
        <is>
          <t>TV-14</t>
        </is>
      </c>
      <c r="J383" s="19" t="inlineStr">
        <is>
          <t>137 min</t>
        </is>
      </c>
      <c r="K383" s="19" t="inlineStr">
        <is>
          <t>Action &amp; Adventure, Comedies, International Movies</t>
        </is>
      </c>
      <c r="L383" s="19" t="inlineStr">
        <is>
          <t>Leveraging his ability to withstand pain, a young man trains to follow in the footsteps of his martial-arts hero in this high-action, meta comedy.</t>
        </is>
      </c>
      <c r="M383" s="19" t="n">
        <v>2019</v>
      </c>
      <c r="N383" s="19">
        <f>IF(AND(OR(YearFilter="All",$M383=YearFilter),OR(RatingFilter="All",$I383=RatingFilter),OR(TypeFilter="All",$B383=TypeFilter),OR(GenreFilter="All",COUNTIFS(tblGenre[show_id],$A383,tblGenre[Genre],GenreFilter)&gt;0)),1,0)</f>
        <v/>
      </c>
    </row>
    <row r="384" ht="15" customHeight="1" s="20">
      <c r="A384" s="19" t="inlineStr">
        <is>
          <t>s3820</t>
        </is>
      </c>
      <c r="B384" s="19" t="inlineStr">
        <is>
          <t>Movie</t>
        </is>
      </c>
      <c r="C384" s="19" t="inlineStr">
        <is>
          <t>Jonaki</t>
        </is>
      </c>
      <c r="D384" s="19" t="inlineStr">
        <is>
          <t>Aditya Vikram Sengupta</t>
        </is>
      </c>
      <c r="E384" s="19" t="inlineStr">
        <is>
          <t>Lolita Chatterjee, Sumanto Chattopadhyay, Ratnabali Bhattacharjee, Jim Sarbh, Indrajit Sinha, Sandershika Tamang, Arunima Sinha, Satya Priya Chakraborty, Christel Das, Burjor Patel</t>
        </is>
      </c>
      <c r="F384" s="19" t="inlineStr">
        <is>
          <t>India</t>
        </is>
      </c>
      <c r="G384" s="19" t="inlineStr">
        <is>
          <t>2019-05-16</t>
        </is>
      </c>
      <c r="H384" s="19" t="n">
        <v>2018</v>
      </c>
      <c r="I384" s="19" t="inlineStr">
        <is>
          <t>TV-MA</t>
        </is>
      </c>
      <c r="J384" s="19" t="inlineStr">
        <is>
          <t>96 min</t>
        </is>
      </c>
      <c r="K384" s="19" t="inlineStr">
        <is>
          <t>Dramas, Independent Movies, International Movies</t>
        </is>
      </c>
      <c r="L384" s="19" t="inlineStr">
        <is>
          <t>In this quiet, wistful drama, a woman on her deathbed searches her fraying memories for love and fulfillment through surreal, meditative tableaux.</t>
        </is>
      </c>
      <c r="M384" s="19" t="n">
        <v>2019</v>
      </c>
      <c r="N384" s="19">
        <f>IF(AND(OR(YearFilter="All",$M384=YearFilter),OR(RatingFilter="All",$I384=RatingFilter),OR(TypeFilter="All",$B384=TypeFilter),OR(GenreFilter="All",COUNTIFS(tblGenre[show_id],$A384,tblGenre[Genre],GenreFilter)&gt;0)),1,0)</f>
        <v/>
      </c>
    </row>
    <row r="385" ht="15" customHeight="1" s="20">
      <c r="A385" s="19" t="inlineStr">
        <is>
          <t>s3823</t>
        </is>
      </c>
      <c r="B385" s="19" t="inlineStr">
        <is>
          <t>Movie</t>
        </is>
      </c>
      <c r="C385" s="19" t="inlineStr">
        <is>
          <t>Hamid</t>
        </is>
      </c>
      <c r="D385" s="19" t="inlineStr">
        <is>
          <t>Aijaz Khan</t>
        </is>
      </c>
      <c r="E385" s="19" t="inlineStr">
        <is>
          <t>Talha Arshad Reshi, Rasika Dugal, Vikas Kumar, Sumit Kaul, Bashir Lone, Gurveer Singh, Ashraf Nagoo, Mir Sarvar</t>
        </is>
      </c>
      <c r="F385" s="19" t="inlineStr">
        <is>
          <t>India</t>
        </is>
      </c>
      <c r="G385" s="19" t="inlineStr">
        <is>
          <t>2019-05-15</t>
        </is>
      </c>
      <c r="H385" s="19" t="n">
        <v>2018</v>
      </c>
      <c r="I385" s="19" t="inlineStr">
        <is>
          <t>TV-MA</t>
        </is>
      </c>
      <c r="J385" s="19" t="inlineStr">
        <is>
          <t>108 min</t>
        </is>
      </c>
      <c r="K385" s="19" t="inlineStr">
        <is>
          <t>Dramas, Independent Movies, International Movies</t>
        </is>
      </c>
      <c r="L385" s="19" t="inlineStr">
        <is>
          <t>Wanting his missing father to come home, a Kashmiri boy repeatedly attempts to call God for help – until one day, a hardened army officer picks up.</t>
        </is>
      </c>
      <c r="M385" s="19" t="n">
        <v>2019</v>
      </c>
      <c r="N385" s="19">
        <f>IF(AND(OR(YearFilter="All",$M385=YearFilter),OR(RatingFilter="All",$I385=RatingFilter),OR(TypeFilter="All",$B385=TypeFilter),OR(GenreFilter="All",COUNTIFS(tblGenre[show_id],$A385,tblGenre[Genre],GenreFilter)&gt;0)),1,0)</f>
        <v/>
      </c>
    </row>
    <row r="386" ht="15" customHeight="1" s="20">
      <c r="A386" s="19" t="inlineStr">
        <is>
          <t>s3869</t>
        </is>
      </c>
      <c r="B386" s="19" t="inlineStr">
        <is>
          <t>Movie</t>
        </is>
      </c>
      <c r="C386" s="19" t="inlineStr">
        <is>
          <t>Laatu</t>
        </is>
      </c>
      <c r="D386" s="19" t="inlineStr">
        <is>
          <t>Manav Shah</t>
        </is>
      </c>
      <c r="E386" s="19" t="inlineStr">
        <is>
          <t>Gagan Kokri, Aditi Sharma, Karamjit Anmol, Sardar Sohi, Anita Devgan, Ashish Duggal, Nisha Bano, Harby Sangha, Rahul Jungral, Prakash Gadhu</t>
        </is>
      </c>
      <c r="F386" s="19" t="inlineStr">
        <is>
          <t>India</t>
        </is>
      </c>
      <c r="G386" s="19" t="inlineStr">
        <is>
          <t>2019-05-02</t>
        </is>
      </c>
      <c r="H386" s="19" t="n">
        <v>2018</v>
      </c>
      <c r="I386" s="19" t="inlineStr">
        <is>
          <t>TV-PG</t>
        </is>
      </c>
      <c r="J386" s="19" t="inlineStr">
        <is>
          <t>116 min</t>
        </is>
      </c>
      <c r="K386" s="19" t="inlineStr">
        <is>
          <t>Comedies, Dramas, International Movies</t>
        </is>
      </c>
      <c r="L386" s="19" t="inlineStr">
        <is>
          <t>A man who hopes to bring light to his village must compete with an officer from the electricity department to win over the love of his life.</t>
        </is>
      </c>
      <c r="M386" s="19" t="n">
        <v>2019</v>
      </c>
      <c r="N386" s="19">
        <f>IF(AND(OR(YearFilter="All",$M386=YearFilter),OR(RatingFilter="All",$I386=RatingFilter),OR(TypeFilter="All",$B386=TypeFilter),OR(GenreFilter="All",COUNTIFS(tblGenre[show_id],$A386,tblGenre[Genre],GenreFilter)&gt;0)),1,0)</f>
        <v/>
      </c>
    </row>
    <row r="387" ht="15" customHeight="1" s="20">
      <c r="A387" s="19" t="inlineStr">
        <is>
          <t>s3875</t>
        </is>
      </c>
      <c r="B387" s="19" t="inlineStr">
        <is>
          <t>Movie</t>
        </is>
      </c>
      <c r="C387" s="19" t="inlineStr">
        <is>
          <t>Sur Sapata</t>
        </is>
      </c>
      <c r="D387" s="19" t="inlineStr">
        <is>
          <t>Mangesh Kanthale</t>
        </is>
      </c>
      <c r="E387" s="19" t="inlineStr">
        <is>
          <t>Upendra Limaye, Govind Namdeo, Sanjay Jadhav, Anand Ingale, Bharat Ganeshpure, Praveen Tarde, Chinmay Patwardhan, Jivan Karlakar</t>
        </is>
      </c>
      <c r="F387" s="19" t="inlineStr">
        <is>
          <t>India</t>
        </is>
      </c>
      <c r="G387" s="19" t="inlineStr">
        <is>
          <t>2019-05-01</t>
        </is>
      </c>
      <c r="H387" s="19" t="n">
        <v>2019</v>
      </c>
      <c r="I387" s="19" t="inlineStr">
        <is>
          <t>TV-14</t>
        </is>
      </c>
      <c r="J387" s="19" t="inlineStr">
        <is>
          <t>140 min</t>
        </is>
      </c>
      <c r="K387" s="19" t="inlineStr">
        <is>
          <t>Comedies, Dramas, International Movies</t>
        </is>
      </c>
      <c r="L387" s="19" t="inlineStr">
        <is>
          <t>A group of small-town students goes for glory by competing in a statewide kabaddi tournament 25 years after their school's championship victory.</t>
        </is>
      </c>
      <c r="M387" s="19" t="n">
        <v>2019</v>
      </c>
      <c r="N387" s="19">
        <f>IF(AND(OR(YearFilter="All",$M387=YearFilter),OR(RatingFilter="All",$I387=RatingFilter),OR(TypeFilter="All",$B387=TypeFilter),OR(GenreFilter="All",COUNTIFS(tblGenre[show_id],$A387,tblGenre[Genre],GenreFilter)&gt;0)),1,0)</f>
        <v/>
      </c>
    </row>
    <row r="388" ht="15" customHeight="1" s="20">
      <c r="A388" s="19" t="inlineStr">
        <is>
          <t>s3886</t>
        </is>
      </c>
      <c r="B388" s="19" t="inlineStr">
        <is>
          <t>Movie</t>
        </is>
      </c>
      <c r="C388" s="19" t="inlineStr">
        <is>
          <t>Teen Aur Aadha</t>
        </is>
      </c>
      <c r="D388" s="19" t="inlineStr">
        <is>
          <t>Dar Gai</t>
        </is>
      </c>
      <c r="E388" s="19" t="inlineStr">
        <is>
          <t>Zoya Hussain, Suhasini Mulay, Jim Sarbh, Aarya Dave, Anjum Rajabali, M.K. Raina</t>
        </is>
      </c>
      <c r="F388" s="19" t="inlineStr">
        <is>
          <t>India</t>
        </is>
      </c>
      <c r="G388" s="19" t="inlineStr">
        <is>
          <t>2019-04-29</t>
        </is>
      </c>
      <c r="H388" s="19" t="n">
        <v>2018</v>
      </c>
      <c r="I388" s="19" t="inlineStr">
        <is>
          <t>TV-MA</t>
        </is>
      </c>
      <c r="J388" s="19" t="inlineStr">
        <is>
          <t>119 min</t>
        </is>
      </c>
      <c r="K388" s="19" t="inlineStr">
        <is>
          <t>Dramas, Independent Movies, International Movies</t>
        </is>
      </c>
      <c r="L388" s="19" t="inlineStr">
        <is>
          <t>At a 50-year-old house that served as a school, a brothel, and now a home, tales unfold of the residents who have lived there, longing for an escape.</t>
        </is>
      </c>
      <c r="M388" s="19" t="n">
        <v>2019</v>
      </c>
      <c r="N388" s="19">
        <f>IF(AND(OR(YearFilter="All",$M388=YearFilter),OR(RatingFilter="All",$I388=RatingFilter),OR(TypeFilter="All",$B388=TypeFilter),OR(GenreFilter="All",COUNTIFS(tblGenre[show_id],$A388,tblGenre[Genre],GenreFilter)&gt;0)),1,0)</f>
        <v/>
      </c>
    </row>
    <row r="389" ht="15" customHeight="1" s="20">
      <c r="A389" s="19" t="inlineStr">
        <is>
          <t>s3891</t>
        </is>
      </c>
      <c r="B389" s="19" t="inlineStr">
        <is>
          <t>Movie</t>
        </is>
      </c>
      <c r="C389" s="19" t="inlineStr">
        <is>
          <t>Njan Prakashan</t>
        </is>
      </c>
      <c r="D389" s="19" t="inlineStr">
        <is>
          <t>Sathyan Anthikad</t>
        </is>
      </c>
      <c r="E389" s="19" t="inlineStr">
        <is>
          <t>Fahadh Faasil, Sreenivasan, Nikhila Vimal, Devika Sanjay, Anju Kurian, K.P.A.C. Lalitha</t>
        </is>
      </c>
      <c r="F389" s="19" t="inlineStr">
        <is>
          <t>India</t>
        </is>
      </c>
      <c r="G389" s="19" t="inlineStr">
        <is>
          <t>2019-04-26</t>
        </is>
      </c>
      <c r="H389" s="19" t="n">
        <v>2018</v>
      </c>
      <c r="I389" s="19" t="inlineStr">
        <is>
          <t>TV-PG</t>
        </is>
      </c>
      <c r="J389" s="19" t="inlineStr">
        <is>
          <t>125 min</t>
        </is>
      </c>
      <c r="K389" s="19" t="inlineStr">
        <is>
          <t>Comedies, Dramas, International Movies</t>
        </is>
      </c>
      <c r="L389" s="19" t="inlineStr">
        <is>
          <t>Yearning for a lavish life abroad, an entitled, lazy sexist crafts a scam to ditch his thankless nursing job and find a wealthy spouse to secure a visa.</t>
        </is>
      </c>
      <c r="M389" s="19" t="n">
        <v>2019</v>
      </c>
      <c r="N389" s="19">
        <f>IF(AND(OR(YearFilter="All",$M389=YearFilter),OR(RatingFilter="All",$I389=RatingFilter),OR(TypeFilter="All",$B389=TypeFilter),OR(GenreFilter="All",COUNTIFS(tblGenre[show_id],$A389,tblGenre[Genre],GenreFilter)&gt;0)),1,0)</f>
        <v/>
      </c>
    </row>
    <row r="390" ht="15" customHeight="1" s="20">
      <c r="A390" s="19" t="inlineStr">
        <is>
          <t>s3900</t>
        </is>
      </c>
      <c r="B390" s="19" t="inlineStr">
        <is>
          <t>Movie</t>
        </is>
      </c>
      <c r="C390" s="19" t="inlineStr">
        <is>
          <t>Music Teacher</t>
        </is>
      </c>
      <c r="D390" s="19" t="inlineStr">
        <is>
          <t>Sarthak Dasgupta</t>
        </is>
      </c>
      <c r="E390" s="19" t="inlineStr">
        <is>
          <t>Manav Kaul, Amrita Bagchi, Divya Dutta, Neena Gupta, Niharika Lyra Dutt, K.C. Shankar</t>
        </is>
      </c>
      <c r="F390" s="19" t="inlineStr">
        <is>
          <t>India</t>
        </is>
      </c>
      <c r="G390" s="19" t="inlineStr">
        <is>
          <t>2019-04-19</t>
        </is>
      </c>
      <c r="H390" s="19" t="n">
        <v>2019</v>
      </c>
      <c r="I390" s="19" t="inlineStr">
        <is>
          <t>TV-14</t>
        </is>
      </c>
      <c r="J390" s="19" t="inlineStr">
        <is>
          <t>102 min</t>
        </is>
      </c>
      <c r="K390" s="19" t="inlineStr">
        <is>
          <t>Dramas, Independent Movies, International Movies</t>
        </is>
      </c>
      <c r="L390" s="19" t="inlineStr">
        <is>
          <t>A dejected small-town music teacher grapples with guilt and regret when his ex-pupil who once loved him returns home as the star he always wanted to be.</t>
        </is>
      </c>
      <c r="M390" s="19" t="n">
        <v>2019</v>
      </c>
      <c r="N390" s="19">
        <f>IF(AND(OR(YearFilter="All",$M390=YearFilter),OR(RatingFilter="All",$I390=RatingFilter),OR(TypeFilter="All",$B390=TypeFilter),OR(GenreFilter="All",COUNTIFS(tblGenre[show_id],$A390,tblGenre[Genre],GenreFilter)&gt;0)),1,0)</f>
        <v/>
      </c>
    </row>
    <row r="391" ht="15" customHeight="1" s="20">
      <c r="A391" s="19" t="inlineStr">
        <is>
          <t>s3911</t>
        </is>
      </c>
      <c r="B391" s="19" t="inlineStr">
        <is>
          <t>Movie</t>
        </is>
      </c>
      <c r="C391" s="19" t="inlineStr">
        <is>
          <t>Bollywood Calling</t>
        </is>
      </c>
      <c r="D391" s="19" t="inlineStr">
        <is>
          <t>Nagesh Kukunoor</t>
        </is>
      </c>
      <c r="E391" s="19" t="inlineStr">
        <is>
          <t>Om Puri, Pat Cusick, Navin Nischol, Perizaad Zorabian</t>
        </is>
      </c>
      <c r="F391" s="19" t="inlineStr">
        <is>
          <t>India</t>
        </is>
      </c>
      <c r="G391" s="19" t="inlineStr">
        <is>
          <t>2019-04-15</t>
        </is>
      </c>
      <c r="H391" s="19" t="n">
        <v>2001</v>
      </c>
      <c r="I391" s="19" t="inlineStr">
        <is>
          <t>TV-MA</t>
        </is>
      </c>
      <c r="J391" s="19" t="inlineStr">
        <is>
          <t>102 min</t>
        </is>
      </c>
      <c r="K391" s="19" t="inlineStr">
        <is>
          <t>Comedies, Dramas, International Movies</t>
        </is>
      </c>
      <c r="L391" s="19" t="inlineStr">
        <is>
          <t>A down-and-out Hollywood actor is utterly unprepared for the eccentricities that await when an Indian producer offers him a role in a Bollywood film.</t>
        </is>
      </c>
      <c r="M391" s="19" t="n">
        <v>2019</v>
      </c>
      <c r="N391" s="19">
        <f>IF(AND(OR(YearFilter="All",$M391=YearFilter),OR(RatingFilter="All",$I391=RatingFilter),OR(TypeFilter="All",$B391=TypeFilter),OR(GenreFilter="All",COUNTIFS(tblGenre[show_id],$A391,tblGenre[Genre],GenreFilter)&gt;0)),1,0)</f>
        <v/>
      </c>
    </row>
    <row r="392" ht="15" customHeight="1" s="20">
      <c r="A392" s="19" t="inlineStr">
        <is>
          <t>s3912</t>
        </is>
      </c>
      <c r="B392" s="19" t="inlineStr">
        <is>
          <t>Movie</t>
        </is>
      </c>
      <c r="C392" s="19" t="inlineStr">
        <is>
          <t>Ek Khiladi Ek Haseena</t>
        </is>
      </c>
      <c r="D392" s="19" t="inlineStr">
        <is>
          <t>Suparn Verma</t>
        </is>
      </c>
      <c r="E392" s="19" t="inlineStr">
        <is>
          <t>Koena Mitra, Fardeen Khan, Kay Kay Menon, Mumait Khan, Rakhi Sawant, Feroz Khan, Zabyn Khan, Rohit Roy, Gulshan Grover, Amin Hajee</t>
        </is>
      </c>
      <c r="F392" s="19" t="inlineStr">
        <is>
          <t>India</t>
        </is>
      </c>
      <c r="G392" s="19" t="inlineStr">
        <is>
          <t>2019-04-15</t>
        </is>
      </c>
      <c r="H392" s="19" t="n">
        <v>2005</v>
      </c>
      <c r="I392" s="19" t="inlineStr">
        <is>
          <t>TV-14</t>
        </is>
      </c>
      <c r="J392" s="19" t="inlineStr">
        <is>
          <t>141 min</t>
        </is>
      </c>
      <c r="K392" s="19" t="inlineStr">
        <is>
          <t>International Movies, Music &amp; Musicals, Thrillers</t>
        </is>
      </c>
      <c r="L392" s="19" t="inlineStr">
        <is>
          <t>Indebted to a gangster, a grifter assembles a band of fellow swindlers to attempt his biggest scam yet, but it's soon clear that no one can be trusted.</t>
        </is>
      </c>
      <c r="M392" s="19" t="n">
        <v>2019</v>
      </c>
      <c r="N392" s="19">
        <f>IF(AND(OR(YearFilter="All",$M392=YearFilter),OR(RatingFilter="All",$I392=RatingFilter),OR(TypeFilter="All",$B392=TypeFilter),OR(GenreFilter="All",COUNTIFS(tblGenre[show_id],$A392,tblGenre[Genre],GenreFilter)&gt;0)),1,0)</f>
        <v/>
      </c>
    </row>
    <row r="393" ht="15" customHeight="1" s="20">
      <c r="A393" s="19" t="inlineStr">
        <is>
          <t>s3914</t>
        </is>
      </c>
      <c r="B393" s="19" t="inlineStr">
        <is>
          <t>Movie</t>
        </is>
      </c>
      <c r="C393" s="19" t="inlineStr">
        <is>
          <t>Hazaaron Khwaishein Aisi</t>
        </is>
      </c>
      <c r="D393" s="19" t="inlineStr">
        <is>
          <t>Sudhir Mishra</t>
        </is>
      </c>
      <c r="E393" s="19" t="inlineStr">
        <is>
          <t>Kay Kay Menon, Shiney Ahuja, Chitrangada Singh, Ram Kapoor, Saurabh Shukla, Yashpal Sharma, Jasbir Malik, Sohrab Ardeshir, Aditya Bhattacharya, Arif Zakaria</t>
        </is>
      </c>
      <c r="F393" s="19" t="inlineStr">
        <is>
          <t>India, France</t>
        </is>
      </c>
      <c r="G393" s="19" t="inlineStr">
        <is>
          <t>2019-04-15</t>
        </is>
      </c>
      <c r="H393" s="19" t="n">
        <v>2003</v>
      </c>
      <c r="I393" s="19" t="inlineStr">
        <is>
          <t>TV-MA</t>
        </is>
      </c>
      <c r="J393" s="19" t="inlineStr">
        <is>
          <t>111 min</t>
        </is>
      </c>
      <c r="K393" s="19" t="inlineStr">
        <is>
          <t>Dramas, International Movies, Romantic Movies</t>
        </is>
      </c>
      <c r="L393" s="19" t="inlineStr">
        <is>
          <t>In a politically charged India of the 1970s, three friends are transformed by personal ideologies, dangerous ambitions and matters of the heart.</t>
        </is>
      </c>
      <c r="M393" s="19" t="n">
        <v>2019</v>
      </c>
      <c r="N393" s="19">
        <f>IF(AND(OR(YearFilter="All",$M393=YearFilter),OR(RatingFilter="All",$I393=RatingFilter),OR(TypeFilter="All",$B393=TypeFilter),OR(GenreFilter="All",COUNTIFS(tblGenre[show_id],$A393,tblGenre[Genre],GenreFilter)&gt;0)),1,0)</f>
        <v/>
      </c>
    </row>
    <row r="394" ht="15" customHeight="1" s="20">
      <c r="A394" s="19" t="inlineStr">
        <is>
          <t>s3915</t>
        </is>
      </c>
      <c r="B394" s="19" t="inlineStr">
        <is>
          <t>Movie</t>
        </is>
      </c>
      <c r="C394" s="19" t="inlineStr">
        <is>
          <t>Jhankaar Beats</t>
        </is>
      </c>
      <c r="D394" s="19" t="inlineStr">
        <is>
          <t>Sujoy Ghosh</t>
        </is>
      </c>
      <c r="E394" s="19" t="inlineStr">
        <is>
          <t>Rahul Bose, Sanjay Suri, Rinke Khanna, Riya Sen, Juhi Chawla, Shayan Munshi</t>
        </is>
      </c>
      <c r="F394" s="19" t="inlineStr">
        <is>
          <t>India</t>
        </is>
      </c>
      <c r="G394" s="19" t="inlineStr">
        <is>
          <t>2019-04-15</t>
        </is>
      </c>
      <c r="H394" s="19" t="n">
        <v>2003</v>
      </c>
      <c r="I394" s="19" t="inlineStr">
        <is>
          <t>TV-14</t>
        </is>
      </c>
      <c r="J394" s="19" t="inlineStr">
        <is>
          <t>131 min</t>
        </is>
      </c>
      <c r="K394" s="19" t="inlineStr">
        <is>
          <t>Comedies, International Movies, Music &amp; Musicals</t>
        </is>
      </c>
      <c r="L394" s="19" t="inlineStr">
        <is>
          <t>Juggling personal predicaments and workplace woes, three buddies and bandmates practice for their ultimate dream: winning a coveted music competition.</t>
        </is>
      </c>
      <c r="M394" s="19" t="n">
        <v>2019</v>
      </c>
      <c r="N394" s="19">
        <f>IF(AND(OR(YearFilter="All",$M394=YearFilter),OR(RatingFilter="All",$I394=RatingFilter),OR(TypeFilter="All",$B394=TypeFilter),OR(GenreFilter="All",COUNTIFS(tblGenre[show_id],$A394,tblGenre[Genre],GenreFilter)&gt;0)),1,0)</f>
        <v/>
      </c>
    </row>
    <row r="395" ht="15" customHeight="1" s="20">
      <c r="A395" s="19" t="inlineStr">
        <is>
          <t>s3916</t>
        </is>
      </c>
      <c r="B395" s="19" t="inlineStr">
        <is>
          <t>Movie</t>
        </is>
      </c>
      <c r="C395" s="19" t="inlineStr">
        <is>
          <t>Mumbai Matinee</t>
        </is>
      </c>
      <c r="D395" s="19" t="inlineStr">
        <is>
          <t>Anant Balani</t>
        </is>
      </c>
      <c r="E395" s="19" t="inlineStr">
        <is>
          <t>Rahul Bose, Vijay Raaz, Anusha Dhandekar, Perizaad Zorabian, Saurabh Shukla, Asrani, Shehzad Khan</t>
        </is>
      </c>
      <c r="F395" s="19" t="inlineStr">
        <is>
          <t>India</t>
        </is>
      </c>
      <c r="G395" s="19" t="inlineStr">
        <is>
          <t>2019-04-15</t>
        </is>
      </c>
      <c r="H395" s="19" t="n">
        <v>2003</v>
      </c>
      <c r="I395" s="19" t="inlineStr">
        <is>
          <t>TV-14</t>
        </is>
      </c>
      <c r="J395" s="19" t="inlineStr">
        <is>
          <t>116 min</t>
        </is>
      </c>
      <c r="K395" s="19" t="inlineStr">
        <is>
          <t>Comedies, International Movies, Romantic Movies</t>
        </is>
      </c>
      <c r="L395" s="19" t="inlineStr">
        <is>
          <t>Still a virgin at 32 years old, a frustrated advertising agent gets the shock of his life when an unlikely chain of events turns him into a porn star.</t>
        </is>
      </c>
      <c r="M395" s="19" t="n">
        <v>2019</v>
      </c>
      <c r="N395" s="19">
        <f>IF(AND(OR(YearFilter="All",$M395=YearFilter),OR(RatingFilter="All",$I395=RatingFilter),OR(TypeFilter="All",$B395=TypeFilter),OR(GenreFilter="All",COUNTIFS(tblGenre[show_id],$A395,tblGenre[Genre],GenreFilter)&gt;0)),1,0)</f>
        <v/>
      </c>
    </row>
    <row r="396" ht="15" customHeight="1" s="20">
      <c r="A396" s="19" t="inlineStr">
        <is>
          <t>s3917</t>
        </is>
      </c>
      <c r="B396" s="19" t="inlineStr">
        <is>
          <t>Movie</t>
        </is>
      </c>
      <c r="C396" s="19" t="inlineStr">
        <is>
          <t>Rainbow Jelly</t>
        </is>
      </c>
      <c r="D396" s="19" t="inlineStr">
        <is>
          <t>Soukarya Ghosal</t>
        </is>
      </c>
      <c r="E396" s="19" t="inlineStr">
        <is>
          <t>Mahabrata Basu, Anumegha Banerjee, Koushik Sen, Sreelekha Mitra, Shantilal Mukherjee, Iqbal Sultan, Daminee Basu, Subhajit Das</t>
        </is>
      </c>
      <c r="F396" s="19" t="inlineStr">
        <is>
          <t>India</t>
        </is>
      </c>
      <c r="G396" s="19" t="inlineStr">
        <is>
          <t>2019-04-15</t>
        </is>
      </c>
      <c r="H396" s="19" t="n">
        <v>2018</v>
      </c>
      <c r="I396" s="19" t="inlineStr">
        <is>
          <t>TV-14</t>
        </is>
      </c>
      <c r="J396" s="19" t="inlineStr">
        <is>
          <t>119 min</t>
        </is>
      </c>
      <c r="K396" s="19" t="inlineStr">
        <is>
          <t>Dramas, International Movies, Sci-Fi &amp; Fantasy</t>
        </is>
      </c>
      <c r="L396" s="19" t="inlineStr">
        <is>
          <t>Mistreated by his cruel uncle, an imaginative orphan with autism sees hope when a fairy vows to change his life with a week of enchanted recipes.</t>
        </is>
      </c>
      <c r="M396" s="19" t="n">
        <v>2019</v>
      </c>
      <c r="N396" s="19">
        <f>IF(AND(OR(YearFilter="All",$M396=YearFilter),OR(RatingFilter="All",$I396=RatingFilter),OR(TypeFilter="All",$B396=TypeFilter),OR(GenreFilter="All",COUNTIFS(tblGenre[show_id],$A396,tblGenre[Genre],GenreFilter)&gt;0)),1,0)</f>
        <v/>
      </c>
    </row>
    <row r="397" ht="15" customHeight="1" s="20">
      <c r="A397" s="19" t="inlineStr">
        <is>
          <t>s3918</t>
        </is>
      </c>
      <c r="B397" s="19" t="inlineStr">
        <is>
          <t>Movie</t>
        </is>
      </c>
      <c r="C397" s="19" t="inlineStr">
        <is>
          <t>Shabd</t>
        </is>
      </c>
      <c r="D397" s="19" t="inlineStr">
        <is>
          <t>Leena Yadav</t>
        </is>
      </c>
      <c r="E397" s="19" t="inlineStr">
        <is>
          <t>Sanjay Dutt, Aishwarya Rai Bachchan, Zayed Khan, Brijendra Kala, Sadiya Siddiqui, Kamini Khanna</t>
        </is>
      </c>
      <c r="F397" s="19" t="inlineStr">
        <is>
          <t>India</t>
        </is>
      </c>
      <c r="G397" s="19" t="inlineStr">
        <is>
          <t>2019-04-15</t>
        </is>
      </c>
      <c r="H397" s="19" t="n">
        <v>2005</v>
      </c>
      <c r="I397" s="19" t="inlineStr">
        <is>
          <t>TV-14</t>
        </is>
      </c>
      <c r="J397" s="19" t="inlineStr">
        <is>
          <t>146 min</t>
        </is>
      </c>
      <c r="K397" s="19" t="inlineStr">
        <is>
          <t>Dramas, International Movies, Romantic Movies</t>
        </is>
      </c>
      <c r="L397" s="19" t="inlineStr">
        <is>
          <t>When a novelist seeks inspiration by urging his wife to have an affair, the line between his story and his real life grows disconcertingly blurry.</t>
        </is>
      </c>
      <c r="M397" s="19" t="n">
        <v>2019</v>
      </c>
      <c r="N397" s="19">
        <f>IF(AND(OR(YearFilter="All",$M397=YearFilter),OR(RatingFilter="All",$I397=RatingFilter),OR(TypeFilter="All",$B397=TypeFilter),OR(GenreFilter="All",COUNTIFS(tblGenre[show_id],$A397,tblGenre[Genre],GenreFilter)&gt;0)),1,0)</f>
        <v/>
      </c>
    </row>
    <row r="398" ht="15" customHeight="1" s="20">
      <c r="A398" s="19" t="inlineStr">
        <is>
          <t>s3919</t>
        </is>
      </c>
      <c r="B398" s="19" t="inlineStr">
        <is>
          <t>Movie</t>
        </is>
      </c>
      <c r="C398" s="19" t="inlineStr">
        <is>
          <t>Shortcut Safari</t>
        </is>
      </c>
      <c r="D398" s="19" t="inlineStr">
        <is>
          <t>Amitabha Singh</t>
        </is>
      </c>
      <c r="E398" s="19" t="inlineStr">
        <is>
          <t>Jimmy Shergill, Aashi Rawal, Stuti Dwivedi, Deah Tandon, Sharvil Patel, Hardil Kanabar, Mann Patel, Ugam Khetani, Manmeet Singh, Nazia Davison</t>
        </is>
      </c>
      <c r="F398" s="19" t="inlineStr">
        <is>
          <t>India</t>
        </is>
      </c>
      <c r="G398" s="19" t="inlineStr">
        <is>
          <t>2019-04-15</t>
        </is>
      </c>
      <c r="H398" s="19" t="n">
        <v>2016</v>
      </c>
      <c r="I398" s="19" t="inlineStr">
        <is>
          <t>TV-PG</t>
        </is>
      </c>
      <c r="J398" s="19" t="inlineStr">
        <is>
          <t>101 min</t>
        </is>
      </c>
      <c r="K398" s="19" t="inlineStr">
        <is>
          <t>Action &amp; Adventure, Comedies, Dramas</t>
        </is>
      </c>
      <c r="L398" s="19" t="inlineStr">
        <is>
          <t>Unexpected wildlife adventures and valuable life lessons await seven city kids when they suddenly become lost in the forest during a school field trip.</t>
        </is>
      </c>
      <c r="M398" s="19" t="n">
        <v>2019</v>
      </c>
      <c r="N398" s="19">
        <f>IF(AND(OR(YearFilter="All",$M398=YearFilter),OR(RatingFilter="All",$I398=RatingFilter),OR(TypeFilter="All",$B398=TypeFilter),OR(GenreFilter="All",COUNTIFS(tblGenre[show_id],$A398,tblGenre[Genre],GenreFilter)&gt;0)),1,0)</f>
        <v/>
      </c>
    </row>
    <row r="399" ht="15" customHeight="1" s="20">
      <c r="A399" s="19" t="inlineStr">
        <is>
          <t>s3933</t>
        </is>
      </c>
      <c r="B399" s="19" t="inlineStr">
        <is>
          <t>Movie</t>
        </is>
      </c>
      <c r="C399" s="19" t="inlineStr">
        <is>
          <t>Sarvam Thaala Mayam (Telugu Version)</t>
        </is>
      </c>
      <c r="D399" s="19" t="inlineStr">
        <is>
          <t>Rajiv Menon</t>
        </is>
      </c>
      <c r="E399" s="19" t="inlineStr">
        <is>
          <t>G.V. Prakash Kumar, Nedumudi Venu, Aparna Balamurali, Divyadarshini, Vineeth, Kumaravel, Ravi Prakash, Sumesh</t>
        </is>
      </c>
      <c r="F399" s="19" t="inlineStr">
        <is>
          <t>India</t>
        </is>
      </c>
      <c r="G399" s="19" t="inlineStr">
        <is>
          <t>2019-04-08</t>
        </is>
      </c>
      <c r="H399" s="19" t="n">
        <v>2018</v>
      </c>
      <c r="I399" s="19" t="inlineStr">
        <is>
          <t>TV-14</t>
        </is>
      </c>
      <c r="J399" s="19" t="inlineStr">
        <is>
          <t>131 min</t>
        </is>
      </c>
      <c r="K399" s="19" t="inlineStr">
        <is>
          <t>Dramas, International Movies, Music &amp; Musicals</t>
        </is>
      </c>
      <c r="L399" s="19" t="inlineStr">
        <is>
          <t>An aspiring musician battles age-old caste divides to be able to learn the art of a classical instrument from a traditionalist, veteran percussionist.</t>
        </is>
      </c>
      <c r="M399" s="19" t="n">
        <v>2019</v>
      </c>
      <c r="N399" s="19">
        <f>IF(AND(OR(YearFilter="All",$M399=YearFilter),OR(RatingFilter="All",$I399=RatingFilter),OR(TypeFilter="All",$B399=TypeFilter),OR(GenreFilter="All",COUNTIFS(tblGenre[show_id],$A399,tblGenre[Genre],GenreFilter)&gt;0)),1,0)</f>
        <v/>
      </c>
    </row>
    <row r="400" ht="15" customHeight="1" s="20">
      <c r="A400" s="19" t="inlineStr">
        <is>
          <t>s3940</t>
        </is>
      </c>
      <c r="B400" s="19" t="inlineStr">
        <is>
          <t>Movie</t>
        </is>
      </c>
      <c r="C400" s="19" t="inlineStr">
        <is>
          <t>Petta</t>
        </is>
      </c>
      <c r="D400" s="19" t="inlineStr">
        <is>
          <t>Karthik Subbaraj</t>
        </is>
      </c>
      <c r="E400" s="19" t="inlineStr">
        <is>
          <t>Rajnikanth, Vijay Sethupathi, M. Sasikumar, Nawazuddin Siddiqui, Trisha Krishnan, Simran</t>
        </is>
      </c>
      <c r="F400" s="19" t="inlineStr">
        <is>
          <t>India</t>
        </is>
      </c>
      <c r="G400" s="19" t="inlineStr">
        <is>
          <t>2019-04-05</t>
        </is>
      </c>
      <c r="H400" s="19" t="n">
        <v>2019</v>
      </c>
      <c r="I400" s="19" t="inlineStr">
        <is>
          <t>TV-14</t>
        </is>
      </c>
      <c r="J400" s="19" t="inlineStr">
        <is>
          <t>170 min</t>
        </is>
      </c>
      <c r="K400" s="19" t="inlineStr">
        <is>
          <t>Action &amp; Adventure, Comedies, Dramas</t>
        </is>
      </c>
      <c r="L400" s="19" t="inlineStr">
        <is>
          <t>An affable, newly appointed college warden proves to be no ordinary man when an old enemy resurfaces and exposes his complicated, violent past.</t>
        </is>
      </c>
      <c r="M400" s="19" t="n">
        <v>2019</v>
      </c>
      <c r="N400" s="19">
        <f>IF(AND(OR(YearFilter="All",$M400=YearFilter),OR(RatingFilter="All",$I400=RatingFilter),OR(TypeFilter="All",$B400=TypeFilter),OR(GenreFilter="All",COUNTIFS(tblGenre[show_id],$A400,tblGenre[Genre],GenreFilter)&gt;0)),1,0)</f>
        <v/>
      </c>
    </row>
    <row r="401" ht="15" customHeight="1" s="20">
      <c r="A401" s="19" t="inlineStr">
        <is>
          <t>s3951</t>
        </is>
      </c>
      <c r="B401" s="19" t="inlineStr">
        <is>
          <t>Movie</t>
        </is>
      </c>
      <c r="C401" s="19" t="inlineStr">
        <is>
          <t>Ek Ladki Ko Dekha Toh Aisa Laga</t>
        </is>
      </c>
      <c r="D401" s="19" t="inlineStr">
        <is>
          <t>Shelly Chopra Dhar</t>
        </is>
      </c>
      <c r="E401" s="19" t="inlineStr">
        <is>
          <t>Anil Kapoor, Sonam Kapoor, Rajkummar Rao, Juhi Chawla, Abhishek Duhan, Regina Cassandra, Madhumalti Kapoor, Seema Pahwa, Brijendra Kala, Alka Badola Kaushal</t>
        </is>
      </c>
      <c r="F401" s="19" t="inlineStr">
        <is>
          <t>India</t>
        </is>
      </c>
      <c r="G401" s="19" t="inlineStr">
        <is>
          <t>2019-04-02</t>
        </is>
      </c>
      <c r="H401" s="19" t="n">
        <v>2019</v>
      </c>
      <c r="I401" s="19" t="inlineStr">
        <is>
          <t>TV-14</t>
        </is>
      </c>
      <c r="J401" s="19" t="inlineStr">
        <is>
          <t>120 min</t>
        </is>
      </c>
      <c r="K401" s="19" t="inlineStr">
        <is>
          <t>Comedies, Dramas, International Movies</t>
        </is>
      </c>
      <c r="L401" s="19" t="inlineStr">
        <is>
          <t>As her family seeks to marry her off and a hopeful writer pursues her, a small-town woman struggles to reveal the long-hidden truth about who she loves.</t>
        </is>
      </c>
      <c r="M401" s="19" t="n">
        <v>2019</v>
      </c>
      <c r="N401" s="19">
        <f>IF(AND(OR(YearFilter="All",$M401=YearFilter),OR(RatingFilter="All",$I401=RatingFilter),OR(TypeFilter="All",$B401=TypeFilter),OR(GenreFilter="All",COUNTIFS(tblGenre[show_id],$A401,tblGenre[Genre],GenreFilter)&gt;0)),1,0)</f>
        <v/>
      </c>
    </row>
    <row r="402" ht="15" customHeight="1" s="20">
      <c r="A402" s="19" t="inlineStr">
        <is>
          <t>s3963</t>
        </is>
      </c>
      <c r="B402" s="19" t="inlineStr">
        <is>
          <t>Movie</t>
        </is>
      </c>
      <c r="C402" s="19" t="inlineStr">
        <is>
          <t>15 August</t>
        </is>
      </c>
      <c r="D402" s="19" t="inlineStr">
        <is>
          <t>Swapnaneel Jayakar</t>
        </is>
      </c>
      <c r="E402" s="19" t="inlineStr">
        <is>
          <t>Rahul Pethe, Mrunmayee Deshpande, Adinath Kothare, Vaibhav Mangale, Jaywant Wadkar, Satish Pulekar, Naina Apte, Uday Tikekar</t>
        </is>
      </c>
      <c r="F402" s="19" t="inlineStr">
        <is>
          <t>India</t>
        </is>
      </c>
      <c r="G402" s="19" t="inlineStr">
        <is>
          <t>2019-03-29</t>
        </is>
      </c>
      <c r="H402" s="19" t="n">
        <v>2019</v>
      </c>
      <c r="I402" s="19" t="inlineStr">
        <is>
          <t>TV-14</t>
        </is>
      </c>
      <c r="J402" s="19" t="inlineStr">
        <is>
          <t>124 min</t>
        </is>
      </c>
      <c r="K402" s="19" t="inlineStr">
        <is>
          <t>Comedies, Dramas, Independent Movies</t>
        </is>
      </c>
      <c r="L402" s="19" t="inlineStr">
        <is>
          <t>On India's Independence Day, a zany mishap in a Mumbai chawl disrupts a young love story while compelling the residents to unite in aid of a little boy.</t>
        </is>
      </c>
      <c r="M402" s="19" t="n">
        <v>2019</v>
      </c>
      <c r="N402" s="19">
        <f>IF(AND(OR(YearFilter="All",$M402=YearFilter),OR(RatingFilter="All",$I402=RatingFilter),OR(TypeFilter="All",$B402=TypeFilter),OR(GenreFilter="All",COUNTIFS(tblGenre[show_id],$A402,tblGenre[Genre],GenreFilter)&gt;0)),1,0)</f>
        <v/>
      </c>
    </row>
    <row r="403" ht="15" customHeight="1" s="20">
      <c r="A403" s="19" t="inlineStr">
        <is>
          <t>s3976</t>
        </is>
      </c>
      <c r="B403" s="19" t="inlineStr">
        <is>
          <t>Movie</t>
        </is>
      </c>
      <c r="C403" s="19" t="inlineStr">
        <is>
          <t>Sei</t>
        </is>
      </c>
      <c r="D403" s="19" t="inlineStr">
        <is>
          <t>Raj Babu</t>
        </is>
      </c>
      <c r="E403" s="19" t="inlineStr">
        <is>
          <t>Nakhul, Aanchal Munjal, Nassar, Prakash Raj, Thalaivasal Vijay, Manobala, Jeyan Cherthala, Annadurai Kannadasan</t>
        </is>
      </c>
      <c r="F403" s="19" t="inlineStr">
        <is>
          <t>India</t>
        </is>
      </c>
      <c r="G403" s="19" t="inlineStr">
        <is>
          <t>2019-03-25</t>
        </is>
      </c>
      <c r="H403" s="19" t="n">
        <v>2018</v>
      </c>
      <c r="I403" s="19" t="inlineStr">
        <is>
          <t>TV-14</t>
        </is>
      </c>
      <c r="J403" s="19" t="inlineStr">
        <is>
          <t>126 min</t>
        </is>
      </c>
      <c r="K403" s="19" t="inlineStr">
        <is>
          <t>Action &amp; Adventure, Comedies, Dramas</t>
        </is>
      </c>
      <c r="L403" s="19" t="inlineStr">
        <is>
          <t>An aspiring yet aimless actor takes over his ailing father's job as an ambulance driver, unwittingly getting involved in an organ-trafficking network.</t>
        </is>
      </c>
      <c r="M403" s="19" t="n">
        <v>2019</v>
      </c>
      <c r="N403" s="19">
        <f>IF(AND(OR(YearFilter="All",$M403=YearFilter),OR(RatingFilter="All",$I403=RatingFilter),OR(TypeFilter="All",$B403=TypeFilter),OR(GenreFilter="All",COUNTIFS(tblGenre[show_id],$A403,tblGenre[Genre],GenreFilter)&gt;0)),1,0)</f>
        <v/>
      </c>
    </row>
    <row r="404" ht="15" customHeight="1" s="20">
      <c r="A404" s="19" t="inlineStr">
        <is>
          <t>s3982</t>
        </is>
      </c>
      <c r="B404" s="19" t="inlineStr">
        <is>
          <t>TV Show</t>
        </is>
      </c>
      <c r="C404" s="19" t="inlineStr">
        <is>
          <t>Delhi Crime</t>
        </is>
      </c>
      <c r="E404" s="19" t="inlineStr">
        <is>
          <t>Shefali Shah, Rajesh Tailang, Rasika Dugal, Adil Hussain, Vinod Sharawat, Mridul Sharma, Gopal Dutt Tiwari, Anurag Arora, Gaurav Rana, Yashaswini Dayama</t>
        </is>
      </c>
      <c r="F404" s="19" t="inlineStr">
        <is>
          <t>India</t>
        </is>
      </c>
      <c r="G404" s="19" t="inlineStr">
        <is>
          <t>2019-03-22</t>
        </is>
      </c>
      <c r="H404" s="19" t="n">
        <v>2019</v>
      </c>
      <c r="I404" s="19" t="inlineStr">
        <is>
          <t>TV-MA</t>
        </is>
      </c>
      <c r="J404" s="19" t="inlineStr">
        <is>
          <t>1 Season</t>
        </is>
      </c>
      <c r="K404" s="19" t="inlineStr">
        <is>
          <t>Crime TV Shows, International TV Shows, TV Dramas</t>
        </is>
      </c>
      <c r="L404" s="19" t="inlineStr">
        <is>
          <t>As Delhi reels in the aftermath of a gang rape, DCP Vartika Chaturvedi leads a painstaking search for the culprits. Based on the 2012 Nirbhaya case.</t>
        </is>
      </c>
      <c r="M404" s="19" t="n">
        <v>2019</v>
      </c>
      <c r="N404" s="19">
        <f>IF(AND(OR(YearFilter="All",$M404=YearFilter),OR(RatingFilter="All",$I404=RatingFilter),OR(TypeFilter="All",$B404=TypeFilter),OR(GenreFilter="All",COUNTIFS(tblGenre[show_id],$A404,tblGenre[Genre],GenreFilter)&gt;0)),1,0)</f>
        <v/>
      </c>
    </row>
    <row r="405" ht="15" customHeight="1" s="20">
      <c r="A405" s="19" t="inlineStr">
        <is>
          <t>s3998</t>
        </is>
      </c>
      <c r="B405" s="19" t="inlineStr">
        <is>
          <t>Movie</t>
        </is>
      </c>
      <c r="C405" s="19" t="inlineStr">
        <is>
          <t>Imago</t>
        </is>
      </c>
      <c r="D405" s="19" t="inlineStr">
        <is>
          <t>Karan Shivajirao Chavan, Vikram Tanajirao Patil</t>
        </is>
      </c>
      <c r="E405" s="19" t="inlineStr">
        <is>
          <t>Aishwarya Ghaydar, Amol Deshmukh, Adarsh Kurne, Vishwas Kamble, Neha Awati, Amaraja Patil, Rinkle Chopde, Shreyas Gurav</t>
        </is>
      </c>
      <c r="F405" s="19" t="inlineStr">
        <is>
          <t>India</t>
        </is>
      </c>
      <c r="G405" s="19" t="inlineStr">
        <is>
          <t>2019-03-20</t>
        </is>
      </c>
      <c r="H405" s="19" t="n">
        <v>2018</v>
      </c>
      <c r="I405" s="19" t="inlineStr">
        <is>
          <t>TV-PG</t>
        </is>
      </c>
      <c r="J405" s="19" t="inlineStr">
        <is>
          <t>97 min</t>
        </is>
      </c>
      <c r="K405" s="19" t="inlineStr">
        <is>
          <t>Dramas, Independent Movies, International Movies</t>
        </is>
      </c>
      <c r="L405" s="19" t="inlineStr">
        <is>
          <t>A teen with vitiligo struggles with self-doubt and anxiety until a new schoolteacher sees her through a different lens, and urges her to do the same.</t>
        </is>
      </c>
      <c r="M405" s="19" t="n">
        <v>2019</v>
      </c>
      <c r="N405" s="19">
        <f>IF(AND(OR(YearFilter="All",$M405=YearFilter),OR(RatingFilter="All",$I405=RatingFilter),OR(TypeFilter="All",$B405=TypeFilter),OR(GenreFilter="All",COUNTIFS(tblGenre[show_id],$A405,tblGenre[Genre],GenreFilter)&gt;0)),1,0)</f>
        <v/>
      </c>
    </row>
    <row r="406" ht="15" customHeight="1" s="20">
      <c r="A406" s="19" t="inlineStr">
        <is>
          <t>s4003</t>
        </is>
      </c>
      <c r="B406" s="19" t="inlineStr">
        <is>
          <t>Movie</t>
        </is>
      </c>
      <c r="C406" s="19" t="inlineStr">
        <is>
          <t>Bombairiya</t>
        </is>
      </c>
      <c r="D406" s="19" t="inlineStr">
        <is>
          <t>Pia Sukanya</t>
        </is>
      </c>
      <c r="E406" s="19" t="inlineStr">
        <is>
          <t>Radhika Apte, Siddhant Kapoor, Akshay Oberoi, Adil Hussain, Amit Sial, Ravi Kishan, Ajinkya Deo, Shilpa Shukla</t>
        </is>
      </c>
      <c r="F406" s="19" t="inlineStr">
        <is>
          <t>United Arab Emirates, United Kingdom, India</t>
        </is>
      </c>
      <c r="G406" s="19" t="inlineStr">
        <is>
          <t>2019-03-15</t>
        </is>
      </c>
      <c r="H406" s="19" t="n">
        <v>2018</v>
      </c>
      <c r="I406" s="19" t="inlineStr">
        <is>
          <t>TV-MA</t>
        </is>
      </c>
      <c r="J406" s="19" t="inlineStr">
        <is>
          <t>108 min</t>
        </is>
      </c>
      <c r="K406" s="19" t="inlineStr">
        <is>
          <t>Comedies, Dramas, International Movies</t>
        </is>
      </c>
      <c r="L406" s="19" t="inlineStr">
        <is>
          <t>A PR agent trying to find her stolen phone, a politician in trouble, and a fading celebrity find their lives intertwining in unexpected, messy ways.</t>
        </is>
      </c>
      <c r="M406" s="19" t="n">
        <v>2019</v>
      </c>
      <c r="N406" s="19">
        <f>IF(AND(OR(YearFilter="All",$M406=YearFilter),OR(RatingFilter="All",$I406=RatingFilter),OR(TypeFilter="All",$B406=TypeFilter),OR(GenreFilter="All",COUNTIFS(tblGenre[show_id],$A406,tblGenre[Genre],GenreFilter)&gt;0)),1,0)</f>
        <v/>
      </c>
    </row>
    <row r="407" ht="15" customHeight="1" s="20">
      <c r="A407" s="19" t="inlineStr">
        <is>
          <t>s4055</t>
        </is>
      </c>
      <c r="B407" s="19" t="inlineStr">
        <is>
          <t>TV Show</t>
        </is>
      </c>
      <c r="C407" s="19" t="inlineStr">
        <is>
          <t>Cricket Fever: Mumbai Indians</t>
        </is>
      </c>
      <c r="F407" s="19" t="inlineStr">
        <is>
          <t>India</t>
        </is>
      </c>
      <c r="G407" s="19" t="inlineStr">
        <is>
          <t>2019-03-01</t>
        </is>
      </c>
      <c r="H407" s="19" t="n">
        <v>2019</v>
      </c>
      <c r="I407" s="19" t="inlineStr">
        <is>
          <t>TV-MA</t>
        </is>
      </c>
      <c r="J407" s="19" t="inlineStr">
        <is>
          <t>1 Season</t>
        </is>
      </c>
      <c r="K407" s="19" t="inlineStr">
        <is>
          <t>Docuseries, International TV Shows</t>
        </is>
      </c>
      <c r="L407" s="19" t="inlineStr">
        <is>
          <t>Follow Indian Premier League champions Mumbai Indians through the 2018 season in this series featuring insider insights and intense cricket action.</t>
        </is>
      </c>
      <c r="M407" s="19" t="n">
        <v>2019</v>
      </c>
      <c r="N407" s="19">
        <f>IF(AND(OR(YearFilter="All",$M407=YearFilter),OR(RatingFilter="All",$I407=RatingFilter),OR(TypeFilter="All",$B407=TypeFilter),OR(GenreFilter="All",COUNTIFS(tblGenre[show_id],$A407,tblGenre[Genre],GenreFilter)&gt;0)),1,0)</f>
        <v/>
      </c>
    </row>
    <row r="408" ht="15" customHeight="1" s="20">
      <c r="A408" s="19" t="inlineStr">
        <is>
          <t>s4073</t>
        </is>
      </c>
      <c r="B408" s="19" t="inlineStr">
        <is>
          <t>Movie</t>
        </is>
      </c>
      <c r="C408" s="19" t="inlineStr">
        <is>
          <t>Evening Shadows</t>
        </is>
      </c>
      <c r="D408" s="19" t="inlineStr">
        <is>
          <t>Sridhar Rangayan</t>
        </is>
      </c>
      <c r="E408" s="19" t="inlineStr">
        <is>
          <t>Mona Ambegaonkar, Anant Mahadevan, Devansh Doshi, Arpit Chaudhary, Yamini Singh, Abhay Kulkarni, Veena Nair, Disha Thakur</t>
        </is>
      </c>
      <c r="F408" s="19" t="inlineStr">
        <is>
          <t>India</t>
        </is>
      </c>
      <c r="G408" s="19" t="inlineStr">
        <is>
          <t>2019-02-27</t>
        </is>
      </c>
      <c r="H408" s="19" t="n">
        <v>2018</v>
      </c>
      <c r="I408" s="19" t="inlineStr">
        <is>
          <t>TV-PG</t>
        </is>
      </c>
      <c r="J408" s="19" t="inlineStr">
        <is>
          <t>102 min</t>
        </is>
      </c>
      <c r="K408" s="19" t="inlineStr">
        <is>
          <t>Dramas, Independent Movies, International Movies</t>
        </is>
      </c>
      <c r="L408" s="19" t="inlineStr">
        <is>
          <t>When her son comes out to her as gay, a religious mother struggles to reconcile his truth with her own beliefs and their orthodox family values.</t>
        </is>
      </c>
      <c r="M408" s="19" t="n">
        <v>2019</v>
      </c>
      <c r="N408" s="19">
        <f>IF(AND(OR(YearFilter="All",$M408=YearFilter),OR(RatingFilter="All",$I408=RatingFilter),OR(TypeFilter="All",$B408=TypeFilter),OR(GenreFilter="All",COUNTIFS(tblGenre[show_id],$A408,tblGenre[Genre],GenreFilter)&gt;0)),1,0)</f>
        <v/>
      </c>
    </row>
    <row r="409" ht="15" customHeight="1" s="20">
      <c r="A409" s="19" t="inlineStr">
        <is>
          <t>s4082</t>
        </is>
      </c>
      <c r="B409" s="19" t="inlineStr">
        <is>
          <t>Movie</t>
        </is>
      </c>
      <c r="C409" s="19" t="inlineStr">
        <is>
          <t>Life of An Outcast</t>
        </is>
      </c>
      <c r="D409" s="19" t="inlineStr">
        <is>
          <t>Pawan K Shrivastava</t>
        </is>
      </c>
      <c r="E409" s="19" t="inlineStr">
        <is>
          <t>Ravi Bhushan Bhartiya, Shalini Mohan, Bhaskar Jha, Manohar Pandey, Siddharth Bharadwaj, Jay Shanker Pandey, Deepak Jha, Komal Singh</t>
        </is>
      </c>
      <c r="F409" s="19" t="inlineStr">
        <is>
          <t>India</t>
        </is>
      </c>
      <c r="G409" s="19" t="inlineStr">
        <is>
          <t>2019-02-25</t>
        </is>
      </c>
      <c r="H409" s="19" t="n">
        <v>2018</v>
      </c>
      <c r="I409" s="19" t="inlineStr">
        <is>
          <t>TV-PG</t>
        </is>
      </c>
      <c r="J409" s="19" t="inlineStr">
        <is>
          <t>80 min</t>
        </is>
      </c>
      <c r="K409" s="19" t="inlineStr">
        <is>
          <t>Dramas, Independent Movies, International Movies</t>
        </is>
      </c>
      <c r="L409" s="19" t="inlineStr">
        <is>
          <t>When authorities jail his son for rejecting religious bias, a poor father’s struggle to bail him out highlights rural India’s enduring casteism.</t>
        </is>
      </c>
      <c r="M409" s="19" t="n">
        <v>2019</v>
      </c>
      <c r="N409" s="19">
        <f>IF(AND(OR(YearFilter="All",$M409=YearFilter),OR(RatingFilter="All",$I409=RatingFilter),OR(TypeFilter="All",$B409=TypeFilter),OR(GenreFilter="All",COUNTIFS(tblGenre[show_id],$A409,tblGenre[Genre],GenreFilter)&gt;0)),1,0)</f>
        <v/>
      </c>
    </row>
    <row r="410" ht="15" customHeight="1" s="20">
      <c r="A410" s="19" t="inlineStr">
        <is>
          <t>s4086</t>
        </is>
      </c>
      <c r="B410" s="19" t="inlineStr">
        <is>
          <t>Movie</t>
        </is>
      </c>
      <c r="C410" s="19" t="inlineStr">
        <is>
          <t>Firebrand</t>
        </is>
      </c>
      <c r="D410" s="19" t="inlineStr">
        <is>
          <t>Aruna Raje</t>
        </is>
      </c>
      <c r="E410" s="19" t="inlineStr">
        <is>
          <t>Usha Jadhav, Girish Kulkarni, Sachin Khedekar, Rajeshwari Sachdev, Rushad Rana, Mrunal Oak</t>
        </is>
      </c>
      <c r="F410" s="19" t="inlineStr">
        <is>
          <t>India</t>
        </is>
      </c>
      <c r="G410" s="19" t="inlineStr">
        <is>
          <t>2019-02-22</t>
        </is>
      </c>
      <c r="H410" s="19" t="n">
        <v>2019</v>
      </c>
      <c r="I410" s="19" t="inlineStr">
        <is>
          <t>TV-MA</t>
        </is>
      </c>
      <c r="J410" s="19" t="inlineStr">
        <is>
          <t>117 min</t>
        </is>
      </c>
      <c r="K410" s="19" t="inlineStr">
        <is>
          <t>Dramas, International Movies</t>
        </is>
      </c>
      <c r="L410" s="19" t="inlineStr">
        <is>
          <t>While she successfully advocates for her female clients in difficult divorce cases, a lawyer’s trauma from sexual assault impacts her own marriage.</t>
        </is>
      </c>
      <c r="M410" s="19" t="n">
        <v>2019</v>
      </c>
      <c r="N410" s="19">
        <f>IF(AND(OR(YearFilter="All",$M410=YearFilter),OR(RatingFilter="All",$I410=RatingFilter),OR(TypeFilter="All",$B410=TypeFilter),OR(GenreFilter="All",COUNTIFS(tblGenre[show_id],$A410,tblGenre[Genre],GenreFilter)&gt;0)),1,0)</f>
        <v/>
      </c>
    </row>
    <row r="411" ht="15" customHeight="1" s="20">
      <c r="A411" s="19" t="inlineStr">
        <is>
          <t>s4089</t>
        </is>
      </c>
      <c r="B411" s="19" t="inlineStr">
        <is>
          <t>Movie</t>
        </is>
      </c>
      <c r="C411" s="19" t="inlineStr">
        <is>
          <t>Shonar Pahar</t>
        </is>
      </c>
      <c r="D411" s="19" t="inlineStr">
        <is>
          <t>Parambrata Chatterjee</t>
        </is>
      </c>
      <c r="E411" s="19" t="inlineStr">
        <is>
          <t>Tanuja, Jishu Sengupta, Parambrata Chatterjee, Arunima Ghosh, Shrijato Banerjee, Soumitra Chatterjee, Gargi Roychowdhury</t>
        </is>
      </c>
      <c r="F411" s="19" t="inlineStr">
        <is>
          <t>India</t>
        </is>
      </c>
      <c r="G411" s="19" t="inlineStr">
        <is>
          <t>2019-02-22</t>
        </is>
      </c>
      <c r="H411" s="19" t="n">
        <v>2018</v>
      </c>
      <c r="I411" s="19" t="inlineStr">
        <is>
          <t>TV-PG</t>
        </is>
      </c>
      <c r="J411" s="19" t="inlineStr">
        <is>
          <t>131 min</t>
        </is>
      </c>
      <c r="K411" s="19" t="inlineStr">
        <is>
          <t>Dramas, Independent Movies, International Movies</t>
        </is>
      </c>
      <c r="L411" s="19" t="inlineStr">
        <is>
          <t>An older woman's unique friendship with a young boy inspires her to examine the strained relationship she shares with her married son.</t>
        </is>
      </c>
      <c r="M411" s="19" t="n">
        <v>2019</v>
      </c>
      <c r="N411" s="19">
        <f>IF(AND(OR(YearFilter="All",$M411=YearFilter),OR(RatingFilter="All",$I411=RatingFilter),OR(TypeFilter="All",$B411=TypeFilter),OR(GenreFilter="All",COUNTIFS(tblGenre[show_id],$A411,tblGenre[Genre],GenreFilter)&gt;0)),1,0)</f>
        <v/>
      </c>
    </row>
    <row r="412" ht="15" customHeight="1" s="20">
      <c r="A412" s="19" t="inlineStr">
        <is>
          <t>s4095</t>
        </is>
      </c>
      <c r="B412" s="19" t="inlineStr">
        <is>
          <t>Movie</t>
        </is>
      </c>
      <c r="C412" s="19" t="inlineStr">
        <is>
          <t>Genius</t>
        </is>
      </c>
      <c r="D412" s="19" t="inlineStr">
        <is>
          <t>Suseenthiran</t>
        </is>
      </c>
      <c r="E412" s="19" t="inlineStr">
        <is>
          <t>Roshan, Priyaa Lal, Aadukalam Naren, Singam Puli, Meera Krishnan, Jayaprakash</t>
        </is>
      </c>
      <c r="F412" s="19" t="inlineStr">
        <is>
          <t>India</t>
        </is>
      </c>
      <c r="G412" s="19" t="inlineStr">
        <is>
          <t>2019-02-17</t>
        </is>
      </c>
      <c r="H412" s="19" t="n">
        <v>2018</v>
      </c>
      <c r="I412" s="19" t="inlineStr">
        <is>
          <t>TV-14</t>
        </is>
      </c>
      <c r="J412" s="19" t="inlineStr">
        <is>
          <t>96 min</t>
        </is>
      </c>
      <c r="K412" s="19" t="inlineStr">
        <is>
          <t>Dramas, Independent Movies, International Movies</t>
        </is>
      </c>
      <c r="L412" s="19" t="inlineStr">
        <is>
          <t>Extreme pressure from his father to excel at school during childhood has dangerous psychological effects on a brilliant but suicidal man’s adult life.</t>
        </is>
      </c>
      <c r="M412" s="19" t="n">
        <v>2019</v>
      </c>
      <c r="N412" s="19">
        <f>IF(AND(OR(YearFilter="All",$M412=YearFilter),OR(RatingFilter="All",$I412=RatingFilter),OR(TypeFilter="All",$B412=TypeFilter),OR(GenreFilter="All",COUNTIFS(tblGenre[show_id],$A412,tblGenre[Genre],GenreFilter)&gt;0)),1,0)</f>
        <v/>
      </c>
    </row>
    <row r="413" ht="15" customHeight="1" s="20">
      <c r="A413" s="19" t="inlineStr">
        <is>
          <t>s4098</t>
        </is>
      </c>
      <c r="B413" s="19" t="inlineStr">
        <is>
          <t>Movie</t>
        </is>
      </c>
      <c r="C413" s="19" t="inlineStr">
        <is>
          <t>Awe</t>
        </is>
      </c>
      <c r="D413" s="19" t="inlineStr">
        <is>
          <t>Prasanth Varma</t>
        </is>
      </c>
      <c r="E413" s="19" t="inlineStr">
        <is>
          <t>Kajal Aggarwal, Nithya Menon, Regina Cassandra, Eesha Rebba, Murli Sharma, Srinivas Avasarala, Priyadarshi Pullikonda</t>
        </is>
      </c>
      <c r="F413" s="19" t="inlineStr">
        <is>
          <t>India</t>
        </is>
      </c>
      <c r="G413" s="19" t="inlineStr">
        <is>
          <t>2019-02-15</t>
        </is>
      </c>
      <c r="H413" s="19" t="n">
        <v>2018</v>
      </c>
      <c r="I413" s="19" t="inlineStr">
        <is>
          <t>TV-MA</t>
        </is>
      </c>
      <c r="J413" s="19" t="inlineStr">
        <is>
          <t>111 min</t>
        </is>
      </c>
      <c r="K413" s="19" t="inlineStr">
        <is>
          <t>Dramas, International Movies, Sci-Fi &amp; Fantasy</t>
        </is>
      </c>
      <c r="L413" s="19" t="inlineStr">
        <is>
          <t>Disparate characters, including an aspiring time traveler, a phony chef, a drug-addicted waitress and several others, share a surprising connection.</t>
        </is>
      </c>
      <c r="M413" s="19" t="n">
        <v>2019</v>
      </c>
      <c r="N413" s="19">
        <f>IF(AND(OR(YearFilter="All",$M413=YearFilter),OR(RatingFilter="All",$I413=RatingFilter),OR(TypeFilter="All",$B413=TypeFilter),OR(GenreFilter="All",COUNTIFS(tblGenre[show_id],$A413,tblGenre[Genre],GenreFilter)&gt;0)),1,0)</f>
        <v/>
      </c>
    </row>
    <row r="414" ht="15" customHeight="1" s="20">
      <c r="A414" s="19" t="inlineStr">
        <is>
          <t>s4099</t>
        </is>
      </c>
      <c r="B414" s="19" t="inlineStr">
        <is>
          <t>Movie</t>
        </is>
      </c>
      <c r="C414" s="19" t="inlineStr">
        <is>
          <t>Ayana</t>
        </is>
      </c>
      <c r="D414" s="19" t="inlineStr">
        <is>
          <t>Gangadhar Salimath</t>
        </is>
      </c>
      <c r="E414" s="19" t="inlineStr">
        <is>
          <t>Deepak Subramanya, Apoorva Soma, Ramesh Bhat, Harsha H S, Karthik A, Goutham Shashidhar, Nagshree Karkone, Moksha Kushal, Vedashree Rao</t>
        </is>
      </c>
      <c r="F414" s="19" t="inlineStr">
        <is>
          <t>India</t>
        </is>
      </c>
      <c r="G414" s="19" t="inlineStr">
        <is>
          <t>2019-02-15</t>
        </is>
      </c>
      <c r="H414" s="19" t="n">
        <v>2017</v>
      </c>
      <c r="I414" s="19" t="inlineStr">
        <is>
          <t>TV-MA</t>
        </is>
      </c>
      <c r="J414" s="19" t="inlineStr">
        <is>
          <t>112 min</t>
        </is>
      </c>
      <c r="K414" s="19" t="inlineStr">
        <is>
          <t>Dramas, Independent Movies, International Movies</t>
        </is>
      </c>
      <c r="L414" s="19" t="inlineStr">
        <is>
          <t>With his carefree bachelor days behind him, a young entrepreneur’s ambitions for adulthood come with some painful personal and professional decisions.</t>
        </is>
      </c>
      <c r="M414" s="19" t="n">
        <v>2019</v>
      </c>
      <c r="N414" s="19">
        <f>IF(AND(OR(YearFilter="All",$M414=YearFilter),OR(RatingFilter="All",$I414=RatingFilter),OR(TypeFilter="All",$B414=TypeFilter),OR(GenreFilter="All",COUNTIFS(tblGenre[show_id],$A414,tblGenre[Genre],GenreFilter)&gt;0)),1,0)</f>
        <v/>
      </c>
    </row>
    <row r="415" ht="15" customHeight="1" s="20">
      <c r="A415" s="19" t="inlineStr">
        <is>
          <t>s4102</t>
        </is>
      </c>
      <c r="B415" s="19" t="inlineStr">
        <is>
          <t>Movie</t>
        </is>
      </c>
      <c r="C415" s="19" t="inlineStr">
        <is>
          <t>Candyflip</t>
        </is>
      </c>
      <c r="D415" s="19" t="inlineStr">
        <is>
          <t>Shanawaz Nellikunnil</t>
        </is>
      </c>
      <c r="E415" s="19" t="inlineStr">
        <is>
          <t>Prashant Prakash, Kalki Koechlin, Prakash Raj, Gulshan Devaiah, Valeriya Polyanychko</t>
        </is>
      </c>
      <c r="F415" s="19" t="inlineStr">
        <is>
          <t>India</t>
        </is>
      </c>
      <c r="G415" s="19" t="inlineStr">
        <is>
          <t>2019-02-15</t>
        </is>
      </c>
      <c r="H415" s="19" t="n">
        <v>2017</v>
      </c>
      <c r="I415" s="19" t="inlineStr">
        <is>
          <t>TV-MA</t>
        </is>
      </c>
      <c r="J415" s="19" t="inlineStr">
        <is>
          <t>104 min</t>
        </is>
      </c>
      <c r="K415" s="19" t="inlineStr">
        <is>
          <t>Dramas, Independent Movies, International Movies</t>
        </is>
      </c>
      <c r="L415" s="19" t="inlineStr">
        <is>
          <t>On the incandescent shores of Goa, a young man tumbles down a mind-bending – and soon dangerous – series of trips after taking hallucinatory drugs.</t>
        </is>
      </c>
      <c r="M415" s="19" t="n">
        <v>2019</v>
      </c>
      <c r="N415" s="19">
        <f>IF(AND(OR(YearFilter="All",$M415=YearFilter),OR(RatingFilter="All",$I415=RatingFilter),OR(TypeFilter="All",$B415=TypeFilter),OR(GenreFilter="All",COUNTIFS(tblGenre[show_id],$A415,tblGenre[Genre],GenreFilter)&gt;0)),1,0)</f>
        <v/>
      </c>
    </row>
    <row r="416" ht="15" customHeight="1" s="20">
      <c r="A416" s="19" t="inlineStr">
        <is>
          <t>s4103</t>
        </is>
      </c>
      <c r="B416" s="19" t="inlineStr">
        <is>
          <t>Movie</t>
        </is>
      </c>
      <c r="C416" s="19" t="inlineStr">
        <is>
          <t>Chameli</t>
        </is>
      </c>
      <c r="D416" s="19" t="inlineStr">
        <is>
          <t>Sudhir Mishra</t>
        </is>
      </c>
      <c r="E416" s="19" t="inlineStr">
        <is>
          <t>Kareena Kapoor, Rahul Bose, Rinke Khanna, Yashpal Sharma, Makrand Deshpande, Kabir Sadanand, Pankaj Jha</t>
        </is>
      </c>
      <c r="F416" s="19" t="inlineStr">
        <is>
          <t>India</t>
        </is>
      </c>
      <c r="G416" s="19" t="inlineStr">
        <is>
          <t>2019-02-15</t>
        </is>
      </c>
      <c r="H416" s="19" t="n">
        <v>2004</v>
      </c>
      <c r="I416" s="19" t="inlineStr">
        <is>
          <t>TV-14</t>
        </is>
      </c>
      <c r="J416" s="19" t="inlineStr">
        <is>
          <t>102 min</t>
        </is>
      </c>
      <c r="K416" s="19" t="inlineStr">
        <is>
          <t>Dramas, International Movies</t>
        </is>
      </c>
      <c r="L416" s="19" t="inlineStr">
        <is>
          <t>While taking shelter from a Mumbai monsoon, an investment banker forms an unlikely connection with a naïve prostitute over the course of the night.</t>
        </is>
      </c>
      <c r="M416" s="19" t="n">
        <v>2019</v>
      </c>
      <c r="N416" s="19">
        <f>IF(AND(OR(YearFilter="All",$M416=YearFilter),OR(RatingFilter="All",$I416=RatingFilter),OR(TypeFilter="All",$B416=TypeFilter),OR(GenreFilter="All",COUNTIFS(tblGenre[show_id],$A416,tblGenre[Genre],GenreFilter)&gt;0)),1,0)</f>
        <v/>
      </c>
    </row>
    <row r="417" ht="15" customHeight="1" s="20">
      <c r="A417" s="19" t="inlineStr">
        <is>
          <t>s4104</t>
        </is>
      </c>
      <c r="B417" s="19" t="inlineStr">
        <is>
          <t>Movie</t>
        </is>
      </c>
      <c r="C417" s="19" t="inlineStr">
        <is>
          <t>Fatso</t>
        </is>
      </c>
      <c r="D417" s="19" t="inlineStr">
        <is>
          <t>Rajat Kapoor</t>
        </is>
      </c>
      <c r="E417" s="19" t="inlineStr">
        <is>
          <t>Ranvir Shorey, Gul Panag, Purab Kohli, Neil Bhoopalam, Gunjan Bakshi, Saurabh Shukla, Atul Kumar, Brijendra Kala, Bharati Achrekar, Rahul Vohra</t>
        </is>
      </c>
      <c r="F417" s="19" t="inlineStr">
        <is>
          <t>India</t>
        </is>
      </c>
      <c r="G417" s="19" t="inlineStr">
        <is>
          <t>2019-02-15</t>
        </is>
      </c>
      <c r="H417" s="19" t="n">
        <v>2012</v>
      </c>
      <c r="I417" s="19" t="inlineStr">
        <is>
          <t>TV-14</t>
        </is>
      </c>
      <c r="J417" s="19" t="inlineStr">
        <is>
          <t>97 min</t>
        </is>
      </c>
      <c r="K417" s="19" t="inlineStr">
        <is>
          <t>Comedies, Dramas, International Movies</t>
        </is>
      </c>
      <c r="L417" s="19" t="inlineStr">
        <is>
          <t>Killed too soon due to a clerical error in heaven, a man is sent back to earth with a new lease on life, this time in the body of his portly friend.</t>
        </is>
      </c>
      <c r="M417" s="19" t="n">
        <v>2019</v>
      </c>
      <c r="N417" s="19">
        <f>IF(AND(OR(YearFilter="All",$M417=YearFilter),OR(RatingFilter="All",$I417=RatingFilter),OR(TypeFilter="All",$B417=TypeFilter),OR(GenreFilter="All",COUNTIFS(tblGenre[show_id],$A417,tblGenre[Genre],GenreFilter)&gt;0)),1,0)</f>
        <v/>
      </c>
    </row>
    <row r="418" ht="15" customHeight="1" s="20">
      <c r="A418" s="19" t="inlineStr">
        <is>
          <t>s4107</t>
        </is>
      </c>
      <c r="B418" s="19" t="inlineStr">
        <is>
          <t>Movie</t>
        </is>
      </c>
      <c r="C418" s="19" t="inlineStr">
        <is>
          <t>Neevevaro</t>
        </is>
      </c>
      <c r="D418" s="19" t="inlineStr">
        <is>
          <t>Hari Nath</t>
        </is>
      </c>
      <c r="E418" s="19" t="inlineStr">
        <is>
          <t>Aadhi, Tapsee Pannu, Ritika Singh, Vennela Kishore, Sapthagiri</t>
        </is>
      </c>
      <c r="F418" s="19" t="inlineStr">
        <is>
          <t>India</t>
        </is>
      </c>
      <c r="G418" s="19" t="inlineStr">
        <is>
          <t>2019-02-15</t>
        </is>
      </c>
      <c r="H418" s="19" t="n">
        <v>2018</v>
      </c>
      <c r="I418" s="19" t="inlineStr">
        <is>
          <t>TV-14</t>
        </is>
      </c>
      <c r="J418" s="19" t="inlineStr">
        <is>
          <t>132 min</t>
        </is>
      </c>
      <c r="K418" s="19" t="inlineStr">
        <is>
          <t>Dramas, International Movies, Romantic Movies</t>
        </is>
      </c>
      <c r="L418" s="19" t="inlineStr">
        <is>
          <t>When a blind chef’s girlfriend goes missing, his unnerving search for her leads him to find there's more to her disappearance than what meets the eye.</t>
        </is>
      </c>
      <c r="M418" s="19" t="n">
        <v>2019</v>
      </c>
      <c r="N418" s="19">
        <f>IF(AND(OR(YearFilter="All",$M418=YearFilter),OR(RatingFilter="All",$I418=RatingFilter),OR(TypeFilter="All",$B418=TypeFilter),OR(GenreFilter="All",COUNTIFS(tblGenre[show_id],$A418,tblGenre[Genre],GenreFilter)&gt;0)),1,0)</f>
        <v/>
      </c>
    </row>
    <row r="419" ht="15" customHeight="1" s="20">
      <c r="A419" s="19" t="inlineStr">
        <is>
          <t>s4108</t>
        </is>
      </c>
      <c r="B419" s="19" t="inlineStr">
        <is>
          <t>Movie</t>
        </is>
      </c>
      <c r="C419" s="19" t="inlineStr">
        <is>
          <t>Pyaar Ke Side Effects</t>
        </is>
      </c>
      <c r="D419" s="19" t="inlineStr">
        <is>
          <t>Saket Chaudhary</t>
        </is>
      </c>
      <c r="E419" s="19" t="inlineStr">
        <is>
          <t>Rahul Bose, Mallika Sherawat, Ranvir Shorey, Sharat Saxena, Aamir Bashir, Taraana Raja, Jas Arora, Suchitra Pillai, Sapna Bhavnani, Sophiya Chaudhary</t>
        </is>
      </c>
      <c r="F419" s="19" t="inlineStr">
        <is>
          <t>India</t>
        </is>
      </c>
      <c r="G419" s="19" t="inlineStr">
        <is>
          <t>2019-02-15</t>
        </is>
      </c>
      <c r="H419" s="19" t="n">
        <v>2006</v>
      </c>
      <c r="I419" s="19" t="inlineStr">
        <is>
          <t>TV-MA</t>
        </is>
      </c>
      <c r="J419" s="19" t="inlineStr">
        <is>
          <t>120 min</t>
        </is>
      </c>
      <c r="K419" s="19" t="inlineStr">
        <is>
          <t>Comedies, International Movies, Romantic Movies</t>
        </is>
      </c>
      <c r="L419" s="19" t="inlineStr">
        <is>
          <t>A commitment-phobe agrees to marry his girlfriend, setting in motion a series of hilarious mishaps that has him questioning what he got himself into.</t>
        </is>
      </c>
      <c r="M419" s="19" t="n">
        <v>2019</v>
      </c>
      <c r="N419" s="19">
        <f>IF(AND(OR(YearFilter="All",$M419=YearFilter),OR(RatingFilter="All",$I419=RatingFilter),OR(TypeFilter="All",$B419=TypeFilter),OR(GenreFilter="All",COUNTIFS(tblGenre[show_id],$A419,tblGenre[Genre],GenreFilter)&gt;0)),1,0)</f>
        <v/>
      </c>
    </row>
    <row r="420" ht="15" customHeight="1" s="20">
      <c r="A420" s="19" t="inlineStr">
        <is>
          <t>s4109</t>
        </is>
      </c>
      <c r="B420" s="19" t="inlineStr">
        <is>
          <t>Movie</t>
        </is>
      </c>
      <c r="C420" s="19" t="inlineStr">
        <is>
          <t>Sur: The Melody of Life</t>
        </is>
      </c>
      <c r="D420" s="19" t="inlineStr">
        <is>
          <t>Tanuja Chandra</t>
        </is>
      </c>
      <c r="E420" s="19" t="inlineStr">
        <is>
          <t>Lucky Ali, Simone Singh, Achint Kaur, Ehsan Khan, Harsh Vasisht, Yashodhan Bal, Gauri Karnik, Divya Dutta</t>
        </is>
      </c>
      <c r="F420" s="19" t="inlineStr">
        <is>
          <t>India</t>
        </is>
      </c>
      <c r="G420" s="19" t="inlineStr">
        <is>
          <t>2019-02-15</t>
        </is>
      </c>
      <c r="H420" s="19" t="n">
        <v>2002</v>
      </c>
      <c r="I420" s="19" t="inlineStr">
        <is>
          <t>TV-14</t>
        </is>
      </c>
      <c r="J420" s="19" t="inlineStr">
        <is>
          <t>137 min</t>
        </is>
      </c>
      <c r="K420" s="19" t="inlineStr">
        <is>
          <t>Dramas, International Movies</t>
        </is>
      </c>
      <c r="L420" s="19" t="inlineStr">
        <is>
          <t>A renowned music teacher mentors a promising young singer, but when her fame begins to overshadow his own, he lets jealousy and competition take over.</t>
        </is>
      </c>
      <c r="M420" s="19" t="n">
        <v>2019</v>
      </c>
      <c r="N420" s="19">
        <f>IF(AND(OR(YearFilter="All",$M420=YearFilter),OR(RatingFilter="All",$I420=RatingFilter),OR(TypeFilter="All",$B420=TypeFilter),OR(GenreFilter="All",COUNTIFS(tblGenre[show_id],$A420,tblGenre[Genre],GenreFilter)&gt;0)),1,0)</f>
        <v/>
      </c>
    </row>
    <row r="421" ht="15" customHeight="1" s="20">
      <c r="A421" s="19" t="inlineStr">
        <is>
          <t>s4113</t>
        </is>
      </c>
      <c r="B421" s="19" t="inlineStr">
        <is>
          <t>Movie</t>
        </is>
      </c>
      <c r="C421" s="19" t="inlineStr">
        <is>
          <t>Ugly Aur Pagli</t>
        </is>
      </c>
      <c r="D421" s="19" t="inlineStr">
        <is>
          <t>Sachin Kamlakar Khot</t>
        </is>
      </c>
      <c r="E421" s="19" t="inlineStr">
        <is>
          <t>Mallika Sherawat, Ranvir Shorey, Tinnu Anand, Sushmita Mukherjee, Manish Anand, Vihang Nayak, Bharati Achrekar, Zeenat Aman</t>
        </is>
      </c>
      <c r="F421" s="19" t="inlineStr">
        <is>
          <t>India</t>
        </is>
      </c>
      <c r="G421" s="19" t="inlineStr">
        <is>
          <t>2019-02-15</t>
        </is>
      </c>
      <c r="H421" s="19" t="n">
        <v>2008</v>
      </c>
      <c r="I421" s="19" t="inlineStr">
        <is>
          <t>TV-14</t>
        </is>
      </c>
      <c r="J421" s="19" t="inlineStr">
        <is>
          <t>115 min</t>
        </is>
      </c>
      <c r="K421" s="19" t="inlineStr">
        <is>
          <t>Comedies, International Movies, Romantic Movies</t>
        </is>
      </c>
      <c r="L421" s="19" t="inlineStr">
        <is>
          <t>Everyday guy Kabir is thrown for a loop when he meets Kuhu, a freewheeling party girl. Now, he's a changed man, dancing, running half-naked through the streets and donning ladies' shoes at her whim.</t>
        </is>
      </c>
      <c r="M421" s="19" t="n">
        <v>2019</v>
      </c>
      <c r="N421" s="19">
        <f>IF(AND(OR(YearFilter="All",$M421=YearFilter),OR(RatingFilter="All",$I421=RatingFilter),OR(TypeFilter="All",$B421=TypeFilter),OR(GenreFilter="All",COUNTIFS(tblGenre[show_id],$A421,tblGenre[Genre],GenreFilter)&gt;0)),1,0)</f>
        <v/>
      </c>
    </row>
    <row r="422" ht="15" customHeight="1" s="20">
      <c r="A422" s="19" t="inlineStr">
        <is>
          <t>s4135</t>
        </is>
      </c>
      <c r="B422" s="19" t="inlineStr">
        <is>
          <t>Movie</t>
        </is>
      </c>
      <c r="C422" s="19" t="inlineStr">
        <is>
          <t>Manusangada</t>
        </is>
      </c>
      <c r="D422" s="19" t="inlineStr">
        <is>
          <t>Amshan Kumar</t>
        </is>
      </c>
      <c r="E422" s="19" t="inlineStr">
        <is>
          <t>Rajeev Anand, Manimegalai, A.S. Sasi Kumar, Vidhur Rajarajan, Sheela Rajkumar, Sethu Darwin, Anand Sampath, Karuna Prasad</t>
        </is>
      </c>
      <c r="F422" s="19" t="inlineStr">
        <is>
          <t>India</t>
        </is>
      </c>
      <c r="G422" s="19" t="inlineStr">
        <is>
          <t>2019-02-02</t>
        </is>
      </c>
      <c r="H422" s="19" t="n">
        <v>2017</v>
      </c>
      <c r="I422" s="19" t="inlineStr">
        <is>
          <t>TV-14</t>
        </is>
      </c>
      <c r="J422" s="19" t="inlineStr">
        <is>
          <t>93 min</t>
        </is>
      </c>
      <c r="K422" s="19" t="inlineStr">
        <is>
          <t>Dramas, Independent Movies, International Movies</t>
        </is>
      </c>
      <c r="L422" s="19" t="inlineStr">
        <is>
          <t>When caste discrimination prevents a villager from giving his deceased father a rightful burial, he takes his fight for equality to court.</t>
        </is>
      </c>
      <c r="M422" s="19" t="n">
        <v>2019</v>
      </c>
      <c r="N422" s="19">
        <f>IF(AND(OR(YearFilter="All",$M422=YearFilter),OR(RatingFilter="All",$I422=RatingFilter),OR(TypeFilter="All",$B422=TypeFilter),OR(GenreFilter="All",COUNTIFS(tblGenre[show_id],$A422,tblGenre[Genre],GenreFilter)&gt;0)),1,0)</f>
        <v/>
      </c>
    </row>
    <row r="423" ht="15" customHeight="1" s="20">
      <c r="A423" s="19" t="inlineStr">
        <is>
          <t>s4152</t>
        </is>
      </c>
      <c r="B423" s="19" t="inlineStr">
        <is>
          <t>Movie</t>
        </is>
      </c>
      <c r="C423" s="19" t="inlineStr">
        <is>
          <t>Virsa</t>
        </is>
      </c>
      <c r="D423" s="19" t="inlineStr">
        <is>
          <t>Pankaj Batra</t>
        </is>
      </c>
      <c r="E423" s="19" t="inlineStr">
        <is>
          <t>Arya Babbar, Kanwaljeet Singh, Gulshan Grover, Mehreen Raheel, Aparna Sharma, Aman Dhaliwal, Noman Ijaz</t>
        </is>
      </c>
      <c r="F423" s="19" t="inlineStr">
        <is>
          <t>India, Pakistan</t>
        </is>
      </c>
      <c r="G423" s="19" t="inlineStr">
        <is>
          <t>2019-01-30</t>
        </is>
      </c>
      <c r="H423" s="19" t="n">
        <v>2010</v>
      </c>
      <c r="I423" s="19" t="inlineStr">
        <is>
          <t>TV-14</t>
        </is>
      </c>
      <c r="J423" s="19" t="inlineStr">
        <is>
          <t>127 min</t>
        </is>
      </c>
      <c r="K423" s="19" t="inlineStr">
        <is>
          <t>Dramas, International Movies, Music &amp; Musicals</t>
        </is>
      </c>
      <c r="L423" s="19" t="inlineStr">
        <is>
          <t>A man is disheartened when he visits his well-to-do son and grandkids in Australia and sees they have detached from their traditional Indian morals.</t>
        </is>
      </c>
      <c r="M423" s="19" t="n">
        <v>2019</v>
      </c>
      <c r="N423" s="19">
        <f>IF(AND(OR(YearFilter="All",$M423=YearFilter),OR(RatingFilter="All",$I423=RatingFilter),OR(TypeFilter="All",$B423=TypeFilter),OR(GenreFilter="All",COUNTIFS(tblGenre[show_id],$A423,tblGenre[Genre],GenreFilter)&gt;0)),1,0)</f>
        <v/>
      </c>
    </row>
    <row r="424" ht="15" customHeight="1" s="20">
      <c r="A424" s="19" t="inlineStr">
        <is>
          <t>s4153</t>
        </is>
      </c>
      <c r="B424" s="19" t="inlineStr">
        <is>
          <t>Movie</t>
        </is>
      </c>
      <c r="C424" s="19" t="inlineStr">
        <is>
          <t>Bhasmasur</t>
        </is>
      </c>
      <c r="D424" s="19" t="inlineStr">
        <is>
          <t>Nishil Sheth</t>
        </is>
      </c>
      <c r="E424" s="19" t="inlineStr">
        <is>
          <t>Imran Rasheed, Mittal Chouhan, Trimala Adhikari, Bhushan Vikas, Ravi Goswami, Raghav Dutt, Kumkum Chouhan, Rohan Mobarsa</t>
        </is>
      </c>
      <c r="F424" s="19" t="inlineStr">
        <is>
          <t>India</t>
        </is>
      </c>
      <c r="G424" s="19" t="inlineStr">
        <is>
          <t>2019-01-29</t>
        </is>
      </c>
      <c r="H424" s="19" t="n">
        <v>2017</v>
      </c>
      <c r="I424" s="19" t="inlineStr">
        <is>
          <t>TV-14</t>
        </is>
      </c>
      <c r="J424" s="19" t="inlineStr">
        <is>
          <t>74 min</t>
        </is>
      </c>
      <c r="K424" s="19" t="inlineStr">
        <is>
          <t>Dramas, Independent Movies, International Movies</t>
        </is>
      </c>
      <c r="L424" s="19" t="inlineStr">
        <is>
          <t>In this heart-wrenching coming-of-age story, a young boy embarks on an arduous trek with his debt-ridden father to sell their beloved family donkey.</t>
        </is>
      </c>
      <c r="M424" s="19" t="n">
        <v>2019</v>
      </c>
      <c r="N424" s="19">
        <f>IF(AND(OR(YearFilter="All",$M424=YearFilter),OR(RatingFilter="All",$I424=RatingFilter),OR(TypeFilter="All",$B424=TypeFilter),OR(GenreFilter="All",COUNTIFS(tblGenre[show_id],$A424,tblGenre[Genre],GenreFilter)&gt;0)),1,0)</f>
        <v/>
      </c>
    </row>
    <row r="425" ht="15" customHeight="1" s="20">
      <c r="A425" s="19" t="inlineStr">
        <is>
          <t>s4159</t>
        </is>
      </c>
      <c r="B425" s="19" t="inlineStr">
        <is>
          <t>Movie</t>
        </is>
      </c>
      <c r="C425" s="19" t="inlineStr">
        <is>
          <t>Nathicharami</t>
        </is>
      </c>
      <c r="D425" s="19" t="inlineStr">
        <is>
          <t>Mansore</t>
        </is>
      </c>
      <c r="E425" s="19" t="inlineStr">
        <is>
          <t>Sruthi Hariharan, Sanchari Vijay, Sharanya, Balaji Manohar, Greeshma Sridhar, Harshil Koushik, Shaanthala, Gopalkrishna Deshpande</t>
        </is>
      </c>
      <c r="F425" s="19" t="inlineStr">
        <is>
          <t>India</t>
        </is>
      </c>
      <c r="G425" s="19" t="inlineStr">
        <is>
          <t>2019-01-28</t>
        </is>
      </c>
      <c r="H425" s="19" t="n">
        <v>2018</v>
      </c>
      <c r="I425" s="19" t="inlineStr">
        <is>
          <t>TV-MA</t>
        </is>
      </c>
      <c r="J425" s="19" t="inlineStr">
        <is>
          <t>114 min</t>
        </is>
      </c>
      <c r="K425" s="19" t="inlineStr">
        <is>
          <t>Dramas, Independent Movies, International Movies</t>
        </is>
      </c>
      <c r="L425" s="19" t="inlineStr">
        <is>
          <t>Reeling from the loss of her husband, a widow struggles to fulfill her physical and emotional desires despite social taboos around female sexuality.</t>
        </is>
      </c>
      <c r="M425" s="19" t="n">
        <v>2019</v>
      </c>
      <c r="N425" s="19">
        <f>IF(AND(OR(YearFilter="All",$M425=YearFilter),OR(RatingFilter="All",$I425=RatingFilter),OR(TypeFilter="All",$B425=TypeFilter),OR(GenreFilter="All",COUNTIFS(tblGenre[show_id],$A425,tblGenre[Genre],GenreFilter)&gt;0)),1,0)</f>
        <v/>
      </c>
    </row>
    <row r="426" ht="15" customHeight="1" s="20">
      <c r="A426" s="19" t="inlineStr">
        <is>
          <t>s4183</t>
        </is>
      </c>
      <c r="B426" s="19" t="inlineStr">
        <is>
          <t>Movie</t>
        </is>
      </c>
      <c r="C426" s="19" t="inlineStr">
        <is>
          <t>Soni</t>
        </is>
      </c>
      <c r="D426" s="19" t="inlineStr">
        <is>
          <t>Ivan Ayr</t>
        </is>
      </c>
      <c r="E426" s="19" t="inlineStr">
        <is>
          <t>Geetika Vidya Ohlyan, Saloni Batra, Mohinder Gujral, Mohit Chauhan, Vikas Shukla, Gauri Chakraborty, Simrat Kaur, Dimple Kaur</t>
        </is>
      </c>
      <c r="F426" s="19" t="inlineStr">
        <is>
          <t>India</t>
        </is>
      </c>
      <c r="G426" s="19" t="inlineStr">
        <is>
          <t>2019-01-18</t>
        </is>
      </c>
      <c r="H426" s="19" t="n">
        <v>2018</v>
      </c>
      <c r="I426" s="19" t="inlineStr">
        <is>
          <t>TV-MA</t>
        </is>
      </c>
      <c r="J426" s="19" t="inlineStr">
        <is>
          <t>97 min</t>
        </is>
      </c>
      <c r="K426" s="19" t="inlineStr">
        <is>
          <t>Dramas, Independent Movies, International Movies</t>
        </is>
      </c>
      <c r="L426" s="19" t="inlineStr">
        <is>
          <t>While fighting crimes against women in Delhi, a short-fused policewoman and her level-headed female boss grapple with gender issues in their own lives.</t>
        </is>
      </c>
      <c r="M426" s="19" t="n">
        <v>2019</v>
      </c>
      <c r="N426" s="19">
        <f>IF(AND(OR(YearFilter="All",$M426=YearFilter),OR(RatingFilter="All",$I426=RatingFilter),OR(TypeFilter="All",$B426=TypeFilter),OR(GenreFilter="All",COUNTIFS(tblGenre[show_id],$A426,tblGenre[Genre],GenreFilter)&gt;0)),1,0)</f>
        <v/>
      </c>
    </row>
    <row r="427" ht="15" customHeight="1" s="20">
      <c r="A427" s="19" t="inlineStr">
        <is>
          <t>s4188</t>
        </is>
      </c>
      <c r="B427" s="19" t="inlineStr">
        <is>
          <t>Movie</t>
        </is>
      </c>
      <c r="C427" s="19" t="inlineStr">
        <is>
          <t>Adhugo</t>
        </is>
      </c>
      <c r="F427" s="19" t="inlineStr">
        <is>
          <t>India</t>
        </is>
      </c>
      <c r="G427" s="19" t="inlineStr">
        <is>
          <t>2019-01-15</t>
        </is>
      </c>
      <c r="H427" s="19" t="n">
        <v>2018</v>
      </c>
      <c r="I427" s="19" t="inlineStr">
        <is>
          <t>TV-14</t>
        </is>
      </c>
      <c r="J427" s="19" t="inlineStr">
        <is>
          <t>105 min</t>
        </is>
      </c>
      <c r="K427" s="19" t="inlineStr">
        <is>
          <t>Comedies, Independent Movies, International Movies</t>
        </is>
      </c>
      <c r="L427" s="19" t="inlineStr">
        <is>
          <t>A fast-footed piglet named Bunty becomes an object of desire for rival criminals that want the swift swine for their profitable animal-racing schemes.</t>
        </is>
      </c>
      <c r="M427" s="19" t="n">
        <v>2019</v>
      </c>
      <c r="N427" s="19">
        <f>IF(AND(OR(YearFilter="All",$M427=YearFilter),OR(RatingFilter="All",$I427=RatingFilter),OR(TypeFilter="All",$B427=TypeFilter),OR(GenreFilter="All",COUNTIFS(tblGenre[show_id],$A427,tblGenre[Genre],GenreFilter)&gt;0)),1,0)</f>
        <v/>
      </c>
    </row>
    <row r="428" ht="15" customHeight="1" s="20">
      <c r="A428" s="19" t="inlineStr">
        <is>
          <t>s4189</t>
        </is>
      </c>
      <c r="B428" s="19" t="inlineStr">
        <is>
          <t>Movie</t>
        </is>
      </c>
      <c r="C428" s="19" t="inlineStr">
        <is>
          <t>Echcharikkai</t>
        </is>
      </c>
      <c r="D428" s="19" t="inlineStr">
        <is>
          <t>Sarjun</t>
        </is>
      </c>
      <c r="E428" s="19" t="inlineStr">
        <is>
          <t>Sathyaraj, Varalakshmi Sarathkumar, Kishore Kumar G., Vivek Rajgopal, Jayakumar, Yogi Babu, Soundar, L. Alice</t>
        </is>
      </c>
      <c r="F428" s="19" t="inlineStr">
        <is>
          <t>India</t>
        </is>
      </c>
      <c r="G428" s="19" t="inlineStr">
        <is>
          <t>2019-01-15</t>
        </is>
      </c>
      <c r="H428" s="19" t="n">
        <v>2018</v>
      </c>
      <c r="I428" s="19" t="inlineStr">
        <is>
          <t>TV-14</t>
        </is>
      </c>
      <c r="J428" s="19" t="inlineStr">
        <is>
          <t>127 min</t>
        </is>
      </c>
      <c r="K428" s="19" t="inlineStr">
        <is>
          <t>International Movies, Thrillers</t>
        </is>
      </c>
      <c r="L428" s="19" t="inlineStr">
        <is>
          <t>After kidnapping a millionaire’s daughter, two men get swept up in a power struggle as her father enlists a brilliant cop to hunt them down.</t>
        </is>
      </c>
      <c r="M428" s="19" t="n">
        <v>2019</v>
      </c>
      <c r="N428" s="19">
        <f>IF(AND(OR(YearFilter="All",$M428=YearFilter),OR(RatingFilter="All",$I428=RatingFilter),OR(TypeFilter="All",$B428=TypeFilter),OR(GenreFilter="All",COUNTIFS(tblGenre[show_id],$A428,tblGenre[Genre],GenreFilter)&gt;0)),1,0)</f>
        <v/>
      </c>
    </row>
    <row r="429" ht="15" customHeight="1" s="20">
      <c r="A429" s="19" t="inlineStr">
        <is>
          <t>s4191</t>
        </is>
      </c>
      <c r="B429" s="19" t="inlineStr">
        <is>
          <t>Movie</t>
        </is>
      </c>
      <c r="C429" s="19" t="inlineStr">
        <is>
          <t>Pandigai</t>
        </is>
      </c>
      <c r="D429" s="19" t="inlineStr">
        <is>
          <t>Feroz</t>
        </is>
      </c>
      <c r="E429" s="19" t="inlineStr">
        <is>
          <t>Kreshna, Anandhi, Saravanan, Madhusudhanan, Black Pandi, Nitin Sathyaa, Aruldass, Karunas, Shanmugha Rajan, Prinz Nithik</t>
        </is>
      </c>
      <c r="F429" s="19" t="inlineStr">
        <is>
          <t>India</t>
        </is>
      </c>
      <c r="G429" s="19" t="inlineStr">
        <is>
          <t>2019-01-15</t>
        </is>
      </c>
      <c r="H429" s="19" t="n">
        <v>2017</v>
      </c>
      <c r="I429" s="19" t="inlineStr">
        <is>
          <t>TV-MA</t>
        </is>
      </c>
      <c r="J429" s="19" t="inlineStr">
        <is>
          <t>125 min</t>
        </is>
      </c>
      <c r="K429" s="19" t="inlineStr">
        <is>
          <t>Action &amp; Adventure, Dramas, International Movies</t>
        </is>
      </c>
      <c r="L429" s="19" t="inlineStr">
        <is>
          <t>Looking for a way out of his impoverished life, a lowly hotel waiter joins an underground fight club. Then he needs a way out of that.</t>
        </is>
      </c>
      <c r="M429" s="19" t="n">
        <v>2019</v>
      </c>
      <c r="N429" s="19">
        <f>IF(AND(OR(YearFilter="All",$M429=YearFilter),OR(RatingFilter="All",$I429=RatingFilter),OR(TypeFilter="All",$B429=TypeFilter),OR(GenreFilter="All",COUNTIFS(tblGenre[show_id],$A429,tblGenre[Genre],GenreFilter)&gt;0)),1,0)</f>
        <v/>
      </c>
    </row>
    <row r="430" ht="15" customHeight="1" s="20">
      <c r="A430" s="19" t="inlineStr">
        <is>
          <t>s4198</t>
        </is>
      </c>
      <c r="B430" s="19" t="inlineStr">
        <is>
          <t>Movie</t>
        </is>
      </c>
      <c r="C430" s="19" t="inlineStr">
        <is>
          <t>Baazaar</t>
        </is>
      </c>
      <c r="D430" s="19" t="inlineStr">
        <is>
          <t>Gauravv K Chawla</t>
        </is>
      </c>
      <c r="E430" s="19" t="inlineStr">
        <is>
          <t>Saif Ali Khan, Chitrangada Singh, Radhika Apte, Rohan Vinod Mehra, Manish Chaudhary, Denzil Smith, Pawan Chopra, Deepak Gheewala, Utkarsh Mazumdar, Danish Hussain</t>
        </is>
      </c>
      <c r="F430" s="19" t="inlineStr">
        <is>
          <t>India</t>
        </is>
      </c>
      <c r="G430" s="19" t="inlineStr">
        <is>
          <t>2019-01-13</t>
        </is>
      </c>
      <c r="H430" s="19" t="n">
        <v>2018</v>
      </c>
      <c r="I430" s="19" t="inlineStr">
        <is>
          <t>TV-MA</t>
        </is>
      </c>
      <c r="J430" s="19" t="inlineStr">
        <is>
          <t>136 min</t>
        </is>
      </c>
      <c r="K430" s="19" t="inlineStr">
        <is>
          <t>Dramas, International Movies</t>
        </is>
      </c>
      <c r="L430" s="19" t="inlineStr">
        <is>
          <t>A wide-eyed graduate learns the ugly side of ambition when he joins in the dubious business practices of his idol, a ruthless Mumbai stock tycoon.</t>
        </is>
      </c>
      <c r="M430" s="19" t="n">
        <v>2019</v>
      </c>
      <c r="N430" s="19">
        <f>IF(AND(OR(YearFilter="All",$M430=YearFilter),OR(RatingFilter="All",$I430=RatingFilter),OR(TypeFilter="All",$B430=TypeFilter),OR(GenreFilter="All",COUNTIFS(tblGenre[show_id],$A430,tblGenre[Genre],GenreFilter)&gt;0)),1,0)</f>
        <v/>
      </c>
    </row>
    <row r="431" ht="15" customHeight="1" s="20">
      <c r="A431" s="19" t="inlineStr">
        <is>
          <t>s4210</t>
        </is>
      </c>
      <c r="B431" s="19" t="inlineStr">
        <is>
          <t>Movie</t>
        </is>
      </c>
      <c r="C431" s="19" t="inlineStr">
        <is>
          <t>Next Enti?</t>
        </is>
      </c>
      <c r="D431" s="19" t="inlineStr">
        <is>
          <t>Kunal Kohli</t>
        </is>
      </c>
      <c r="E431" s="19" t="inlineStr">
        <is>
          <t>Navdeep, Larissa Bonesi, Sarathbabu, Tamannaah Bhatia, Sundeep Kishan, Poonam Kaur</t>
        </is>
      </c>
      <c r="F431" s="19" t="inlineStr">
        <is>
          <t>India</t>
        </is>
      </c>
      <c r="G431" s="19" t="inlineStr">
        <is>
          <t>2019-01-09</t>
        </is>
      </c>
      <c r="H431" s="19" t="n">
        <v>2018</v>
      </c>
      <c r="I431" s="19" t="inlineStr">
        <is>
          <t>TV-14</t>
        </is>
      </c>
      <c r="J431" s="19" t="inlineStr">
        <is>
          <t>117 min</t>
        </is>
      </c>
      <c r="K431" s="19" t="inlineStr">
        <is>
          <t>Comedies, Dramas, International Movies</t>
        </is>
      </c>
      <c r="L431" s="19" t="inlineStr">
        <is>
          <t>Clashing views on intimacy lead a couple to go their separate ways to reflect on commitment and companionship, before suddenly crossing paths again.</t>
        </is>
      </c>
      <c r="M431" s="19" t="n">
        <v>2019</v>
      </c>
      <c r="N431" s="19">
        <f>IF(AND(OR(YearFilter="All",$M431=YearFilter),OR(RatingFilter="All",$I431=RatingFilter),OR(TypeFilter="All",$B431=TypeFilter),OR(GenreFilter="All",COUNTIFS(tblGenre[show_id],$A431,tblGenre[Genre],GenreFilter)&gt;0)),1,0)</f>
        <v/>
      </c>
    </row>
    <row r="432" ht="15" customHeight="1" s="20">
      <c r="A432" s="19" t="inlineStr">
        <is>
          <t>s4222</t>
        </is>
      </c>
      <c r="B432" s="19" t="inlineStr">
        <is>
          <t>Movie</t>
        </is>
      </c>
      <c r="C432" s="19" t="inlineStr">
        <is>
          <t>Merku Thodarchi Malai</t>
        </is>
      </c>
      <c r="D432" s="19" t="inlineStr">
        <is>
          <t>Lenin Bharathi</t>
        </is>
      </c>
      <c r="E432" s="19" t="inlineStr">
        <is>
          <t>Antony, Gayathri Krishna, Abu Valayamkulam, Anthony Vaathiyaar, Aarubala, Sornam</t>
        </is>
      </c>
      <c r="F432" s="19" t="inlineStr">
        <is>
          <t>India</t>
        </is>
      </c>
      <c r="G432" s="19" t="inlineStr">
        <is>
          <t>2019-01-01</t>
        </is>
      </c>
      <c r="H432" s="19" t="n">
        <v>2018</v>
      </c>
      <c r="I432" s="19" t="inlineStr">
        <is>
          <t>TV-MA</t>
        </is>
      </c>
      <c r="J432" s="19" t="inlineStr">
        <is>
          <t>115 min</t>
        </is>
      </c>
      <c r="K432" s="19" t="inlineStr">
        <is>
          <t>Dramas, Independent Movies, International Movies</t>
        </is>
      </c>
      <c r="L432" s="19" t="inlineStr">
        <is>
          <t>In southern India, a laborer's dreams of owning a piece of land to farm is complicated by political corruption.</t>
        </is>
      </c>
      <c r="M432" s="19" t="n">
        <v>2019</v>
      </c>
      <c r="N432" s="19">
        <f>IF(AND(OR(YearFilter="All",$M432=YearFilter),OR(RatingFilter="All",$I432=RatingFilter),OR(TypeFilter="All",$B432=TypeFilter),OR(GenreFilter="All",COUNTIFS(tblGenre[show_id],$A432,tblGenre[Genre],GenreFilter)&gt;0)),1,0)</f>
        <v/>
      </c>
    </row>
    <row r="433" ht="15" customHeight="1" s="20">
      <c r="A433" s="19" t="inlineStr">
        <is>
          <t>s4225</t>
        </is>
      </c>
      <c r="B433" s="19" t="inlineStr">
        <is>
          <t>Movie</t>
        </is>
      </c>
      <c r="C433" s="19" t="inlineStr">
        <is>
          <t>Puriyatha Puthir</t>
        </is>
      </c>
      <c r="D433" s="19" t="inlineStr">
        <is>
          <t>Ranjit Jeyakodi</t>
        </is>
      </c>
      <c r="E433" s="19" t="inlineStr">
        <is>
          <t>Vijay Sethupathi, Gayathrie, Mahima Nambiar, Arjunan, Ramesh Thilak, Ranjith</t>
        </is>
      </c>
      <c r="F433" s="19" t="inlineStr">
        <is>
          <t>India</t>
        </is>
      </c>
      <c r="G433" s="19" t="inlineStr">
        <is>
          <t>2019-01-01</t>
        </is>
      </c>
      <c r="H433" s="19" t="n">
        <v>2017</v>
      </c>
      <c r="I433" s="19" t="inlineStr">
        <is>
          <t>TV-MA</t>
        </is>
      </c>
      <c r="J433" s="19" t="inlineStr">
        <is>
          <t>120 min</t>
        </is>
      </c>
      <c r="K433" s="19" t="inlineStr">
        <is>
          <t>International Movies, Thrillers</t>
        </is>
      </c>
      <c r="L433" s="19" t="inlineStr">
        <is>
          <t>An aspiring music director begins to receive voyeuristic footage of his girlfriend from her apparent stalker as tragedy strikes those around him.</t>
        </is>
      </c>
      <c r="M433" s="19" t="n">
        <v>2019</v>
      </c>
      <c r="N433" s="19">
        <f>IF(AND(OR(YearFilter="All",$M433=YearFilter),OR(RatingFilter="All",$I433=RatingFilter),OR(TypeFilter="All",$B433=TypeFilter),OR(GenreFilter="All",COUNTIFS(tblGenre[show_id],$A433,tblGenre[Genre],GenreFilter)&gt;0)),1,0)</f>
        <v/>
      </c>
    </row>
    <row r="434" ht="15" customHeight="1" s="20">
      <c r="A434" s="19" t="inlineStr">
        <is>
          <t>s4226</t>
        </is>
      </c>
      <c r="B434" s="19" t="inlineStr">
        <is>
          <t>Movie</t>
        </is>
      </c>
      <c r="C434" s="19" t="inlineStr">
        <is>
          <t>Taramani</t>
        </is>
      </c>
      <c r="D434" s="19" t="inlineStr">
        <is>
          <t>Ram</t>
        </is>
      </c>
      <c r="E434" s="19" t="inlineStr">
        <is>
          <t>Andrea Jeremiah, Anjali, Vasanth Ravi, Adrian Knight Jesly, Azhagamperumal, Lizzie Antony, Nivas Adithan, Abhishek D Shah</t>
        </is>
      </c>
      <c r="F434" s="19" t="inlineStr">
        <is>
          <t>India</t>
        </is>
      </c>
      <c r="G434" s="19" t="inlineStr">
        <is>
          <t>2019-01-01</t>
        </is>
      </c>
      <c r="H434" s="19" t="n">
        <v>2017</v>
      </c>
      <c r="I434" s="19" t="inlineStr">
        <is>
          <t>TV-MA</t>
        </is>
      </c>
      <c r="J434" s="19" t="inlineStr">
        <is>
          <t>148 min</t>
        </is>
      </c>
      <c r="K434" s="19" t="inlineStr">
        <is>
          <t>Dramas, Independent Movies, International Movies</t>
        </is>
      </c>
      <c r="L434" s="19" t="inlineStr">
        <is>
          <t>A traditional man and an independent woman share a connection, but they must learn to navigate their vastly different experiences and expectations.</t>
        </is>
      </c>
      <c r="M434" s="19" t="n">
        <v>2019</v>
      </c>
      <c r="N434" s="19">
        <f>IF(AND(OR(YearFilter="All",$M434=YearFilter),OR(RatingFilter="All",$I434=RatingFilter),OR(TypeFilter="All",$B434=TypeFilter),OR(GenreFilter="All",COUNTIFS(tblGenre[show_id],$A434,tblGenre[Genre],GenreFilter)&gt;0)),1,0)</f>
        <v/>
      </c>
    </row>
    <row r="435" ht="15" customHeight="1" s="20">
      <c r="A435" s="19" t="inlineStr">
        <is>
          <t>s4256</t>
        </is>
      </c>
      <c r="B435" s="19" t="inlineStr">
        <is>
          <t>Movie</t>
        </is>
      </c>
      <c r="C435" s="19" t="inlineStr">
        <is>
          <t>Life Ki Toh Lag Gayi</t>
        </is>
      </c>
      <c r="D435" s="19" t="inlineStr">
        <is>
          <t>Rakesh Mehta</t>
        </is>
      </c>
      <c r="E435" s="19" t="inlineStr">
        <is>
          <t>Kay Kay Menon, Ranvir Shorey, Manu Rishi Chadha, Pradhuman Singh, Neha Bhasin, Jackie Shroff, Asrani, Neeraj Vora, Sharat Saxena, Tom Alter</t>
        </is>
      </c>
      <c r="F435" s="19" t="inlineStr">
        <is>
          <t>India</t>
        </is>
      </c>
      <c r="G435" s="19" t="inlineStr">
        <is>
          <t>2018-12-28</t>
        </is>
      </c>
      <c r="H435" s="19" t="n">
        <v>2012</v>
      </c>
      <c r="I435" s="19" t="inlineStr">
        <is>
          <t>TV-MA</t>
        </is>
      </c>
      <c r="J435" s="19" t="inlineStr">
        <is>
          <t>109 min</t>
        </is>
      </c>
      <c r="K435" s="19" t="inlineStr">
        <is>
          <t>Action &amp; Adventure, Comedies, Dramas</t>
        </is>
      </c>
      <c r="L435" s="19" t="inlineStr">
        <is>
          <t>A vengeful son, a cop on a mission, a wannabe actress and a jilted lover find their lives intermingling in unexpected ways over 24 hours in Mumbai.</t>
        </is>
      </c>
      <c r="M435" s="19" t="n">
        <v>2018</v>
      </c>
      <c r="N435" s="19">
        <f>IF(AND(OR(YearFilter="All",$M435=YearFilter),OR(RatingFilter="All",$I435=RatingFilter),OR(TypeFilter="All",$B435=TypeFilter),OR(GenreFilter="All",COUNTIFS(tblGenre[show_id],$A435,tblGenre[Genre],GenreFilter)&gt;0)),1,0)</f>
        <v/>
      </c>
    </row>
    <row r="436" ht="15" customHeight="1" s="20">
      <c r="A436" s="19" t="inlineStr">
        <is>
          <t>s4258</t>
        </is>
      </c>
      <c r="B436" s="19" t="inlineStr">
        <is>
          <t>TV Show</t>
        </is>
      </c>
      <c r="C436" s="19" t="inlineStr">
        <is>
          <t>Selection Day</t>
        </is>
      </c>
      <c r="E436" s="19" t="inlineStr">
        <is>
          <t>Mohammad Samad, Yash Shashank Dholye, Rajesh Tailang, Mahesh Manjrekar, Karanvir Malhotra, Ratna Pathak Shah, Akshay Oberoi</t>
        </is>
      </c>
      <c r="F436" s="19" t="inlineStr">
        <is>
          <t>India</t>
        </is>
      </c>
      <c r="G436" s="19" t="inlineStr">
        <is>
          <t>2018-12-28</t>
        </is>
      </c>
      <c r="H436" s="19" t="n">
        <v>2018</v>
      </c>
      <c r="I436" s="19" t="inlineStr">
        <is>
          <t>TV-14</t>
        </is>
      </c>
      <c r="J436" s="19" t="inlineStr">
        <is>
          <t>1 Season</t>
        </is>
      </c>
      <c r="K436" s="19" t="inlineStr">
        <is>
          <t>International TV Shows, TV Dramas, Teen TV Shows</t>
        </is>
      </c>
      <c r="L436" s="19" t="inlineStr">
        <is>
          <t>Two teen cricket prodigies struggle against their overbearing father and a system stacked against them to realize their own ambitions and identities.</t>
        </is>
      </c>
      <c r="M436" s="19" t="n">
        <v>2018</v>
      </c>
      <c r="N436" s="19">
        <f>IF(AND(OR(YearFilter="All",$M436=YearFilter),OR(RatingFilter="All",$I436=RatingFilter),OR(TypeFilter="All",$B436=TypeFilter),OR(GenreFilter="All",COUNTIFS(tblGenre[show_id],$A436,tblGenre[Genre],GenreFilter)&gt;0)),1,0)</f>
        <v/>
      </c>
    </row>
    <row r="437" ht="15" customHeight="1" s="20">
      <c r="A437" s="19" t="inlineStr">
        <is>
          <t>s4284</t>
        </is>
      </c>
      <c r="B437" s="19" t="inlineStr">
        <is>
          <t>Movie</t>
        </is>
      </c>
      <c r="C437" s="19" t="inlineStr">
        <is>
          <t>Ascharyachakit!</t>
        </is>
      </c>
      <c r="D437" s="19" t="inlineStr">
        <is>
          <t>Samit Kakkad</t>
        </is>
      </c>
      <c r="E437" s="19" t="inlineStr">
        <is>
          <t>Priyanka Bose, Vaibhav Raj Gupta, Santosh Juvekar, Anangsha Biswas, Ankit Raaj, Kashmira Irani, Kailash Waghmare, Vipin Sharma</t>
        </is>
      </c>
      <c r="F437" s="19" t="inlineStr">
        <is>
          <t>India</t>
        </is>
      </c>
      <c r="G437" s="19" t="inlineStr">
        <is>
          <t>2018-12-19</t>
        </is>
      </c>
      <c r="H437" s="19" t="n">
        <v>2018</v>
      </c>
      <c r="I437" s="19" t="inlineStr">
        <is>
          <t>TV-MA</t>
        </is>
      </c>
      <c r="J437" s="19" t="inlineStr">
        <is>
          <t>90 min</t>
        </is>
      </c>
      <c r="K437" s="19" t="inlineStr">
        <is>
          <t>Dramas, Independent Movies, International Movies</t>
        </is>
      </c>
      <c r="L437" s="19" t="inlineStr">
        <is>
          <t>Entangling the lives of a movie star, a chauffeur, a prostitute and a pimp, this bold drama reveals ugly truths beneath Mumbai’s glitzy veneer.</t>
        </is>
      </c>
      <c r="M437" s="19" t="n">
        <v>2018</v>
      </c>
      <c r="N437" s="19">
        <f>IF(AND(OR(YearFilter="All",$M437=YearFilter),OR(RatingFilter="All",$I437=RatingFilter),OR(TypeFilter="All",$B437=TypeFilter),OR(GenreFilter="All",COUNTIFS(tblGenre[show_id],$A437,tblGenre[Genre],GenreFilter)&gt;0)),1,0)</f>
        <v/>
      </c>
    </row>
    <row r="438" ht="15" customHeight="1" s="20">
      <c r="A438" s="19" t="inlineStr">
        <is>
          <t>s4286</t>
        </is>
      </c>
      <c r="B438" s="19" t="inlineStr">
        <is>
          <t>Movie</t>
        </is>
      </c>
      <c r="C438" s="19" t="inlineStr">
        <is>
          <t>Lilli</t>
        </is>
      </c>
      <c r="D438" s="19" t="inlineStr">
        <is>
          <t>Prasobh Vijayan</t>
        </is>
      </c>
      <c r="E438" s="19" t="inlineStr">
        <is>
          <t>Samyuktha Menon, Aaryan Menon, Dhanesh Anand, Kannan Nayar, Sajin Cherukayil, Kevin Jose, Athulya</t>
        </is>
      </c>
      <c r="F438" s="19" t="inlineStr">
        <is>
          <t>India</t>
        </is>
      </c>
      <c r="G438" s="19" t="inlineStr">
        <is>
          <t>2018-12-17</t>
        </is>
      </c>
      <c r="H438" s="19" t="n">
        <v>2018</v>
      </c>
      <c r="I438" s="19" t="inlineStr">
        <is>
          <t>TV-MA</t>
        </is>
      </c>
      <c r="J438" s="19" t="inlineStr">
        <is>
          <t>85 min</t>
        </is>
      </c>
      <c r="K438" s="19" t="inlineStr">
        <is>
          <t>Dramas, Independent Movies, International Movies</t>
        </is>
      </c>
      <c r="L438" s="19" t="inlineStr">
        <is>
          <t>A woman who's about to give birth finds her maternal instincts kicking in when she's abducted, imprisoned and brutalized by a vicious gang.</t>
        </is>
      </c>
      <c r="M438" s="19" t="n">
        <v>2018</v>
      </c>
      <c r="N438" s="19">
        <f>IF(AND(OR(YearFilter="All",$M438=YearFilter),OR(RatingFilter="All",$I438=RatingFilter),OR(TypeFilter="All",$B438=TypeFilter),OR(GenreFilter="All",COUNTIFS(tblGenre[show_id],$A438,tblGenre[Genre],GenreFilter)&gt;0)),1,0)</f>
        <v/>
      </c>
    </row>
    <row r="439" ht="15" customHeight="1" s="20">
      <c r="A439" s="19" t="inlineStr">
        <is>
          <t>s4288</t>
        </is>
      </c>
      <c r="B439" s="19" t="inlineStr">
        <is>
          <t>Movie</t>
        </is>
      </c>
      <c r="C439" s="19" t="inlineStr">
        <is>
          <t>Andhadhun</t>
        </is>
      </c>
      <c r="D439" s="19" t="inlineStr">
        <is>
          <t>Sriram Raghavan</t>
        </is>
      </c>
      <c r="E439" s="19" t="inlineStr">
        <is>
          <t>Tabu, Ayushmann Khurrana, Radhika Apte, Anil Dhawan, Manav Vij, Zakir Hussain, Ashwini Kalsekar, Chhaya Kadam, Pawan Singh, Kabir Sajid</t>
        </is>
      </c>
      <c r="F439" s="19" t="inlineStr">
        <is>
          <t>India</t>
        </is>
      </c>
      <c r="G439" s="19" t="inlineStr">
        <is>
          <t>2018-12-16</t>
        </is>
      </c>
      <c r="H439" s="19" t="n">
        <v>2018</v>
      </c>
      <c r="I439" s="19" t="inlineStr">
        <is>
          <t>TV-14</t>
        </is>
      </c>
      <c r="J439" s="19" t="inlineStr">
        <is>
          <t>137 min</t>
        </is>
      </c>
      <c r="K439" s="19" t="inlineStr">
        <is>
          <t>Comedies, Dramas, International Movies</t>
        </is>
      </c>
      <c r="L439" s="19" t="inlineStr">
        <is>
          <t>A visually impaired pianist’s world careens into a series of shocking twists after he unintentionally lands at the murder scene of a former film star.</t>
        </is>
      </c>
      <c r="M439" s="19" t="n">
        <v>2018</v>
      </c>
      <c r="N439" s="19">
        <f>IF(AND(OR(YearFilter="All",$M439=YearFilter),OR(RatingFilter="All",$I439=RatingFilter),OR(TypeFilter="All",$B439=TypeFilter),OR(GenreFilter="All",COUNTIFS(tblGenre[show_id],$A439,tblGenre[Genre],GenreFilter)&gt;0)),1,0)</f>
        <v/>
      </c>
    </row>
    <row r="440" ht="15" customHeight="1" s="20">
      <c r="A440" s="19" t="inlineStr">
        <is>
          <t>s4304</t>
        </is>
      </c>
      <c r="B440" s="19" t="inlineStr">
        <is>
          <t>Movie</t>
        </is>
      </c>
      <c r="C440" s="19" t="inlineStr">
        <is>
          <t>Vanjagar Ulagam</t>
        </is>
      </c>
      <c r="D440" s="19" t="inlineStr">
        <is>
          <t>Manoj Beedha</t>
        </is>
      </c>
      <c r="E440" s="19" t="inlineStr">
        <is>
          <t>Guru Somasundaram, Cibi Bhuvana Chandran, Vishagan Vanangamudi, Anisha Ambrose, Chandini Tamilarasan, Azhagamperumal, John Vijay, Vasu Vikram, Hareesh Peradi, Jayaprakash Radhakrishnan</t>
        </is>
      </c>
      <c r="F440" s="19" t="inlineStr">
        <is>
          <t>India</t>
        </is>
      </c>
      <c r="G440" s="19" t="inlineStr">
        <is>
          <t>2018-12-15</t>
        </is>
      </c>
      <c r="H440" s="19" t="n">
        <v>2018</v>
      </c>
      <c r="I440" s="19" t="inlineStr">
        <is>
          <t>TV-MA</t>
        </is>
      </c>
      <c r="J440" s="19" t="inlineStr">
        <is>
          <t>145 min</t>
        </is>
      </c>
      <c r="K440" s="19" t="inlineStr">
        <is>
          <t>Dramas, International Movies, Thrillers</t>
        </is>
      </c>
      <c r="L440" s="19" t="inlineStr">
        <is>
          <t>Shyam wakes to discover he's suspected in a murder that one journalist believes may have ties to a mysterious gangster.</t>
        </is>
      </c>
      <c r="M440" s="19" t="n">
        <v>2018</v>
      </c>
      <c r="N440" s="19">
        <f>IF(AND(OR(YearFilter="All",$M440=YearFilter),OR(RatingFilter="All",$I440=RatingFilter),OR(TypeFilter="All",$B440=TypeFilter),OR(GenreFilter="All",COUNTIFS(tblGenre[show_id],$A440,tblGenre[Genre],GenreFilter)&gt;0)),1,0)</f>
        <v/>
      </c>
    </row>
    <row r="441" ht="15" customHeight="1" s="20">
      <c r="A441" s="19" t="inlineStr">
        <is>
          <t>s4336</t>
        </is>
      </c>
      <c r="B441" s="19" t="inlineStr">
        <is>
          <t>Movie</t>
        </is>
      </c>
      <c r="C441" s="19" t="inlineStr">
        <is>
          <t>Chal Bhaag</t>
        </is>
      </c>
      <c r="D441" s="19" t="inlineStr">
        <is>
          <t>Prakash Balwant Saini</t>
        </is>
      </c>
      <c r="E441" s="19" t="inlineStr">
        <is>
          <t>Deepak Dobriyal, Tarun Bajaj, Keeya Khanna, Varun Mehra, Sanjay Mishra, Yashpal Sharma, Mukesh Tiwari, Atul Srivastava, Manish Khanna, Kunwar Aziz</t>
        </is>
      </c>
      <c r="F441" s="19" t="inlineStr">
        <is>
          <t>India</t>
        </is>
      </c>
      <c r="G441" s="19" t="inlineStr">
        <is>
          <t>2018-12-01</t>
        </is>
      </c>
      <c r="H441" s="19" t="n">
        <v>2014</v>
      </c>
      <c r="I441" s="19" t="inlineStr">
        <is>
          <t>TV-14</t>
        </is>
      </c>
      <c r="J441" s="19" t="inlineStr">
        <is>
          <t>110 min</t>
        </is>
      </c>
      <c r="K441" s="19" t="inlineStr">
        <is>
          <t>Comedies, Dramas, International Movies</t>
        </is>
      </c>
      <c r="L441" s="19" t="inlineStr">
        <is>
          <t>Three petty criminals find themselves in a pickle when police wrongly charge them with the murder of an important politician.</t>
        </is>
      </c>
      <c r="M441" s="19" t="n">
        <v>2018</v>
      </c>
      <c r="N441" s="19">
        <f>IF(AND(OR(YearFilter="All",$M441=YearFilter),OR(RatingFilter="All",$I441=RatingFilter),OR(TypeFilter="All",$B441=TypeFilter),OR(GenreFilter="All",COUNTIFS(tblGenre[show_id],$A441,tblGenre[Genre],GenreFilter)&gt;0)),1,0)</f>
        <v/>
      </c>
    </row>
    <row r="442" ht="15" customHeight="1" s="20">
      <c r="A442" s="19" t="inlineStr">
        <is>
          <t>s4347</t>
        </is>
      </c>
      <c r="B442" s="19" t="inlineStr">
        <is>
          <t>Movie</t>
        </is>
      </c>
      <c r="C442" s="19" t="inlineStr">
        <is>
          <t>Power Paandi</t>
        </is>
      </c>
      <c r="D442" s="19" t="inlineStr">
        <is>
          <t>Dhanush</t>
        </is>
      </c>
      <c r="E442" s="19" t="inlineStr">
        <is>
          <t>Rajkiran, Dhanush, Prasanna, Chaya Singh, Revathy, Madonna Sebastian, Vidyullekha Raman</t>
        </is>
      </c>
      <c r="F442" s="19" t="inlineStr">
        <is>
          <t>India</t>
        </is>
      </c>
      <c r="G442" s="19" t="inlineStr">
        <is>
          <t>2018-12-01</t>
        </is>
      </c>
      <c r="H442" s="19" t="n">
        <v>2017</v>
      </c>
      <c r="I442" s="19" t="inlineStr">
        <is>
          <t>TV-MA</t>
        </is>
      </c>
      <c r="J442" s="19" t="inlineStr">
        <is>
          <t>124 min</t>
        </is>
      </c>
      <c r="K442" s="19" t="inlineStr">
        <is>
          <t>Dramas, Independent Movies, International Movies</t>
        </is>
      </c>
      <c r="L442" s="19" t="inlineStr">
        <is>
          <t>Retired, restless and constantly butting heads with his son, a former stuntman escapes on a road trip that becomes a journey to find his first love.</t>
        </is>
      </c>
      <c r="M442" s="19" t="n">
        <v>2018</v>
      </c>
      <c r="N442" s="19">
        <f>IF(AND(OR(YearFilter="All",$M442=YearFilter),OR(RatingFilter="All",$I442=RatingFilter),OR(TypeFilter="All",$B442=TypeFilter),OR(GenreFilter="All",COUNTIFS(tblGenre[show_id],$A442,tblGenre[Genre],GenreFilter)&gt;0)),1,0)</f>
        <v/>
      </c>
    </row>
    <row r="443" ht="15" customHeight="1" s="20">
      <c r="A443" s="19" t="inlineStr">
        <is>
          <t>s4358</t>
        </is>
      </c>
      <c r="B443" s="19" t="inlineStr">
        <is>
          <t>Movie</t>
        </is>
      </c>
      <c r="C443" s="19" t="inlineStr">
        <is>
          <t>Manto</t>
        </is>
      </c>
      <c r="D443" s="19" t="inlineStr">
        <is>
          <t>Nandita Das</t>
        </is>
      </c>
      <c r="E443" s="19" t="inlineStr">
        <is>
          <t>Nawazuddin Siddiqui, Rasika Dugal, Tahir Raj Bhasin</t>
        </is>
      </c>
      <c r="F443" s="19" t="inlineStr">
        <is>
          <t>India</t>
        </is>
      </c>
      <c r="G443" s="19" t="inlineStr">
        <is>
          <t>2018-11-30</t>
        </is>
      </c>
      <c r="H443" s="19" t="n">
        <v>2018</v>
      </c>
      <c r="I443" s="19" t="inlineStr">
        <is>
          <t>TV-MA</t>
        </is>
      </c>
      <c r="J443" s="19" t="inlineStr">
        <is>
          <t>114 min</t>
        </is>
      </c>
      <c r="K443" s="19" t="inlineStr">
        <is>
          <t>Dramas, Independent Movies, International Movies</t>
        </is>
      </c>
      <c r="L443" s="19" t="inlineStr">
        <is>
          <t>The controversial and troubled Indo-Pakistani writer Saadat Hasan Manto finds his artistic choices challenged by censors.</t>
        </is>
      </c>
      <c r="M443" s="19" t="n">
        <v>2018</v>
      </c>
      <c r="N443" s="19">
        <f>IF(AND(OR(YearFilter="All",$M443=YearFilter),OR(RatingFilter="All",$I443=RatingFilter),OR(TypeFilter="All",$B443=TypeFilter),OR(GenreFilter="All",COUNTIFS(tblGenre[show_id],$A443,tblGenre[Genre],GenreFilter)&gt;0)),1,0)</f>
        <v/>
      </c>
    </row>
    <row r="444" ht="15" customHeight="1" s="20">
      <c r="A444" s="19" t="inlineStr">
        <is>
          <t>s4359</t>
        </is>
      </c>
      <c r="B444" s="19" t="inlineStr">
        <is>
          <t>Movie</t>
        </is>
      </c>
      <c r="C444" s="19" t="inlineStr">
        <is>
          <t>Rajma Chawal</t>
        </is>
      </c>
      <c r="D444" s="19" t="inlineStr">
        <is>
          <t>Leena Yadav</t>
        </is>
      </c>
      <c r="E444" s="19" t="inlineStr">
        <is>
          <t>Rishi Kapoor, Anirudh Tanwar, Amyra Dastur, Jitendra Shastri, Aparshakti Khurana, Harish Khanna, Manu Rishi Chadha, Nirmal Rishi, Sheeba Chaddha, Adil Hussain, Rahul Ram, Mukesh Chhabra</t>
        </is>
      </c>
      <c r="F444" s="19" t="inlineStr">
        <is>
          <t>India</t>
        </is>
      </c>
      <c r="G444" s="19" t="inlineStr">
        <is>
          <t>2018-11-30</t>
        </is>
      </c>
      <c r="H444" s="19" t="n">
        <v>2018</v>
      </c>
      <c r="I444" s="19" t="inlineStr">
        <is>
          <t>TV-MA</t>
        </is>
      </c>
      <c r="J444" s="19" t="inlineStr">
        <is>
          <t>119 min</t>
        </is>
      </c>
      <c r="K444" s="19" t="inlineStr">
        <is>
          <t>Comedies, Dramas, International Movies</t>
        </is>
      </c>
      <c r="L444" s="19" t="inlineStr">
        <is>
          <t>Hoping to revive his relationship with his resentful millennial son, an internet-rookie widower assumes the online persona of a young woman.</t>
        </is>
      </c>
      <c r="M444" s="19" t="n">
        <v>2018</v>
      </c>
      <c r="N444" s="19">
        <f>IF(AND(OR(YearFilter="All",$M444=YearFilter),OR(RatingFilter="All",$I444=RatingFilter),OR(TypeFilter="All",$B444=TypeFilter),OR(GenreFilter="All",COUNTIFS(tblGenre[show_id],$A444,tblGenre[Genre],GenreFilter)&gt;0)),1,0)</f>
        <v/>
      </c>
    </row>
    <row r="445" ht="15" customHeight="1" s="20">
      <c r="A445" s="19" t="inlineStr">
        <is>
          <t>s4389</t>
        </is>
      </c>
      <c r="B445" s="19" t="inlineStr">
        <is>
          <t>Movie</t>
        </is>
      </c>
      <c r="C445" s="19" t="inlineStr">
        <is>
          <t>Aalorukkam</t>
        </is>
      </c>
      <c r="D445" s="19" t="inlineStr">
        <is>
          <t>V C Abhilash</t>
        </is>
      </c>
      <c r="E445" s="19" t="inlineStr">
        <is>
          <t>Indrans, Sreekanth Menon, Vishnu Agasthya, Aliyar, Seethabaala, Shaji John, Sajith Nampiyar, Benny Vadakkan</t>
        </is>
      </c>
      <c r="F445" s="19" t="inlineStr">
        <is>
          <t>India</t>
        </is>
      </c>
      <c r="G445" s="19" t="inlineStr">
        <is>
          <t>2018-11-15</t>
        </is>
      </c>
      <c r="H445" s="19" t="n">
        <v>2018</v>
      </c>
      <c r="I445" s="19" t="inlineStr">
        <is>
          <t>TV-PG</t>
        </is>
      </c>
      <c r="J445" s="19" t="inlineStr">
        <is>
          <t>122 min</t>
        </is>
      </c>
      <c r="K445" s="19" t="inlineStr">
        <is>
          <t>Dramas, Independent Movies, International Movies</t>
        </is>
      </c>
      <c r="L445" s="19" t="inlineStr">
        <is>
          <t>When an aging father seeks the help of a doctor and a journalist to look for the son who left him 16 years ago, he learns some surprising truths.</t>
        </is>
      </c>
      <c r="M445" s="19" t="n">
        <v>2018</v>
      </c>
      <c r="N445" s="19">
        <f>IF(AND(OR(YearFilter="All",$M445=YearFilter),OR(RatingFilter="All",$I445=RatingFilter),OR(TypeFilter="All",$B445=TypeFilter),OR(GenreFilter="All",COUNTIFS(tblGenre[show_id],$A445,tblGenre[Genre],GenreFilter)&gt;0)),1,0)</f>
        <v/>
      </c>
    </row>
    <row r="446" ht="15" customHeight="1" s="20">
      <c r="A446" s="19" t="inlineStr">
        <is>
          <t>s4392</t>
        </is>
      </c>
      <c r="B446" s="19" t="inlineStr">
        <is>
          <t>Movie</t>
        </is>
      </c>
      <c r="C446" s="19" t="inlineStr">
        <is>
          <t>Halkaa</t>
        </is>
      </c>
      <c r="D446" s="19" t="inlineStr">
        <is>
          <t>Nila Madhab Panda</t>
        </is>
      </c>
      <c r="E446" s="19" t="inlineStr">
        <is>
          <t>Tathastu, Aryan Preet, Ranvir Shorey, Paoli Dam, Kumud Mishra, Devender Chaudhary, Shrikant Verma</t>
        </is>
      </c>
      <c r="F446" s="19" t="inlineStr">
        <is>
          <t>India</t>
        </is>
      </c>
      <c r="G446" s="19" t="inlineStr">
        <is>
          <t>2018-11-15</t>
        </is>
      </c>
      <c r="H446" s="19" t="n">
        <v>2018</v>
      </c>
      <c r="I446" s="19" t="inlineStr">
        <is>
          <t>TV-14</t>
        </is>
      </c>
      <c r="J446" s="19" t="inlineStr">
        <is>
          <t>111 min</t>
        </is>
      </c>
      <c r="K446" s="19" t="inlineStr">
        <is>
          <t>Comedies, Dramas, Independent Movies</t>
        </is>
      </c>
      <c r="L446" s="19" t="inlineStr">
        <is>
          <t>Up against a corrupt government official and crushing poverty, a young boy in the Delhi slums attempts to raise funds to build himself his own toilet.</t>
        </is>
      </c>
      <c r="M446" s="19" t="n">
        <v>2018</v>
      </c>
      <c r="N446" s="19">
        <f>IF(AND(OR(YearFilter="All",$M446=YearFilter),OR(RatingFilter="All",$I446=RatingFilter),OR(TypeFilter="All",$B446=TypeFilter),OR(GenreFilter="All",COUNTIFS(tblGenre[show_id],$A446,tblGenre[Genre],GenreFilter)&gt;0)),1,0)</f>
        <v/>
      </c>
    </row>
    <row r="447" ht="15" customHeight="1" s="20">
      <c r="A447" s="19" t="inlineStr">
        <is>
          <t>s4394</t>
        </is>
      </c>
      <c r="B447" s="19" t="inlineStr">
        <is>
          <t>Movie</t>
        </is>
      </c>
      <c r="C447" s="19" t="inlineStr">
        <is>
          <t>Muzaffarnagar Baaqi Hai</t>
        </is>
      </c>
      <c r="D447" s="19" t="inlineStr">
        <is>
          <t>Nakul Singh Sawhney</t>
        </is>
      </c>
      <c r="F447" s="19" t="inlineStr">
        <is>
          <t>India</t>
        </is>
      </c>
      <c r="G447" s="19" t="inlineStr">
        <is>
          <t>2018-11-15</t>
        </is>
      </c>
      <c r="H447" s="19" t="n">
        <v>2015</v>
      </c>
      <c r="I447" s="19" t="inlineStr">
        <is>
          <t>TV-MA</t>
        </is>
      </c>
      <c r="J447" s="19" t="inlineStr">
        <is>
          <t>136 min</t>
        </is>
      </c>
      <c r="K447" s="19" t="inlineStr">
        <is>
          <t>Documentaries, International Movies</t>
        </is>
      </c>
      <c r="L447" s="19" t="inlineStr">
        <is>
          <t>Through interviews with locals, this documentary investigates the triggers and outcomes of the 2013 communal riots in the heart of Uttar Pradesh.</t>
        </is>
      </c>
      <c r="M447" s="19" t="n">
        <v>2018</v>
      </c>
      <c r="N447" s="19">
        <f>IF(AND(OR(YearFilter="All",$M447=YearFilter),OR(RatingFilter="All",$I447=RatingFilter),OR(TypeFilter="All",$B447=TypeFilter),OR(GenreFilter="All",COUNTIFS(tblGenre[show_id],$A447,tblGenre[Genre],GenreFilter)&gt;0)),1,0)</f>
        <v/>
      </c>
    </row>
    <row r="448" ht="15" customHeight="1" s="20">
      <c r="A448" s="19" t="inlineStr">
        <is>
          <t>s4395</t>
        </is>
      </c>
      <c r="B448" s="19" t="inlineStr">
        <is>
          <t>Movie</t>
        </is>
      </c>
      <c r="C448" s="19" t="inlineStr">
        <is>
          <t>Odu Raja Odu</t>
        </is>
      </c>
      <c r="D448" s="19" t="inlineStr">
        <is>
          <t>Nishanth Ravindaran, Jathin Sanker Raj</t>
        </is>
      </c>
      <c r="E448" s="19" t="inlineStr">
        <is>
          <t>Guru Somasundaram, Nasser, Anand Sami, Lakshmi Priyaa Chandramouli, Ashiqa Salvan, Ravindra Vijay, Abishek K.S., Venkatesh Harinathan</t>
        </is>
      </c>
      <c r="F448" s="19" t="inlineStr">
        <is>
          <t>India</t>
        </is>
      </c>
      <c r="G448" s="19" t="inlineStr">
        <is>
          <t>2018-11-15</t>
        </is>
      </c>
      <c r="H448" s="19" t="n">
        <v>2018</v>
      </c>
      <c r="I448" s="19" t="inlineStr">
        <is>
          <t>TV-14</t>
        </is>
      </c>
      <c r="J448" s="19" t="inlineStr">
        <is>
          <t>121 min</t>
        </is>
      </c>
      <c r="K448" s="19" t="inlineStr">
        <is>
          <t>Comedies, Independent Movies, International Movies</t>
        </is>
      </c>
      <c r="L448" s="19" t="inlineStr">
        <is>
          <t>While trying to buy his wife a set-top box, a struggling writer and his pal get entangled in the domino effect of a spectacularly botched drug deal.</t>
        </is>
      </c>
      <c r="M448" s="19" t="n">
        <v>2018</v>
      </c>
      <c r="N448" s="19">
        <f>IF(AND(OR(YearFilter="All",$M448=YearFilter),OR(RatingFilter="All",$I448=RatingFilter),OR(TypeFilter="All",$B448=TypeFilter),OR(GenreFilter="All",COUNTIFS(tblGenre[show_id],$A448,tblGenre[Genre],GenreFilter)&gt;0)),1,0)</f>
        <v/>
      </c>
    </row>
    <row r="449" ht="15" customHeight="1" s="20">
      <c r="A449" s="19" t="inlineStr">
        <is>
          <t>s4396</t>
        </is>
      </c>
      <c r="B449" s="19" t="inlineStr">
        <is>
          <t>Movie</t>
        </is>
      </c>
      <c r="C449" s="19" t="inlineStr">
        <is>
          <t>Savita Damodar Paranjpe</t>
        </is>
      </c>
      <c r="D449" s="19" t="inlineStr">
        <is>
          <t>Swapna Waghmare Joshi</t>
        </is>
      </c>
      <c r="E449" s="19" t="inlineStr">
        <is>
          <t>Subodh Bhave, Trupti Toradmal, Rakesh Bapat, Pallavi Patil, Angad Mhaskar, Hemangi Kavi, Savita Prabhune, Sandeep Avchat</t>
        </is>
      </c>
      <c r="F449" s="19" t="inlineStr">
        <is>
          <t>India</t>
        </is>
      </c>
      <c r="G449" s="19" t="inlineStr">
        <is>
          <t>2018-11-15</t>
        </is>
      </c>
      <c r="H449" s="19" t="n">
        <v>2018</v>
      </c>
      <c r="I449" s="19" t="inlineStr">
        <is>
          <t>TV-14</t>
        </is>
      </c>
      <c r="J449" s="19" t="inlineStr">
        <is>
          <t>119 min</t>
        </is>
      </c>
      <c r="K449" s="19" t="inlineStr">
        <is>
          <t>Horror Movies, International Movies</t>
        </is>
      </c>
      <c r="L449" s="19" t="inlineStr">
        <is>
          <t>When his wife begins to exhibit alarming behavior, a husband tries to find whether she suffers from a personality disorder or something more sinister.</t>
        </is>
      </c>
      <c r="M449" s="19" t="n">
        <v>2018</v>
      </c>
      <c r="N449" s="19">
        <f>IF(AND(OR(YearFilter="All",$M449=YearFilter),OR(RatingFilter="All",$I449=RatingFilter),OR(TypeFilter="All",$B449=TypeFilter),OR(GenreFilter="All",COUNTIFS(tblGenre[show_id],$A449,tblGenre[Genre],GenreFilter)&gt;0)),1,0)</f>
        <v/>
      </c>
    </row>
    <row r="450" ht="15" customHeight="1" s="20">
      <c r="A450" s="19" t="inlineStr">
        <is>
          <t>s4412</t>
        </is>
      </c>
      <c r="B450" s="19" t="inlineStr">
        <is>
          <t>Movie</t>
        </is>
      </c>
      <c r="C450" s="19" t="inlineStr">
        <is>
          <t>Bucket List</t>
        </is>
      </c>
      <c r="D450" s="19" t="inlineStr">
        <is>
          <t>Tejas Prabha Vijay Deoskar</t>
        </is>
      </c>
      <c r="E450" s="19" t="inlineStr">
        <is>
          <t>Madhuri Dixit, Sumeet Raghvan, Renuka Shahane, Milind Pathak, Vandana Gupte, Pradeep Velankar, Shubha Khote, Resham Tipnis</t>
        </is>
      </c>
      <c r="F450" s="19" t="inlineStr">
        <is>
          <t>India</t>
        </is>
      </c>
      <c r="G450" s="19" t="inlineStr">
        <is>
          <t>2018-11-05</t>
        </is>
      </c>
      <c r="H450" s="19" t="n">
        <v>2018</v>
      </c>
      <c r="I450" s="19" t="inlineStr">
        <is>
          <t>TV-14</t>
        </is>
      </c>
      <c r="J450" s="19" t="inlineStr">
        <is>
          <t>129 min</t>
        </is>
      </c>
      <c r="K450" s="19" t="inlineStr">
        <is>
          <t>Dramas, International Movies</t>
        </is>
      </c>
      <c r="L450" s="19" t="inlineStr">
        <is>
          <t>After getting a heart transplant, a 40-year-old homemaker in Pune makes the life-changing decision to complete the bucket list of her 20-year-old donor.</t>
        </is>
      </c>
      <c r="M450" s="19" t="n">
        <v>2018</v>
      </c>
      <c r="N450" s="19">
        <f>IF(AND(OR(YearFilter="All",$M450=YearFilter),OR(RatingFilter="All",$I450=RatingFilter),OR(TypeFilter="All",$B450=TypeFilter),OR(GenreFilter="All",COUNTIFS(tblGenre[show_id],$A450,tblGenre[Genre],GenreFilter)&gt;0)),1,0)</f>
        <v/>
      </c>
    </row>
    <row r="451" ht="15" customHeight="1" s="20">
      <c r="A451" s="19" t="inlineStr">
        <is>
          <t>s4421</t>
        </is>
      </c>
      <c r="B451" s="19" t="inlineStr">
        <is>
          <t>Movie</t>
        </is>
      </c>
      <c r="C451" s="19" t="inlineStr">
        <is>
          <t>Aagey Se Right</t>
        </is>
      </c>
      <c r="D451" s="19" t="inlineStr">
        <is>
          <t>Indrajit Nattoji</t>
        </is>
      </c>
      <c r="E451" s="19" t="inlineStr">
        <is>
          <t>Shreyas Talpade, Kay Kay Menon, Shiv Pandit, Sanjay Sharma, Shenaz Treasury, Mahie Gill</t>
        </is>
      </c>
      <c r="F451" s="19" t="inlineStr">
        <is>
          <t>India</t>
        </is>
      </c>
      <c r="G451" s="19" t="inlineStr">
        <is>
          <t>2018-11-01</t>
        </is>
      </c>
      <c r="H451" s="19" t="n">
        <v>2009</v>
      </c>
      <c r="I451" s="19" t="inlineStr">
        <is>
          <t>TV-14</t>
        </is>
      </c>
      <c r="J451" s="19" t="inlineStr">
        <is>
          <t>117 min</t>
        </is>
      </c>
      <c r="K451" s="19" t="inlineStr">
        <is>
          <t>Comedies, International Movies, Music &amp; Musicals</t>
        </is>
      </c>
      <c r="L451" s="19" t="inlineStr">
        <is>
          <t>A cop full of self-doubt loses his gun five days before he's due to leave the force, and becomes an unexpected hero as he tries to retrieve it.</t>
        </is>
      </c>
      <c r="M451" s="19" t="n">
        <v>2018</v>
      </c>
      <c r="N451" s="19">
        <f>IF(AND(OR(YearFilter="All",$M451=YearFilter),OR(RatingFilter="All",$I451=RatingFilter),OR(TypeFilter="All",$B451=TypeFilter),OR(GenreFilter="All",COUNTIFS(tblGenre[show_id],$A451,tblGenre[Genre],GenreFilter)&gt;0)),1,0)</f>
        <v/>
      </c>
    </row>
    <row r="452" ht="15" customHeight="1" s="20">
      <c r="A452" s="19" t="inlineStr">
        <is>
          <t>s4422</t>
        </is>
      </c>
      <c r="B452" s="19" t="inlineStr">
        <is>
          <t>Movie</t>
        </is>
      </c>
      <c r="C452" s="19" t="inlineStr">
        <is>
          <t>Aamir</t>
        </is>
      </c>
      <c r="D452" s="19" t="inlineStr">
        <is>
          <t>Raj Kumar Gupta</t>
        </is>
      </c>
      <c r="E452" s="19" t="inlineStr">
        <is>
          <t>Rajeev Khandelwal, Gajraj Rao, Shashanka Ghosh, Jhilmil Hazrika, Gazala Amin, Allauddin Khan</t>
        </is>
      </c>
      <c r="F452" s="19" t="inlineStr">
        <is>
          <t>India</t>
        </is>
      </c>
      <c r="G452" s="19" t="inlineStr">
        <is>
          <t>2018-11-01</t>
        </is>
      </c>
      <c r="H452" s="19" t="n">
        <v>2008</v>
      </c>
      <c r="I452" s="19" t="inlineStr">
        <is>
          <t>TV-14</t>
        </is>
      </c>
      <c r="J452" s="19" t="inlineStr">
        <is>
          <t>95 min</t>
        </is>
      </c>
      <c r="K452" s="19" t="inlineStr">
        <is>
          <t>International Movies, Thrillers</t>
        </is>
      </c>
      <c r="L452" s="19" t="inlineStr">
        <is>
          <t>In this high-tension thriller, an anonymous caller on a cell phone threatens to harm a man's family if he doesn't carry out every order.</t>
        </is>
      </c>
      <c r="M452" s="19" t="n">
        <v>2018</v>
      </c>
      <c r="N452" s="19">
        <f>IF(AND(OR(YearFilter="All",$M452=YearFilter),OR(RatingFilter="All",$I452=RatingFilter),OR(TypeFilter="All",$B452=TypeFilter),OR(GenreFilter="All",COUNTIFS(tblGenre[show_id],$A452,tblGenre[Genre],GenreFilter)&gt;0)),1,0)</f>
        <v/>
      </c>
    </row>
    <row r="453" ht="15" customHeight="1" s="20">
      <c r="A453" s="19" t="inlineStr">
        <is>
          <t>s4423</t>
        </is>
      </c>
      <c r="B453" s="19" t="inlineStr">
        <is>
          <t>Movie</t>
        </is>
      </c>
      <c r="C453" s="19" t="inlineStr">
        <is>
          <t>ABCD 2</t>
        </is>
      </c>
      <c r="D453" s="19" t="inlineStr">
        <is>
          <t>Remo D'Souza</t>
        </is>
      </c>
      <c r="E453" s="19" t="inlineStr">
        <is>
          <t>Prabhu Deva, Varun Dhawan, Shraddha Kapoor, Lauren Gottlieb, Sushant Pujari, Punit Pathak, Dharmesh Yelande, Raghav Juyal</t>
        </is>
      </c>
      <c r="F453" s="19" t="inlineStr">
        <is>
          <t>India</t>
        </is>
      </c>
      <c r="G453" s="19" t="inlineStr">
        <is>
          <t>2018-11-01</t>
        </is>
      </c>
      <c r="H453" s="19" t="n">
        <v>2015</v>
      </c>
      <c r="I453" s="19" t="inlineStr">
        <is>
          <t>TV-14</t>
        </is>
      </c>
      <c r="J453" s="19" t="inlineStr">
        <is>
          <t>146 min</t>
        </is>
      </c>
      <c r="K453" s="19" t="inlineStr">
        <is>
          <t>Dramas, International Movies, Music &amp; Musicals</t>
        </is>
      </c>
      <c r="L453" s="19" t="inlineStr">
        <is>
          <t>After being accused of cheating on a reality TV show, a dance troupe seeks to redeem itself by winning the World Hip-Hop Dance Championship.</t>
        </is>
      </c>
      <c r="M453" s="19" t="n">
        <v>2018</v>
      </c>
      <c r="N453" s="19">
        <f>IF(AND(OR(YearFilter="All",$M453=YearFilter),OR(RatingFilter="All",$I453=RatingFilter),OR(TypeFilter="All",$B453=TypeFilter),OR(GenreFilter="All",COUNTIFS(tblGenre[show_id],$A453,tblGenre[Genre],GenreFilter)&gt;0)),1,0)</f>
        <v/>
      </c>
    </row>
    <row r="454" ht="15" customHeight="1" s="20">
      <c r="A454" s="19" t="inlineStr">
        <is>
          <t>s4424</t>
        </is>
      </c>
      <c r="B454" s="19" t="inlineStr">
        <is>
          <t>Movie</t>
        </is>
      </c>
      <c r="C454" s="19" t="inlineStr">
        <is>
          <t>ABCD: Any Body Can Dance</t>
        </is>
      </c>
      <c r="D454" s="19" t="inlineStr">
        <is>
          <t>Remo D'Souza</t>
        </is>
      </c>
      <c r="E454" s="19" t="inlineStr">
        <is>
          <t>Prabhu Deva, Kay Kay Menon, Ganesh Acharya, Dharmesh Yelande, Salman, Lauren Gottlieb, Noorin Sha, Punit Pathak</t>
        </is>
      </c>
      <c r="F454" s="19" t="inlineStr">
        <is>
          <t>India</t>
        </is>
      </c>
      <c r="G454" s="19" t="inlineStr">
        <is>
          <t>2018-11-01</t>
        </is>
      </c>
      <c r="H454" s="19" t="n">
        <v>2013</v>
      </c>
      <c r="I454" s="19" t="inlineStr">
        <is>
          <t>TV-14</t>
        </is>
      </c>
      <c r="J454" s="19" t="inlineStr">
        <is>
          <t>136 min</t>
        </is>
      </c>
      <c r="K454" s="19" t="inlineStr">
        <is>
          <t>Dramas, International Movies</t>
        </is>
      </c>
      <c r="L454" s="19" t="inlineStr">
        <is>
          <t>Thrown out of the elite dance studio he founded, Vishnu's spirits rebound when he sees young street dancers prepping for an annual contest.</t>
        </is>
      </c>
      <c r="M454" s="19" t="n">
        <v>2018</v>
      </c>
      <c r="N454" s="19">
        <f>IF(AND(OR(YearFilter="All",$M454=YearFilter),OR(RatingFilter="All",$I454=RatingFilter),OR(TypeFilter="All",$B454=TypeFilter),OR(GenreFilter="All",COUNTIFS(tblGenre[show_id],$A454,tblGenre[Genre],GenreFilter)&gt;0)),1,0)</f>
        <v/>
      </c>
    </row>
    <row r="455" ht="15" customHeight="1" s="20">
      <c r="A455" s="19" t="inlineStr">
        <is>
          <t>s4425</t>
        </is>
      </c>
      <c r="B455" s="19" t="inlineStr">
        <is>
          <t>Movie</t>
        </is>
      </c>
      <c r="C455" s="19" t="inlineStr">
        <is>
          <t>Arjun: The Warrior Prince</t>
        </is>
      </c>
      <c r="D455" s="19" t="inlineStr">
        <is>
          <t>Arnab Chaudhuri</t>
        </is>
      </c>
      <c r="E455" s="19" t="inlineStr">
        <is>
          <t>Yudhveer Bakoliya, Ashok Banthia, Ravi Khanwilkar, Vijay Kashyap, Ila Arun, Sachin Khedekar, Rajeshwari Sachdev, Hemanth Mahaur</t>
        </is>
      </c>
      <c r="F455" s="19" t="inlineStr">
        <is>
          <t>India</t>
        </is>
      </c>
      <c r="G455" s="19" t="inlineStr">
        <is>
          <t>2018-11-01</t>
        </is>
      </c>
      <c r="H455" s="19" t="n">
        <v>2011</v>
      </c>
      <c r="I455" s="19" t="inlineStr">
        <is>
          <t>TV-14</t>
        </is>
      </c>
      <c r="J455" s="19" t="inlineStr">
        <is>
          <t>91 min</t>
        </is>
      </c>
      <c r="K455" s="19" t="inlineStr">
        <is>
          <t>Action &amp; Adventure, Dramas, International Movies</t>
        </is>
      </c>
      <c r="L455" s="19" t="inlineStr">
        <is>
          <t>This animated retelling of the classic Indian tale of Prince Arjun – part of the Sanskrit epic Mahabharata – begins during the prince's youth.</t>
        </is>
      </c>
      <c r="M455" s="19" t="n">
        <v>2018</v>
      </c>
      <c r="N455" s="19">
        <f>IF(AND(OR(YearFilter="All",$M455=YearFilter),OR(RatingFilter="All",$I455=RatingFilter),OR(TypeFilter="All",$B455=TypeFilter),OR(GenreFilter="All",COUNTIFS(tblGenre[show_id],$A455,tblGenre[Genre],GenreFilter)&gt;0)),1,0)</f>
        <v/>
      </c>
    </row>
    <row r="456" ht="15" customHeight="1" s="20">
      <c r="A456" s="19" t="inlineStr">
        <is>
          <t>s4426</t>
        </is>
      </c>
      <c r="B456" s="19" t="inlineStr">
        <is>
          <t>Movie</t>
        </is>
      </c>
      <c r="C456" s="19" t="inlineStr">
        <is>
          <t>Asees</t>
        </is>
      </c>
      <c r="D456" s="19" t="inlineStr">
        <is>
          <t>Rana Ranbir</t>
        </is>
      </c>
      <c r="E456" s="19" t="inlineStr">
        <is>
          <t>Rana Ranbir, Neha Pawar, Kuljinder Sidhu, Rupinder Roopi, Sardar Sohi, Pardeep Sran, Seema Kaushal, Rajvir Boparai</t>
        </is>
      </c>
      <c r="F456" s="19" t="inlineStr">
        <is>
          <t>India</t>
        </is>
      </c>
      <c r="G456" s="19" t="inlineStr">
        <is>
          <t>2018-11-01</t>
        </is>
      </c>
      <c r="H456" s="19" t="n">
        <v>2018</v>
      </c>
      <c r="I456" s="19" t="inlineStr">
        <is>
          <t>TV-14</t>
        </is>
      </c>
      <c r="J456" s="19" t="inlineStr">
        <is>
          <t>123 min</t>
        </is>
      </c>
      <c r="K456" s="19" t="inlineStr">
        <is>
          <t>Dramas, International Movies, Music &amp; Musicals</t>
        </is>
      </c>
      <c r="L456" s="19" t="inlineStr">
        <is>
          <t>When a dispute breaks out between five siblings over their mother’s property, one devoted son will go to any lengths to protect her land.</t>
        </is>
      </c>
      <c r="M456" s="19" t="n">
        <v>2018</v>
      </c>
      <c r="N456" s="19">
        <f>IF(AND(OR(YearFilter="All",$M456=YearFilter),OR(RatingFilter="All",$I456=RatingFilter),OR(TypeFilter="All",$B456=TypeFilter),OR(GenreFilter="All",COUNTIFS(tblGenre[show_id],$A456,tblGenre[Genre],GenreFilter)&gt;0)),1,0)</f>
        <v/>
      </c>
    </row>
    <row r="457" ht="15" customHeight="1" s="20">
      <c r="A457" s="19" t="inlineStr">
        <is>
          <t>s4427</t>
        </is>
      </c>
      <c r="B457" s="19" t="inlineStr">
        <is>
          <t>Movie</t>
        </is>
      </c>
      <c r="C457" s="19" t="inlineStr">
        <is>
          <t>Barfi!</t>
        </is>
      </c>
      <c r="D457" s="19" t="inlineStr">
        <is>
          <t>Anurag Basu</t>
        </is>
      </c>
      <c r="E457" s="19" t="inlineStr">
        <is>
          <t>Ranbir Kapoor, Priyanka Chopra, Ileana D'Cruz, Saurabh Shukla, Ashish Vidyarthi, Rupa Ganguly, Bholaraj Sapkota, Jishu Sengupta, Haradhan Bannerjee</t>
        </is>
      </c>
      <c r="F457" s="19" t="inlineStr">
        <is>
          <t>India</t>
        </is>
      </c>
      <c r="G457" s="19" t="inlineStr">
        <is>
          <t>2018-11-01</t>
        </is>
      </c>
      <c r="H457" s="19" t="n">
        <v>2012</v>
      </c>
      <c r="I457" s="19" t="inlineStr">
        <is>
          <t>TV-14</t>
        </is>
      </c>
      <c r="J457" s="19" t="inlineStr">
        <is>
          <t>144 min</t>
        </is>
      </c>
      <c r="K457" s="19" t="inlineStr">
        <is>
          <t>Comedies, Dramas, International Movies</t>
        </is>
      </c>
      <c r="L457" s="19" t="inlineStr">
        <is>
          <t>Years after rejecting Barfii, a hearing and speech impaired young man, for a more "appropriate" suitor, Shruti finds herself falling for him.</t>
        </is>
      </c>
      <c r="M457" s="19" t="n">
        <v>2018</v>
      </c>
      <c r="N457" s="19">
        <f>IF(AND(OR(YearFilter="All",$M457=YearFilter),OR(RatingFilter="All",$I457=RatingFilter),OR(TypeFilter="All",$B457=TypeFilter),OR(GenreFilter="All",COUNTIFS(tblGenre[show_id],$A457,tblGenre[Genre],GenreFilter)&gt;0)),1,0)</f>
        <v/>
      </c>
    </row>
    <row r="458" ht="15" customHeight="1" s="20">
      <c r="A458" s="19" t="inlineStr">
        <is>
          <t>s4428</t>
        </is>
      </c>
      <c r="B458" s="19" t="inlineStr">
        <is>
          <t>Movie</t>
        </is>
      </c>
      <c r="C458" s="19" t="inlineStr">
        <is>
          <t>Chance Pe Dance</t>
        </is>
      </c>
      <c r="D458" s="19" t="inlineStr">
        <is>
          <t>Ken Ghosh</t>
        </is>
      </c>
      <c r="E458" s="19" t="inlineStr">
        <is>
          <t>Shahid Kapoor, Genelia D'Souza, Mohnish Bahl, Satish Shah, Parikshat Sahni, Vikas Bhalla, Kurush Deboo, Zain Khan</t>
        </is>
      </c>
      <c r="F458" s="19" t="inlineStr">
        <is>
          <t>India</t>
        </is>
      </c>
      <c r="G458" s="19" t="inlineStr">
        <is>
          <t>2018-11-01</t>
        </is>
      </c>
      <c r="H458" s="19" t="n">
        <v>2010</v>
      </c>
      <c r="I458" s="19" t="inlineStr">
        <is>
          <t>TV-14</t>
        </is>
      </c>
      <c r="J458" s="19" t="inlineStr">
        <is>
          <t>121 min</t>
        </is>
      </c>
      <c r="K458" s="19" t="inlineStr">
        <is>
          <t>Comedies, Dramas, International Movies</t>
        </is>
      </c>
      <c r="L458" s="19" t="inlineStr">
        <is>
          <t>Having risen from humble beginnings, an ambitious young man sets his sights on winning a major dance competition that could catapult him to fame.</t>
        </is>
      </c>
      <c r="M458" s="19" t="n">
        <v>2018</v>
      </c>
      <c r="N458" s="19">
        <f>IF(AND(OR(YearFilter="All",$M458=YearFilter),OR(RatingFilter="All",$I458=RatingFilter),OR(TypeFilter="All",$B458=TypeFilter),OR(GenreFilter="All",COUNTIFS(tblGenre[show_id],$A458,tblGenre[Genre],GenreFilter)&gt;0)),1,0)</f>
        <v/>
      </c>
    </row>
    <row r="459" ht="15" customHeight="1" s="20">
      <c r="A459" s="19" t="inlineStr">
        <is>
          <t>s4430</t>
        </is>
      </c>
      <c r="B459" s="19" t="inlineStr">
        <is>
          <t>Movie</t>
        </is>
      </c>
      <c r="C459" s="19" t="inlineStr">
        <is>
          <t>Chup Chup Ke</t>
        </is>
      </c>
      <c r="D459" s="19" t="inlineStr">
        <is>
          <t>Priyadarshan, Kookie V. Gulati</t>
        </is>
      </c>
      <c r="E459" s="19" t="inlineStr">
        <is>
          <t>Shahid Kapoor, Kareena Kapoor, Om Puri, Neha Dhupia, Sunil Shetty, Paresh Rawal, Rajpal Yadav, Shakti Kapoor</t>
        </is>
      </c>
      <c r="F459" s="19" t="inlineStr">
        <is>
          <t>India</t>
        </is>
      </c>
      <c r="G459" s="19" t="inlineStr">
        <is>
          <t>2018-11-01</t>
        </is>
      </c>
      <c r="H459" s="19" t="n">
        <v>2006</v>
      </c>
      <c r="I459" s="19" t="inlineStr">
        <is>
          <t>TV-14</t>
        </is>
      </c>
      <c r="J459" s="19" t="inlineStr">
        <is>
          <t>158 min</t>
        </is>
      </c>
      <c r="K459" s="19" t="inlineStr">
        <is>
          <t>Comedies, Dramas, International Movies</t>
        </is>
      </c>
      <c r="L459" s="19" t="inlineStr">
        <is>
          <t>Mistaking a broke, small-time hustler for a millionaire, two bumbling fishermen hatch a scheme to use him to help pay off their debts.</t>
        </is>
      </c>
      <c r="M459" s="19" t="n">
        <v>2018</v>
      </c>
      <c r="N459" s="19">
        <f>IF(AND(OR(YearFilter="All",$M459=YearFilter),OR(RatingFilter="All",$I459=RatingFilter),OR(TypeFilter="All",$B459=TypeFilter),OR(GenreFilter="All",COUNTIFS(tblGenre[show_id],$A459,tblGenre[Genre],GenreFilter)&gt;0)),1,0)</f>
        <v/>
      </c>
    </row>
    <row r="460" ht="15" customHeight="1" s="20">
      <c r="A460" s="19" t="inlineStr">
        <is>
          <t>s4432</t>
        </is>
      </c>
      <c r="B460" s="19" t="inlineStr">
        <is>
          <t>Movie</t>
        </is>
      </c>
      <c r="C460" s="19" t="inlineStr">
        <is>
          <t>Dhan Dhana Dhan Goal</t>
        </is>
      </c>
      <c r="D460" s="19" t="inlineStr">
        <is>
          <t>Vivek Agnihotri</t>
        </is>
      </c>
      <c r="E460" s="19" t="inlineStr">
        <is>
          <t>John Abraham, Bipasha Basu, Arshad Warsi, Shernaz Patel, Boman Irani, Dibyendu Bhattacharya, Gilbert Montoya, Dalip Tahil, Rajendranath Zutshi</t>
        </is>
      </c>
      <c r="F460" s="19" t="inlineStr">
        <is>
          <t>United Kingdom, India</t>
        </is>
      </c>
      <c r="G460" s="19" t="inlineStr">
        <is>
          <t>2018-11-01</t>
        </is>
      </c>
      <c r="H460" s="19" t="n">
        <v>2007</v>
      </c>
      <c r="I460" s="19" t="inlineStr">
        <is>
          <t>TV-14</t>
        </is>
      </c>
      <c r="J460" s="19" t="inlineStr">
        <is>
          <t>157 min</t>
        </is>
      </c>
      <c r="K460" s="19" t="inlineStr">
        <is>
          <t>Dramas, International Movies, Music &amp; Musicals</t>
        </is>
      </c>
      <c r="L460" s="19" t="inlineStr">
        <is>
          <t>In a last-ditch effort, the jaded coach of the Southall United Football Club assembles a ragtag team and helps lead the team to a comeback season.</t>
        </is>
      </c>
      <c r="M460" s="19" t="n">
        <v>2018</v>
      </c>
      <c r="N460" s="19">
        <f>IF(AND(OR(YearFilter="All",$M460=YearFilter),OR(RatingFilter="All",$I460=RatingFilter),OR(TypeFilter="All",$B460=TypeFilter),OR(GenreFilter="All",COUNTIFS(tblGenre[show_id],$A460,tblGenre[Genre],GenreFilter)&gt;0)),1,0)</f>
        <v/>
      </c>
    </row>
    <row r="461" ht="15" customHeight="1" s="20">
      <c r="A461" s="19" t="inlineStr">
        <is>
          <t>s4433</t>
        </is>
      </c>
      <c r="B461" s="19" t="inlineStr">
        <is>
          <t>Movie</t>
        </is>
      </c>
      <c r="C461" s="19" t="inlineStr">
        <is>
          <t>Dhoondte Reh Jaoge</t>
        </is>
      </c>
      <c r="D461" s="19" t="inlineStr">
        <is>
          <t>Umesh Shukla</t>
        </is>
      </c>
      <c r="E461" s="19" t="inlineStr">
        <is>
          <t>Paresh Rawal, Kunal Khemu, Sonu Sood, Soha Ali Khan, Johnny Lever, Dilip Joshi, Asrani, Malay Chakrabarty, Razak Khan, Hrishitaa Bhatt</t>
        </is>
      </c>
      <c r="F461" s="19" t="inlineStr">
        <is>
          <t>India</t>
        </is>
      </c>
      <c r="G461" s="19" t="inlineStr">
        <is>
          <t>2018-11-01</t>
        </is>
      </c>
      <c r="H461" s="19" t="n">
        <v>2009</v>
      </c>
      <c r="I461" s="19" t="inlineStr">
        <is>
          <t>TV-14</t>
        </is>
      </c>
      <c r="J461" s="19" t="inlineStr">
        <is>
          <t>124 min</t>
        </is>
      </c>
      <c r="K461" s="19" t="inlineStr">
        <is>
          <t>Comedies, International Movies, Music &amp; Musicals</t>
        </is>
      </c>
      <c r="L461" s="19" t="inlineStr">
        <is>
          <t>An accountant and a producer hatch a scheme to finance a movie, while making every effort to ensure that it flops so they may pocket the difference.</t>
        </is>
      </c>
      <c r="M461" s="19" t="n">
        <v>2018</v>
      </c>
      <c r="N461" s="19">
        <f>IF(AND(OR(YearFilter="All",$M461=YearFilter),OR(RatingFilter="All",$I461=RatingFilter),OR(TypeFilter="All",$B461=TypeFilter),OR(GenreFilter="All",COUNTIFS(tblGenre[show_id],$A461,tblGenre[Genre],GenreFilter)&gt;0)),1,0)</f>
        <v/>
      </c>
    </row>
    <row r="462" ht="15" customHeight="1" s="20">
      <c r="A462" s="19" t="inlineStr">
        <is>
          <t>s4434</t>
        </is>
      </c>
      <c r="B462" s="19" t="inlineStr">
        <is>
          <t>Movie</t>
        </is>
      </c>
      <c r="C462" s="19" t="inlineStr">
        <is>
          <t>Do Dooni Chaar</t>
        </is>
      </c>
      <c r="D462" s="19" t="inlineStr">
        <is>
          <t>Habib Faisal</t>
        </is>
      </c>
      <c r="E462" s="19" t="inlineStr">
        <is>
          <t>Rishi Kapoor, Neetu Singh, Aditi Vasudev, Archit Krishna, Akhilendra Mishra, Natasha Rastogi, Manoj Bakshi, Supriya Shukla</t>
        </is>
      </c>
      <c r="F462" s="19" t="inlineStr">
        <is>
          <t>India</t>
        </is>
      </c>
      <c r="G462" s="19" t="inlineStr">
        <is>
          <t>2018-11-01</t>
        </is>
      </c>
      <c r="H462" s="19" t="n">
        <v>2010</v>
      </c>
      <c r="I462" s="19" t="inlineStr">
        <is>
          <t>TV-PG</t>
        </is>
      </c>
      <c r="J462" s="19" t="inlineStr">
        <is>
          <t>106 min</t>
        </is>
      </c>
      <c r="K462" s="19" t="inlineStr">
        <is>
          <t>Comedies, International Movies</t>
        </is>
      </c>
      <c r="L462" s="19" t="inlineStr">
        <is>
          <t>A struggling math teacher holds down a second job to keep his family afloat. But when he receives a wedding invitation, he's determined to attend.</t>
        </is>
      </c>
      <c r="M462" s="19" t="n">
        <v>2018</v>
      </c>
      <c r="N462" s="19">
        <f>IF(AND(OR(YearFilter="All",$M462=YearFilter),OR(RatingFilter="All",$I462=RatingFilter),OR(TypeFilter="All",$B462=TypeFilter),OR(GenreFilter="All",COUNTIFS(tblGenre[show_id],$A462,tblGenre[Genre],GenreFilter)&gt;0)),1,0)</f>
        <v/>
      </c>
    </row>
    <row r="463" ht="15" customHeight="1" s="20">
      <c r="A463" s="19" t="inlineStr">
        <is>
          <t>s4438</t>
        </is>
      </c>
      <c r="B463" s="19" t="inlineStr">
        <is>
          <t>Movie</t>
        </is>
      </c>
      <c r="C463" s="19" t="inlineStr">
        <is>
          <t>Gaddar: the Traitor</t>
        </is>
      </c>
      <c r="D463" s="19" t="inlineStr">
        <is>
          <t>Amitoj Mann</t>
        </is>
      </c>
      <c r="E463" s="19" t="inlineStr">
        <is>
          <t>Harbhajan Mann, Manpneet Grewal, Ashish Duggal, Girja Shankar, Shavinder Mahal, Rupinder Roopi, Anita Meet, Tarsem Paul, Balkaran Wadding, Bobby Sandhu</t>
        </is>
      </c>
      <c r="F463" s="19" t="inlineStr">
        <is>
          <t>India</t>
        </is>
      </c>
      <c r="G463" s="19" t="inlineStr">
        <is>
          <t>2018-11-01</t>
        </is>
      </c>
      <c r="H463" s="19" t="n">
        <v>2015</v>
      </c>
      <c r="I463" s="19" t="inlineStr">
        <is>
          <t>TV-14</t>
        </is>
      </c>
      <c r="J463" s="19" t="inlineStr">
        <is>
          <t>126 min</t>
        </is>
      </c>
      <c r="K463" s="19" t="inlineStr">
        <is>
          <t>Dramas, International Movies, Thrillers</t>
        </is>
      </c>
      <c r="L463" s="19" t="inlineStr">
        <is>
          <t>An Indian man who has become a major business mogul in Canada must return to his homeland where he's reviled due to being wrongly branded a traitor.</t>
        </is>
      </c>
      <c r="M463" s="19" t="n">
        <v>2018</v>
      </c>
      <c r="N463" s="19">
        <f>IF(AND(OR(YearFilter="All",$M463=YearFilter),OR(RatingFilter="All",$I463=RatingFilter),OR(TypeFilter="All",$B463=TypeFilter),OR(GenreFilter="All",COUNTIFS(tblGenre[show_id],$A463,tblGenre[Genre],GenreFilter)&gt;0)),1,0)</f>
        <v/>
      </c>
    </row>
    <row r="464" ht="15" customHeight="1" s="20">
      <c r="A464" s="19" t="inlineStr">
        <is>
          <t>s4439</t>
        </is>
      </c>
      <c r="B464" s="19" t="inlineStr">
        <is>
          <t>Movie</t>
        </is>
      </c>
      <c r="C464" s="19" t="inlineStr">
        <is>
          <t>Ghanchakkar</t>
        </is>
      </c>
      <c r="D464" s="19" t="inlineStr">
        <is>
          <t>Raj Kumar Gupta</t>
        </is>
      </c>
      <c r="E464" s="19" t="inlineStr">
        <is>
          <t>Emraan Hashmi, Vidya Balan, Rajesh Sharma, Namit Das, Parvin Dabas</t>
        </is>
      </c>
      <c r="F464" s="19" t="inlineStr">
        <is>
          <t>India</t>
        </is>
      </c>
      <c r="G464" s="19" t="inlineStr">
        <is>
          <t>2018-11-01</t>
        </is>
      </c>
      <c r="H464" s="19" t="n">
        <v>2013</v>
      </c>
      <c r="I464" s="19" t="inlineStr">
        <is>
          <t>TV-MA</t>
        </is>
      </c>
      <c r="J464" s="19" t="inlineStr">
        <is>
          <t>129 min</t>
        </is>
      </c>
      <c r="K464" s="19" t="inlineStr">
        <is>
          <t>Comedies, International Movies, Thrillers</t>
        </is>
      </c>
      <c r="L464" s="19" t="inlineStr">
        <is>
          <t>Former con artist Sanju surrounds himself with the finer things, a blissful life troubled by only one thing: his wife, who wants even more.</t>
        </is>
      </c>
      <c r="M464" s="19" t="n">
        <v>2018</v>
      </c>
      <c r="N464" s="19">
        <f>IF(AND(OR(YearFilter="All",$M464=YearFilter),OR(RatingFilter="All",$I464=RatingFilter),OR(TypeFilter="All",$B464=TypeFilter),OR(GenreFilter="All",COUNTIFS(tblGenre[show_id],$A464,tblGenre[Genre],GenreFilter)&gt;0)),1,0)</f>
        <v/>
      </c>
    </row>
    <row r="465" ht="15" customHeight="1" s="20">
      <c r="A465" s="19" t="inlineStr">
        <is>
          <t>s4440</t>
        </is>
      </c>
      <c r="B465" s="19" t="inlineStr">
        <is>
          <t>Movie</t>
        </is>
      </c>
      <c r="C465" s="19" t="inlineStr">
        <is>
          <t>Grandmaster</t>
        </is>
      </c>
      <c r="D465" s="19" t="inlineStr">
        <is>
          <t>B. Unnikrishnan</t>
        </is>
      </c>
      <c r="E465" s="19" t="inlineStr">
        <is>
          <t>Mithra Kurian, Anoop Menon, Mohanlal, Narein, Priyamani, Roma, Siddique, Jagathy Sreekumar</t>
        </is>
      </c>
      <c r="F465" s="19" t="inlineStr">
        <is>
          <t>India</t>
        </is>
      </c>
      <c r="G465" s="19" t="inlineStr">
        <is>
          <t>2018-11-01</t>
        </is>
      </c>
      <c r="H465" s="19" t="n">
        <v>2012</v>
      </c>
      <c r="I465" s="19" t="inlineStr">
        <is>
          <t>TV-14</t>
        </is>
      </c>
      <c r="J465" s="19" t="inlineStr">
        <is>
          <t>133 min</t>
        </is>
      </c>
      <c r="K465" s="19" t="inlineStr">
        <is>
          <t>International Movies, Thrillers</t>
        </is>
      </c>
      <c r="L465" s="19" t="inlineStr">
        <is>
          <t>Anticipating the next move in a serial killer's grisly game, a police chief realizes that his daughter and estranged wife are the next likely victims.</t>
        </is>
      </c>
      <c r="M465" s="19" t="n">
        <v>2018</v>
      </c>
      <c r="N465" s="19">
        <f>IF(AND(OR(YearFilter="All",$M465=YearFilter),OR(RatingFilter="All",$I465=RatingFilter),OR(TypeFilter="All",$B465=TypeFilter),OR(GenreFilter="All",COUNTIFS(tblGenre[show_id],$A465,tblGenre[Genre],GenreFilter)&gt;0)),1,0)</f>
        <v/>
      </c>
    </row>
    <row r="466" ht="15" customHeight="1" s="20">
      <c r="A466" s="19" t="inlineStr">
        <is>
          <t>s4441</t>
        </is>
      </c>
      <c r="B466" s="19" t="inlineStr">
        <is>
          <t>Movie</t>
        </is>
      </c>
      <c r="C466" s="19" t="inlineStr">
        <is>
          <t>Hattrick</t>
        </is>
      </c>
      <c r="D466" s="19" t="inlineStr">
        <is>
          <t>Milan Luthria</t>
        </is>
      </c>
      <c r="E466" s="19" t="inlineStr">
        <is>
          <t>Nana Patekar, Paresh Rawal, Kunal Kapoor, Rimi Sen, Danny Denzongpa, Prateeksha Lonkar, Gautam Bhimani, Harsha Bhogle</t>
        </is>
      </c>
      <c r="F466" s="19" t="inlineStr">
        <is>
          <t>India</t>
        </is>
      </c>
      <c r="G466" s="19" t="inlineStr">
        <is>
          <t>2018-11-01</t>
        </is>
      </c>
      <c r="H466" s="19" t="n">
        <v>2007</v>
      </c>
      <c r="I466" s="19" t="inlineStr">
        <is>
          <t>TV-14</t>
        </is>
      </c>
      <c r="J466" s="19" t="inlineStr">
        <is>
          <t>109 min</t>
        </is>
      </c>
      <c r="K466" s="19" t="inlineStr">
        <is>
          <t>Comedies, Dramas, International Movies</t>
        </is>
      </c>
      <c r="L466" s="19" t="inlineStr">
        <is>
          <t>Stories of personal victories coincide with Team India's battle for the Cricket World Cup in this engaging ensemble drama.</t>
        </is>
      </c>
      <c r="M466" s="19" t="n">
        <v>2018</v>
      </c>
      <c r="N466" s="19">
        <f>IF(AND(OR(YearFilter="All",$M466=YearFilter),OR(RatingFilter="All",$I466=RatingFilter),OR(TypeFilter="All",$B466=TypeFilter),OR(GenreFilter="All",COUNTIFS(tblGenre[show_id],$A466,tblGenre[Genre],GenreFilter)&gt;0)),1,0)</f>
        <v/>
      </c>
    </row>
    <row r="467" ht="15" customHeight="1" s="20">
      <c r="A467" s="19" t="inlineStr">
        <is>
          <t>s4442</t>
        </is>
      </c>
      <c r="B467" s="19" t="inlineStr">
        <is>
          <t>Movie</t>
        </is>
      </c>
      <c r="C467" s="19" t="inlineStr">
        <is>
          <t>Heroine</t>
        </is>
      </c>
      <c r="D467" s="19" t="inlineStr">
        <is>
          <t>Madhur Bhandarkar</t>
        </is>
      </c>
      <c r="E467" s="19" t="inlineStr">
        <is>
          <t>Kareena Kapoor, Arjun Rampal, Randeep Hooda, Divya Dutta, Govind Namdeo, Sanjay Suri, Mugdha Godse, Shahana Goswami, Ranvir Shorey, Lillete Dubey</t>
        </is>
      </c>
      <c r="F467" s="19" t="inlineStr">
        <is>
          <t>India</t>
        </is>
      </c>
      <c r="G467" s="19" t="inlineStr">
        <is>
          <t>2018-11-01</t>
        </is>
      </c>
      <c r="H467" s="19" t="n">
        <v>2012</v>
      </c>
      <c r="I467" s="19" t="inlineStr">
        <is>
          <t>TV-MA</t>
        </is>
      </c>
      <c r="J467" s="19" t="inlineStr">
        <is>
          <t>143 min</t>
        </is>
      </c>
      <c r="K467" s="19" t="inlineStr">
        <is>
          <t>Dramas, International Movies</t>
        </is>
      </c>
      <c r="L467" s="19" t="inlineStr">
        <is>
          <t>One woman experiences the dramatic highs and lows of fame in this voyeuristic glimpse past the glitz and glamour of a Bollywood superstar's life.</t>
        </is>
      </c>
      <c r="M467" s="19" t="n">
        <v>2018</v>
      </c>
      <c r="N467" s="19">
        <f>IF(AND(OR(YearFilter="All",$M467=YearFilter),OR(RatingFilter="All",$I467=RatingFilter),OR(TypeFilter="All",$B467=TypeFilter),OR(GenreFilter="All",COUNTIFS(tblGenre[show_id],$A467,tblGenre[Genre],GenreFilter)&gt;0)),1,0)</f>
        <v/>
      </c>
    </row>
    <row r="468" ht="15" customHeight="1" s="20">
      <c r="A468" s="19" t="inlineStr">
        <is>
          <t>s4443</t>
        </is>
      </c>
      <c r="B468" s="19" t="inlineStr">
        <is>
          <t>Movie</t>
        </is>
      </c>
      <c r="C468" s="19" t="inlineStr">
        <is>
          <t>Himmatwala</t>
        </is>
      </c>
      <c r="D468" s="19" t="inlineStr">
        <is>
          <t>Sajid Khan</t>
        </is>
      </c>
      <c r="E468" s="19" t="inlineStr">
        <is>
          <t>Ajay Devgn, Tamannaah Bhatia, Paresh Rawal, Zarina Wahab, Mahesh Manjrekar</t>
        </is>
      </c>
      <c r="F468" s="19" t="inlineStr">
        <is>
          <t>India</t>
        </is>
      </c>
      <c r="G468" s="19" t="inlineStr">
        <is>
          <t>2018-11-01</t>
        </is>
      </c>
      <c r="H468" s="19" t="n">
        <v>2013</v>
      </c>
      <c r="I468" s="19" t="inlineStr">
        <is>
          <t>TV-14</t>
        </is>
      </c>
      <c r="J468" s="19" t="inlineStr">
        <is>
          <t>140 min</t>
        </is>
      </c>
      <c r="K468" s="19" t="inlineStr">
        <is>
          <t>Action &amp; Adventure, Comedies, International Movies</t>
        </is>
      </c>
      <c r="L468" s="19" t="inlineStr">
        <is>
          <t>A young man returns to his native village on a mission of vengeance after his father commits suicide in the wake of false accusations.</t>
        </is>
      </c>
      <c r="M468" s="19" t="n">
        <v>2018</v>
      </c>
      <c r="N468" s="19">
        <f>IF(AND(OR(YearFilter="All",$M468=YearFilter),OR(RatingFilter="All",$I468=RatingFilter),OR(TypeFilter="All",$B468=TypeFilter),OR(GenreFilter="All",COUNTIFS(tblGenre[show_id],$A468,tblGenre[Genre],GenreFilter)&gt;0)),1,0)</f>
        <v/>
      </c>
    </row>
    <row r="469" ht="15" customHeight="1" s="20">
      <c r="A469" s="19" t="inlineStr">
        <is>
          <t>s4444</t>
        </is>
      </c>
      <c r="B469" s="19" t="inlineStr">
        <is>
          <t>Movie</t>
        </is>
      </c>
      <c r="C469" s="19" t="inlineStr">
        <is>
          <t>Husbands in Goa</t>
        </is>
      </c>
      <c r="D469" s="19" t="inlineStr">
        <is>
          <t>Saji Surendran</t>
        </is>
      </c>
      <c r="E469" s="19" t="inlineStr">
        <is>
          <t>Jayasurya, Indrajith, Asif Ali, Lal, Bhama, Ramya Nambeeshan, Rima Kallingal, Praveena</t>
        </is>
      </c>
      <c r="F469" s="19" t="inlineStr">
        <is>
          <t>India</t>
        </is>
      </c>
      <c r="G469" s="19" t="inlineStr">
        <is>
          <t>2018-11-01</t>
        </is>
      </c>
      <c r="H469" s="19" t="n">
        <v>2012</v>
      </c>
      <c r="I469" s="19" t="inlineStr">
        <is>
          <t>TV-14</t>
        </is>
      </c>
      <c r="J469" s="19" t="inlineStr">
        <is>
          <t>150 min</t>
        </is>
      </c>
      <c r="K469" s="19" t="inlineStr">
        <is>
          <t>Comedies, International Movies, Music &amp; Musicals</t>
        </is>
      </c>
      <c r="L469" s="19" t="inlineStr">
        <is>
          <t>Three professional friends, all husbands living with domineering wives, take a well-deserved vacation in the resort city of Goa.</t>
        </is>
      </c>
      <c r="M469" s="19" t="n">
        <v>2018</v>
      </c>
      <c r="N469" s="19">
        <f>IF(AND(OR(YearFilter="All",$M469=YearFilter),OR(RatingFilter="All",$I469=RatingFilter),OR(TypeFilter="All",$B469=TypeFilter),OR(GenreFilter="All",COUNTIFS(tblGenre[show_id],$A469,tblGenre[Genre],GenreFilter)&gt;0)),1,0)</f>
        <v/>
      </c>
    </row>
    <row r="470" ht="15" customHeight="1" s="20">
      <c r="A470" s="19" t="inlineStr">
        <is>
          <t>s4445</t>
        </is>
      </c>
      <c r="B470" s="19" t="inlineStr">
        <is>
          <t>Movie</t>
        </is>
      </c>
      <c r="C470" s="19" t="inlineStr">
        <is>
          <t>Jatts in Golmaal</t>
        </is>
      </c>
      <c r="D470" s="19" t="inlineStr">
        <is>
          <t>Ksshitij Chaudhary</t>
        </is>
      </c>
      <c r="E470" s="19" t="inlineStr">
        <is>
          <t>Arya Babbar, Samiksha Singh, Gurpreet Guggi, Binnu Dhillon, Jaswinder Bhalla, B.N. Sharma, Veena Malik, Sardar Sohi</t>
        </is>
      </c>
      <c r="F470" s="19" t="inlineStr">
        <is>
          <t>India</t>
        </is>
      </c>
      <c r="G470" s="19" t="inlineStr">
        <is>
          <t>2018-11-01</t>
        </is>
      </c>
      <c r="H470" s="19" t="n">
        <v>2013</v>
      </c>
      <c r="I470" s="19" t="inlineStr">
        <is>
          <t>TV-PG</t>
        </is>
      </c>
      <c r="J470" s="19" t="inlineStr">
        <is>
          <t>128 min</t>
        </is>
      </c>
      <c r="K470" s="19" t="inlineStr">
        <is>
          <t>Comedies, International Movies, Music &amp; Musicals</t>
        </is>
      </c>
      <c r="L470" s="19" t="inlineStr">
        <is>
          <t>Without fully realizing the consequences, a boy who wants to relocate from India to Canada sells his heart to a gangster in need of a transplant.</t>
        </is>
      </c>
      <c r="M470" s="19" t="n">
        <v>2018</v>
      </c>
      <c r="N470" s="19">
        <f>IF(AND(OR(YearFilter="All",$M470=YearFilter),OR(RatingFilter="All",$I470=RatingFilter),OR(TypeFilter="All",$B470=TypeFilter),OR(GenreFilter="All",COUNTIFS(tblGenre[show_id],$A470,tblGenre[Genre],GenreFilter)&gt;0)),1,0)</f>
        <v/>
      </c>
    </row>
    <row r="471" ht="15" customHeight="1" s="20">
      <c r="A471" s="19" t="inlineStr">
        <is>
          <t>s4446</t>
        </is>
      </c>
      <c r="B471" s="19" t="inlineStr">
        <is>
          <t>Movie</t>
        </is>
      </c>
      <c r="C471" s="19" t="inlineStr">
        <is>
          <t>Kai Po Che!</t>
        </is>
      </c>
      <c r="D471" s="19" t="inlineStr">
        <is>
          <t>Abhishek Kapoor</t>
        </is>
      </c>
      <c r="E471" s="19" t="inlineStr">
        <is>
          <t>Rajkummar Rao, Amit Sadh, Sushant Singh Rajput, Amrita Puri, Digvijay Deshmukh, Asif Basra, Manav Kaul, Ashish Kakkad</t>
        </is>
      </c>
      <c r="F471" s="19" t="inlineStr">
        <is>
          <t>India</t>
        </is>
      </c>
      <c r="G471" s="19" t="inlineStr">
        <is>
          <t>2018-11-01</t>
        </is>
      </c>
      <c r="H471" s="19" t="n">
        <v>2013</v>
      </c>
      <c r="I471" s="19" t="inlineStr">
        <is>
          <t>TV-MA</t>
        </is>
      </c>
      <c r="J471" s="19" t="inlineStr">
        <is>
          <t>120 min</t>
        </is>
      </c>
      <c r="K471" s="19" t="inlineStr">
        <is>
          <t>Dramas, International Movies, Sports Movies</t>
        </is>
      </c>
      <c r="L471" s="19" t="inlineStr">
        <is>
          <t>This Bollywood drama tells the story of three best friends who dream of starting a cricket training academy in Ahmedabad for very different reasons.</t>
        </is>
      </c>
      <c r="M471" s="19" t="n">
        <v>2018</v>
      </c>
      <c r="N471" s="19">
        <f>IF(AND(OR(YearFilter="All",$M471=YearFilter),OR(RatingFilter="All",$I471=RatingFilter),OR(TypeFilter="All",$B471=TypeFilter),OR(GenreFilter="All",COUNTIFS(tblGenre[show_id],$A471,tblGenre[Genre],GenreFilter)&gt;0)),1,0)</f>
        <v/>
      </c>
    </row>
    <row r="472" ht="15" customHeight="1" s="20">
      <c r="A472" s="19" t="inlineStr">
        <is>
          <t>s4447</t>
        </is>
      </c>
      <c r="B472" s="19" t="inlineStr">
        <is>
          <t>Movie</t>
        </is>
      </c>
      <c r="C472" s="19" t="inlineStr">
        <is>
          <t>Kalakalappu</t>
        </is>
      </c>
      <c r="D472" s="19" t="inlineStr">
        <is>
          <t>Sundar C.</t>
        </is>
      </c>
      <c r="E472" s="19" t="inlineStr">
        <is>
          <t>Vimal, Anjali, Shiva, Oviya, Santhanam, John Vijay, M. Ilavarasu, Manobala</t>
        </is>
      </c>
      <c r="F472" s="19" t="inlineStr">
        <is>
          <t>India</t>
        </is>
      </c>
      <c r="G472" s="19" t="inlineStr">
        <is>
          <t>2018-11-01</t>
        </is>
      </c>
      <c r="H472" s="19" t="n">
        <v>2012</v>
      </c>
      <c r="I472" s="19" t="inlineStr">
        <is>
          <t>TV-14</t>
        </is>
      </c>
      <c r="J472" s="19" t="inlineStr">
        <is>
          <t>154 min</t>
        </is>
      </c>
      <c r="K472" s="19" t="inlineStr">
        <is>
          <t>Comedies, International Movies, Music &amp; Musicals</t>
        </is>
      </c>
      <c r="L472" s="19" t="inlineStr">
        <is>
          <t>Cheenu dreams of resurrecting the restaurant he has inherited to its former glory, but his brother, a compulsive gambler, loses the place to a cop.</t>
        </is>
      </c>
      <c r="M472" s="19" t="n">
        <v>2018</v>
      </c>
      <c r="N472" s="19">
        <f>IF(AND(OR(YearFilter="All",$M472=YearFilter),OR(RatingFilter="All",$I472=RatingFilter),OR(TypeFilter="All",$B472=TypeFilter),OR(GenreFilter="All",COUNTIFS(tblGenre[show_id],$A472,tblGenre[Genre],GenreFilter)&gt;0)),1,0)</f>
        <v/>
      </c>
    </row>
    <row r="473" ht="15" customHeight="1" s="20">
      <c r="A473" s="19" t="inlineStr">
        <is>
          <t>s4449</t>
        </is>
      </c>
      <c r="B473" s="19" t="inlineStr">
        <is>
          <t>Movie</t>
        </is>
      </c>
      <c r="C473" s="19" t="inlineStr">
        <is>
          <t>Katti Batti</t>
        </is>
      </c>
      <c r="D473" s="19" t="inlineStr">
        <is>
          <t>Nikhil Advani</t>
        </is>
      </c>
      <c r="E473" s="19" t="inlineStr">
        <is>
          <t>Imran Khan, Kangana Ranaut, Abhishek Saha, Mithila Palkar, Vivan Bhatena, Suhaas Ahuja, Nicole Faria, Adaar Malik</t>
        </is>
      </c>
      <c r="F473" s="19" t="inlineStr">
        <is>
          <t>India</t>
        </is>
      </c>
      <c r="G473" s="19" t="inlineStr">
        <is>
          <t>2018-11-01</t>
        </is>
      </c>
      <c r="H473" s="19" t="n">
        <v>2015</v>
      </c>
      <c r="I473" s="19" t="inlineStr">
        <is>
          <t>TV-14</t>
        </is>
      </c>
      <c r="J473" s="19" t="inlineStr">
        <is>
          <t>132 min</t>
        </is>
      </c>
      <c r="K473" s="19" t="inlineStr">
        <is>
          <t>Comedies, Dramas, International Movies</t>
        </is>
      </c>
      <c r="L473" s="19" t="inlineStr">
        <is>
          <t>After falling in love during college, architect Maddy and free spirit Payal have five wonderful years together, until a mystery suddenly divides them.</t>
        </is>
      </c>
      <c r="M473" s="19" t="n">
        <v>2018</v>
      </c>
      <c r="N473" s="19">
        <f>IF(AND(OR(YearFilter="All",$M473=YearFilter),OR(RatingFilter="All",$I473=RatingFilter),OR(TypeFilter="All",$B473=TypeFilter),OR(GenreFilter="All",COUNTIFS(tblGenre[show_id],$A473,tblGenre[Genre],GenreFilter)&gt;0)),1,0)</f>
        <v/>
      </c>
    </row>
    <row r="474" ht="15" customHeight="1" s="20">
      <c r="A474" s="19" t="inlineStr">
        <is>
          <t>s4450</t>
        </is>
      </c>
      <c r="B474" s="19" t="inlineStr">
        <is>
          <t>Movie</t>
        </is>
      </c>
      <c r="C474" s="19" t="inlineStr">
        <is>
          <t>Life in a ... Metro</t>
        </is>
      </c>
      <c r="D474" s="19" t="inlineStr">
        <is>
          <t>Anurag Basu</t>
        </is>
      </c>
      <c r="E474" s="19" t="inlineStr">
        <is>
          <t>Dharmendra, Irrfan Khan, Konkona Sen Sharma, Kay Kay Menon, Shilpa Shetty, Shiney Ahuja, Sharman Joshi, Kangana Ranaut, Nafisa Ali, Manoj Pahwa</t>
        </is>
      </c>
      <c r="F474" s="19" t="inlineStr">
        <is>
          <t>India</t>
        </is>
      </c>
      <c r="G474" s="19" t="inlineStr">
        <is>
          <t>2018-11-01</t>
        </is>
      </c>
      <c r="H474" s="19" t="n">
        <v>2007</v>
      </c>
      <c r="I474" s="19" t="inlineStr">
        <is>
          <t>TV-14</t>
        </is>
      </c>
      <c r="J474" s="19" t="inlineStr">
        <is>
          <t>126 min</t>
        </is>
      </c>
      <c r="K474" s="19" t="inlineStr">
        <is>
          <t>Dramas, International Movies, Music &amp; Musicals</t>
        </is>
      </c>
      <c r="L474" s="19" t="inlineStr">
        <is>
          <t>A group of Mumbai up-and-comers search for love and struggle for success in this ensemble drama that centers on an eager young call-center executive.</t>
        </is>
      </c>
      <c r="M474" s="19" t="n">
        <v>2018</v>
      </c>
      <c r="N474" s="19">
        <f>IF(AND(OR(YearFilter="All",$M474=YearFilter),OR(RatingFilter="All",$I474=RatingFilter),OR(TypeFilter="All",$B474=TypeFilter),OR(GenreFilter="All",COUNTIFS(tblGenre[show_id],$A474,tblGenre[Genre],GenreFilter)&gt;0)),1,0)</f>
        <v/>
      </c>
    </row>
    <row r="475" ht="15" customHeight="1" s="20">
      <c r="A475" s="19" t="inlineStr">
        <is>
          <t>s4452</t>
        </is>
      </c>
      <c r="B475" s="19" t="inlineStr">
        <is>
          <t>Movie</t>
        </is>
      </c>
      <c r="C475" s="19" t="inlineStr">
        <is>
          <t>Mumbai Meri Jaan</t>
        </is>
      </c>
      <c r="D475" s="19" t="inlineStr">
        <is>
          <t>Nishikant Kamat</t>
        </is>
      </c>
      <c r="E475" s="19" t="inlineStr">
        <is>
          <t>Madhavan, Irrfan Khan, Soha Ali Khan, Paresh Rawal, Kay Kay Menon, Anand Goradia, Vijay Maurya, Vibhavari Deshpande, Santosh Juvekar, Kamlesh Sawant</t>
        </is>
      </c>
      <c r="F475" s="19" t="inlineStr">
        <is>
          <t>India</t>
        </is>
      </c>
      <c r="G475" s="19" t="inlineStr">
        <is>
          <t>2018-11-01</t>
        </is>
      </c>
      <c r="H475" s="19" t="n">
        <v>2008</v>
      </c>
      <c r="I475" s="19" t="inlineStr">
        <is>
          <t>TV-MA</t>
        </is>
      </c>
      <c r="J475" s="19" t="inlineStr">
        <is>
          <t>135 min</t>
        </is>
      </c>
      <c r="K475" s="19" t="inlineStr">
        <is>
          <t>Dramas, International Movies</t>
        </is>
      </c>
      <c r="L475" s="19" t="inlineStr">
        <is>
          <t>A moving portrayal of the 2006 train bombings in Mumbai, this Indian drama follows the interconnected stories of several strangers.</t>
        </is>
      </c>
      <c r="M475" s="19" t="n">
        <v>2018</v>
      </c>
      <c r="N475" s="19">
        <f>IF(AND(OR(YearFilter="All",$M475=YearFilter),OR(RatingFilter="All",$I475=RatingFilter),OR(TypeFilter="All",$B475=TypeFilter),OR(GenreFilter="All",COUNTIFS(tblGenre[show_id],$A475,tblGenre[Genre],GenreFilter)&gt;0)),1,0)</f>
        <v/>
      </c>
    </row>
    <row r="476" ht="15" customHeight="1" s="20">
      <c r="A476" s="19" t="inlineStr">
        <is>
          <t>s4453</t>
        </is>
      </c>
      <c r="B476" s="19" t="inlineStr">
        <is>
          <t>Movie</t>
        </is>
      </c>
      <c r="C476" s="19" t="inlineStr">
        <is>
          <t>Mundeyan Ton Bachke Rahin</t>
        </is>
      </c>
      <c r="D476" s="19" t="inlineStr">
        <is>
          <t>Navinder Pal Singh</t>
        </is>
      </c>
      <c r="E476" s="19" t="inlineStr">
        <is>
          <t>Roshan Prince, Jassi Gill, Simran Kaur Mundi, Bharti Singh, Anshu Sawhney, Hobby Dhaliwal, Sunita Dhir, Minto, Manoj Sabarwal, Sunny Gill</t>
        </is>
      </c>
      <c r="F476" s="19" t="inlineStr">
        <is>
          <t>India</t>
        </is>
      </c>
      <c r="G476" s="19" t="inlineStr">
        <is>
          <t>2018-11-01</t>
        </is>
      </c>
      <c r="H476" s="19" t="n">
        <v>2014</v>
      </c>
      <c r="I476" s="19" t="inlineStr">
        <is>
          <t>TV-14</t>
        </is>
      </c>
      <c r="J476" s="19" t="inlineStr">
        <is>
          <t>139 min</t>
        </is>
      </c>
      <c r="K476" s="19" t="inlineStr">
        <is>
          <t>Comedies, International Movies, Music &amp; Musicals</t>
        </is>
      </c>
      <c r="L476" s="19" t="inlineStr">
        <is>
          <t>When they both fall for the same girl, best pals and shameless womanizers Prince and Jassi go head-to-head to compete for her love.</t>
        </is>
      </c>
      <c r="M476" s="19" t="n">
        <v>2018</v>
      </c>
      <c r="N476" s="19">
        <f>IF(AND(OR(YearFilter="All",$M476=YearFilter),OR(RatingFilter="All",$I476=RatingFilter),OR(TypeFilter="All",$B476=TypeFilter),OR(GenreFilter="All",COUNTIFS(tblGenre[show_id],$A476,tblGenre[Genre],GenreFilter)&gt;0)),1,0)</f>
        <v/>
      </c>
    </row>
    <row r="477" ht="15" customHeight="1" s="20">
      <c r="A477" s="19" t="inlineStr">
        <is>
          <t>s4454</t>
        </is>
      </c>
      <c r="B477" s="19" t="inlineStr">
        <is>
          <t>Movie</t>
        </is>
      </c>
      <c r="C477" s="19" t="inlineStr">
        <is>
          <t>No One Killed Jessica</t>
        </is>
      </c>
      <c r="D477" s="19" t="inlineStr">
        <is>
          <t>Raj Kumar Gupta</t>
        </is>
      </c>
      <c r="E477" s="19" t="inlineStr">
        <is>
          <t>Rani Mukerji, Vidya Balan, Myra Karn, Neil Bhoopalam, Rajesh Sharma, Mohammed Zeeshan Ayyub, Bubbles Sabharwal, Satyadeep Misra, Yogendra Tikku, Geeta Sudan</t>
        </is>
      </c>
      <c r="F477" s="19" t="inlineStr">
        <is>
          <t>India</t>
        </is>
      </c>
      <c r="G477" s="19" t="inlineStr">
        <is>
          <t>2018-11-01</t>
        </is>
      </c>
      <c r="H477" s="19" t="n">
        <v>2011</v>
      </c>
      <c r="I477" s="19" t="inlineStr">
        <is>
          <t>TV-MA</t>
        </is>
      </c>
      <c r="J477" s="19" t="inlineStr">
        <is>
          <t>131 min</t>
        </is>
      </c>
      <c r="K477" s="19" t="inlineStr">
        <is>
          <t>Dramas, International Movies</t>
        </is>
      </c>
      <c r="L477" s="19" t="inlineStr">
        <is>
          <t>This thriller tells the true story of model Jessica Lall – who was shot dead in a restaurant – and the campaign to bring her killer to justice.</t>
        </is>
      </c>
      <c r="M477" s="19" t="n">
        <v>2018</v>
      </c>
      <c r="N477" s="19">
        <f>IF(AND(OR(YearFilter="All",$M477=YearFilter),OR(RatingFilter="All",$I477=RatingFilter),OR(TypeFilter="All",$B477=TypeFilter),OR(GenreFilter="All",COUNTIFS(tblGenre[show_id],$A477,tblGenre[Genre],GenreFilter)&gt;0)),1,0)</f>
        <v/>
      </c>
    </row>
    <row r="478" ht="15" customHeight="1" s="20">
      <c r="A478" s="19" t="inlineStr">
        <is>
          <t>s4455</t>
        </is>
      </c>
      <c r="B478" s="19" t="inlineStr">
        <is>
          <t>Movie</t>
        </is>
      </c>
      <c r="C478" s="19" t="inlineStr">
        <is>
          <t>Oye Lucky! Lucky Oye!</t>
        </is>
      </c>
      <c r="D478" s="19" t="inlineStr">
        <is>
          <t>Dibakar Banerjee</t>
        </is>
      </c>
      <c r="E478" s="19" t="inlineStr">
        <is>
          <t>Abhay Deol, Paresh Rawal, Neetu Chandra, Archana Puran Singh, Manu Rishi Chadha, Richa Chadda, Anurag Arora, Rajender Sethi, Manjot Singh, Chandan Anand</t>
        </is>
      </c>
      <c r="F478" s="19" t="inlineStr">
        <is>
          <t>India</t>
        </is>
      </c>
      <c r="G478" s="19" t="inlineStr">
        <is>
          <t>2018-11-01</t>
        </is>
      </c>
      <c r="H478" s="19" t="n">
        <v>2008</v>
      </c>
      <c r="I478" s="19" t="inlineStr">
        <is>
          <t>TV-14</t>
        </is>
      </c>
      <c r="J478" s="19" t="inlineStr">
        <is>
          <t>118 min</t>
        </is>
      </c>
      <c r="K478" s="19" t="inlineStr">
        <is>
          <t>Comedies, Dramas, International Movies</t>
        </is>
      </c>
      <c r="L478" s="19" t="inlineStr">
        <is>
          <t>Starting as a petty thief, a man rises to become one of the city's biggest operators and carves out the kind of lifestyle he'd once only dreamed of.</t>
        </is>
      </c>
      <c r="M478" s="19" t="n">
        <v>2018</v>
      </c>
      <c r="N478" s="19">
        <f>IF(AND(OR(YearFilter="All",$M478=YearFilter),OR(RatingFilter="All",$I478=RatingFilter),OR(TypeFilter="All",$B478=TypeFilter),OR(GenreFilter="All",COUNTIFS(tblGenre[show_id],$A478,tblGenre[Genre],GenreFilter)&gt;0)),1,0)</f>
        <v/>
      </c>
    </row>
    <row r="479" ht="15" customHeight="1" s="20">
      <c r="A479" s="19" t="inlineStr">
        <is>
          <t>s4456</t>
        </is>
      </c>
      <c r="B479" s="19" t="inlineStr">
        <is>
          <t>Movie</t>
        </is>
      </c>
      <c r="C479" s="19" t="inlineStr">
        <is>
          <t>Paan Singh Tomar</t>
        </is>
      </c>
      <c r="D479" s="19" t="inlineStr">
        <is>
          <t>Tigmanshu Dhulia</t>
        </is>
      </c>
      <c r="E479" s="19" t="inlineStr">
        <is>
          <t>Irrfan Khan, Mahie Gill, Rajendra Gupta, Brijendra Kala, Jahangir Khan, Vipin Sharma, Zakir Hussain</t>
        </is>
      </c>
      <c r="F479" s="19" t="inlineStr">
        <is>
          <t>India</t>
        </is>
      </c>
      <c r="G479" s="19" t="inlineStr">
        <is>
          <t>2018-11-01</t>
        </is>
      </c>
      <c r="H479" s="19" t="n">
        <v>2010</v>
      </c>
      <c r="I479" s="19" t="inlineStr">
        <is>
          <t>TV-14</t>
        </is>
      </c>
      <c r="J479" s="19" t="inlineStr">
        <is>
          <t>129 min</t>
        </is>
      </c>
      <c r="K479" s="19" t="inlineStr">
        <is>
          <t>Action &amp; Adventure, Dramas, International Movies</t>
        </is>
      </c>
      <c r="L479" s="19" t="inlineStr">
        <is>
          <t>Paan Singh Tomar goes from celebrated runner to star brigand and rebel when life after sports fails to unfold as planned.</t>
        </is>
      </c>
      <c r="M479" s="19" t="n">
        <v>2018</v>
      </c>
      <c r="N479" s="19">
        <f>IF(AND(OR(YearFilter="All",$M479=YearFilter),OR(RatingFilter="All",$I479=RatingFilter),OR(TypeFilter="All",$B479=TypeFilter),OR(GenreFilter="All",COUNTIFS(tblGenre[show_id],$A479,tblGenre[Genre],GenreFilter)&gt;0)),1,0)</f>
        <v/>
      </c>
    </row>
    <row r="480" ht="15" customHeight="1" s="20">
      <c r="A480" s="19" t="inlineStr">
        <is>
          <t>s4457</t>
        </is>
      </c>
      <c r="B480" s="19" t="inlineStr">
        <is>
          <t>Movie</t>
        </is>
      </c>
      <c r="C480" s="19" t="inlineStr">
        <is>
          <t>Raja Natwarlal</t>
        </is>
      </c>
      <c r="D480" s="19" t="inlineStr">
        <is>
          <t>Kunal Deshmukh</t>
        </is>
      </c>
      <c r="E480" s="19" t="inlineStr">
        <is>
          <t>Emraan Hashmi, Humaima Malik, Paresh Rawal, Kay Kay Menon, Deepak Tijori, Prachi Shah, Mohammed Zeeshan Ayyub</t>
        </is>
      </c>
      <c r="F480" s="19" t="inlineStr">
        <is>
          <t>India</t>
        </is>
      </c>
      <c r="G480" s="19" t="inlineStr">
        <is>
          <t>2018-11-01</t>
        </is>
      </c>
      <c r="H480" s="19" t="n">
        <v>2014</v>
      </c>
      <c r="I480" s="19" t="inlineStr">
        <is>
          <t>TV-14</t>
        </is>
      </c>
      <c r="J480" s="19" t="inlineStr">
        <is>
          <t>131 min</t>
        </is>
      </c>
      <c r="K480" s="19" t="inlineStr">
        <is>
          <t>Dramas, International Movies, Thrillers</t>
        </is>
      </c>
      <c r="L480" s="19" t="inlineStr">
        <is>
          <t>A small-time con man assembles a team to help him avenge the death of his partner-in-crime at the hands of a powerful gangster.</t>
        </is>
      </c>
      <c r="M480" s="19" t="n">
        <v>2018</v>
      </c>
      <c r="N480" s="19">
        <f>IF(AND(OR(YearFilter="All",$M480=YearFilter),OR(RatingFilter="All",$I480=RatingFilter),OR(TypeFilter="All",$B480=TypeFilter),OR(GenreFilter="All",COUNTIFS(tblGenre[show_id],$A480,tblGenre[Genre],GenreFilter)&gt;0)),1,0)</f>
        <v/>
      </c>
    </row>
    <row r="481" ht="15" customHeight="1" s="20">
      <c r="A481" s="19" t="inlineStr">
        <is>
          <t>s4458</t>
        </is>
      </c>
      <c r="B481" s="19" t="inlineStr">
        <is>
          <t>Movie</t>
        </is>
      </c>
      <c r="C481" s="19" t="inlineStr">
        <is>
          <t>Satyagraha</t>
        </is>
      </c>
      <c r="D481" s="19" t="inlineStr">
        <is>
          <t>Prakash Jha</t>
        </is>
      </c>
      <c r="E481" s="19" t="inlineStr">
        <is>
          <t>Kareena Kapoor, Amitabh Bachchan, Ajay Devgn, Arjun Rampal, Amrita Rao, Manoj Bajpayee, Vipin Sharma, Anjali Patil</t>
        </is>
      </c>
      <c r="F481" s="19" t="inlineStr">
        <is>
          <t>India</t>
        </is>
      </c>
      <c r="G481" s="19" t="inlineStr">
        <is>
          <t>2018-11-01</t>
        </is>
      </c>
      <c r="H481" s="19" t="n">
        <v>2013</v>
      </c>
      <c r="I481" s="19" t="inlineStr">
        <is>
          <t>TV-14</t>
        </is>
      </c>
      <c r="J481" s="19" t="inlineStr">
        <is>
          <t>146 min</t>
        </is>
      </c>
      <c r="K481" s="19" t="inlineStr">
        <is>
          <t>Dramas, International Movies, Music &amp; Musicals</t>
        </is>
      </c>
      <c r="L481" s="19" t="inlineStr">
        <is>
          <t>In this Bollywood drama, a corporate go-getter sees his priorities shift when personal tragedy brings him face-to-face with political corruption.</t>
        </is>
      </c>
      <c r="M481" s="19" t="n">
        <v>2018</v>
      </c>
      <c r="N481" s="19">
        <f>IF(AND(OR(YearFilter="All",$M481=YearFilter),OR(RatingFilter="All",$I481=RatingFilter),OR(TypeFilter="All",$B481=TypeFilter),OR(GenreFilter="All",COUNTIFS(tblGenre[show_id],$A481,tblGenre[Genre],GenreFilter)&gt;0)),1,0)</f>
        <v/>
      </c>
    </row>
    <row r="482" ht="15" customHeight="1" s="20">
      <c r="A482" s="19" t="inlineStr">
        <is>
          <t>s4459</t>
        </is>
      </c>
      <c r="B482" s="19" t="inlineStr">
        <is>
          <t>Movie</t>
        </is>
      </c>
      <c r="C482" s="19" t="inlineStr">
        <is>
          <t>Settai</t>
        </is>
      </c>
      <c r="D482" s="19" t="inlineStr">
        <is>
          <t>R. Kannan</t>
        </is>
      </c>
      <c r="E482" s="19" t="inlineStr">
        <is>
          <t>Arya, Anjali, Hansika Motwani, Santhanam, Premgi Amaren, Nasser</t>
        </is>
      </c>
      <c r="F482" s="19" t="inlineStr">
        <is>
          <t>India</t>
        </is>
      </c>
      <c r="G482" s="19" t="inlineStr">
        <is>
          <t>2018-11-01</t>
        </is>
      </c>
      <c r="H482" s="19" t="n">
        <v>2013</v>
      </c>
      <c r="I482" s="19" t="inlineStr">
        <is>
          <t>TV-14</t>
        </is>
      </c>
      <c r="J482" s="19" t="inlineStr">
        <is>
          <t>123 min</t>
        </is>
      </c>
      <c r="K482" s="19" t="inlineStr">
        <is>
          <t>Comedies, International Movies, Music &amp; Musicals</t>
        </is>
      </c>
      <c r="L482" s="19" t="inlineStr">
        <is>
          <t>Asked to deliver a package for a friend, Madhu gets her fiancé, Jayaganthan, to take care of it, and he then passes the task to one of his roommates.</t>
        </is>
      </c>
      <c r="M482" s="19" t="n">
        <v>2018</v>
      </c>
      <c r="N482" s="19">
        <f>IF(AND(OR(YearFilter="All",$M482=YearFilter),OR(RatingFilter="All",$I482=RatingFilter),OR(TypeFilter="All",$B482=TypeFilter),OR(GenreFilter="All",COUNTIFS(tblGenre[show_id],$A482,tblGenre[Genre],GenreFilter)&gt;0)),1,0)</f>
        <v/>
      </c>
    </row>
    <row r="483" ht="15" customHeight="1" s="20">
      <c r="A483" s="19" t="inlineStr">
        <is>
          <t>s4460</t>
        </is>
      </c>
      <c r="B483" s="19" t="inlineStr">
        <is>
          <t>Movie</t>
        </is>
      </c>
      <c r="C483" s="19" t="inlineStr">
        <is>
          <t>Sigaram Thodu</t>
        </is>
      </c>
      <c r="D483" s="19" t="inlineStr">
        <is>
          <t>Gaurav Narayanan</t>
        </is>
      </c>
      <c r="E483" s="19" t="inlineStr">
        <is>
          <t>Vikram Prabhu, Sathyaraj, Monal Gajjar, Sathish, Erode Mahesh, Gaurav Narayanan</t>
        </is>
      </c>
      <c r="F483" s="19" t="inlineStr">
        <is>
          <t>India</t>
        </is>
      </c>
      <c r="G483" s="19" t="inlineStr">
        <is>
          <t>2018-11-01</t>
        </is>
      </c>
      <c r="H483" s="19" t="n">
        <v>2014</v>
      </c>
      <c r="I483" s="19" t="inlineStr">
        <is>
          <t>TV-14</t>
        </is>
      </c>
      <c r="J483" s="19" t="inlineStr">
        <is>
          <t>141 min</t>
        </is>
      </c>
      <c r="K483" s="19" t="inlineStr">
        <is>
          <t>Dramas, International Movies, Thrillers</t>
        </is>
      </c>
      <c r="L483" s="19" t="inlineStr">
        <is>
          <t>A policeman's son overcomes his reluctance to join the force following a brutal attack on his father and ends up in the middle of a robbery case.</t>
        </is>
      </c>
      <c r="M483" s="19" t="n">
        <v>2018</v>
      </c>
      <c r="N483" s="19">
        <f>IF(AND(OR(YearFilter="All",$M483=YearFilter),OR(RatingFilter="All",$I483=RatingFilter),OR(TypeFilter="All",$B483=TypeFilter),OR(GenreFilter="All",COUNTIFS(tblGenre[show_id],$A483,tblGenre[Genre],GenreFilter)&gt;0)),1,0)</f>
        <v/>
      </c>
    </row>
    <row r="484" ht="15" customHeight="1" s="20">
      <c r="A484" s="19" t="inlineStr">
        <is>
          <t>s4465</t>
        </is>
      </c>
      <c r="B484" s="19" t="inlineStr">
        <is>
          <t>Movie</t>
        </is>
      </c>
      <c r="C484" s="19" t="inlineStr">
        <is>
          <t>Welcome to Sajjanpur</t>
        </is>
      </c>
      <c r="D484" s="19" t="inlineStr">
        <is>
          <t>Shyam Benegal</t>
        </is>
      </c>
      <c r="E484" s="19" t="inlineStr">
        <is>
          <t>Shreyas Talpade, Amrita Rao, Ravi Kishan, Ila Arun, Rajeshwari Sachdev, Divya Dutta, Yashpal Sharma, Ravi Jhankal, Lalit Mohan Tiwari</t>
        </is>
      </c>
      <c r="F484" s="19" t="inlineStr">
        <is>
          <t>India</t>
        </is>
      </c>
      <c r="G484" s="19" t="inlineStr">
        <is>
          <t>2018-11-01</t>
        </is>
      </c>
      <c r="H484" s="19" t="n">
        <v>2008</v>
      </c>
      <c r="I484" s="19" t="inlineStr">
        <is>
          <t>TV-14</t>
        </is>
      </c>
      <c r="J484" s="19" t="inlineStr">
        <is>
          <t>131 min</t>
        </is>
      </c>
      <c r="K484" s="19" t="inlineStr">
        <is>
          <t>Comedies, Dramas, International Movies</t>
        </is>
      </c>
      <c r="L484" s="19" t="inlineStr">
        <is>
          <t>An educated man assists the illiterate residents of his village with written correspondence, sometimes manipulating the letters to suit his interests.</t>
        </is>
      </c>
      <c r="M484" s="19" t="n">
        <v>2018</v>
      </c>
      <c r="N484" s="19">
        <f>IF(AND(OR(YearFilter="All",$M484=YearFilter),OR(RatingFilter="All",$I484=RatingFilter),OR(TypeFilter="All",$B484=TypeFilter),OR(GenreFilter="All",COUNTIFS(tblGenre[show_id],$A484,tblGenre[Genre],GenreFilter)&gt;0)),1,0)</f>
        <v/>
      </c>
    </row>
    <row r="485" ht="15" customHeight="1" s="20">
      <c r="A485" s="19" t="inlineStr">
        <is>
          <t>s4466</t>
        </is>
      </c>
      <c r="B485" s="19" t="inlineStr">
        <is>
          <t>Movie</t>
        </is>
      </c>
      <c r="C485" s="19" t="inlineStr">
        <is>
          <t>Yeh Hai Bakrapur</t>
        </is>
      </c>
      <c r="E485" s="19" t="inlineStr">
        <is>
          <t>Amit Sial, Yoshika Verma, Anshuman Jha, Asif Basra, Suruchi Aulakh</t>
        </is>
      </c>
      <c r="F485" s="19" t="inlineStr">
        <is>
          <t>India</t>
        </is>
      </c>
      <c r="G485" s="19" t="inlineStr">
        <is>
          <t>2018-11-01</t>
        </is>
      </c>
      <c r="H485" s="19" t="n">
        <v>2014</v>
      </c>
      <c r="I485" s="19" t="inlineStr">
        <is>
          <t>TV-PG</t>
        </is>
      </c>
      <c r="J485" s="19" t="inlineStr">
        <is>
          <t>95 min</t>
        </is>
      </c>
      <c r="K485" s="19" t="inlineStr">
        <is>
          <t>Comedies, Dramas, Independent Movies</t>
        </is>
      </c>
      <c r="L485" s="19" t="inlineStr">
        <is>
          <t>A poor family’s goat suddenly acquires divine status, sparking a widespread frenzy as everyone clamors to benefit from its unexpected celebrity.</t>
        </is>
      </c>
      <c r="M485" s="19" t="n">
        <v>2018</v>
      </c>
      <c r="N485" s="19">
        <f>IF(AND(OR(YearFilter="All",$M485=YearFilter),OR(RatingFilter="All",$I485=RatingFilter),OR(TypeFilter="All",$B485=TypeFilter),OR(GenreFilter="All",COUNTIFS(tblGenre[show_id],$A485,tblGenre[Genre],GenreFilter)&gt;0)),1,0)</f>
        <v/>
      </c>
    </row>
    <row r="486" ht="15" customHeight="1" s="20">
      <c r="A486" s="19" t="inlineStr">
        <is>
          <t>s4467</t>
        </is>
      </c>
      <c r="B486" s="19" t="inlineStr">
        <is>
          <t>Movie</t>
        </is>
      </c>
      <c r="C486" s="19" t="inlineStr">
        <is>
          <t>Zokkomon</t>
        </is>
      </c>
      <c r="D486" s="19" t="inlineStr">
        <is>
          <t>Satyajit Bhatkal</t>
        </is>
      </c>
      <c r="E486" s="19" t="inlineStr">
        <is>
          <t>Darsheel Safary, Anupam Kher, Manjari Fadnis, Tinnu Anand, Sheeba Chaddha, S.M. Zaheer, Aayam Mehta, Gargi Datar, Jai Vyas</t>
        </is>
      </c>
      <c r="F486" s="19" t="inlineStr">
        <is>
          <t>India</t>
        </is>
      </c>
      <c r="G486" s="19" t="inlineStr">
        <is>
          <t>2018-11-01</t>
        </is>
      </c>
      <c r="H486" s="19" t="n">
        <v>2011</v>
      </c>
      <c r="I486" s="19" t="inlineStr">
        <is>
          <t>PG</t>
        </is>
      </c>
      <c r="J486" s="19" t="inlineStr">
        <is>
          <t>104 min</t>
        </is>
      </c>
      <c r="K486" s="19" t="inlineStr">
        <is>
          <t>Children &amp; Family Movies, Dramas</t>
        </is>
      </c>
      <c r="L486" s="19" t="inlineStr">
        <is>
          <t>When his cruel uncle abandons him, a young orphan learns to access the untapped superpowers that have been waiting within him all along.</t>
        </is>
      </c>
      <c r="M486" s="19" t="n">
        <v>2018</v>
      </c>
      <c r="N486" s="19">
        <f>IF(AND(OR(YearFilter="All",$M486=YearFilter),OR(RatingFilter="All",$I486=RatingFilter),OR(TypeFilter="All",$B486=TypeFilter),OR(GenreFilter="All",COUNTIFS(tblGenre[show_id],$A486,tblGenre[Genre],GenreFilter)&gt;0)),1,0)</f>
        <v/>
      </c>
    </row>
    <row r="487" ht="15" customHeight="1" s="20">
      <c r="A487" s="19" t="inlineStr">
        <is>
          <t>s4478</t>
        </is>
      </c>
      <c r="B487" s="19" t="inlineStr">
        <is>
          <t>Movie</t>
        </is>
      </c>
      <c r="C487" s="19" t="inlineStr">
        <is>
          <t>W/O Ram</t>
        </is>
      </c>
      <c r="D487" s="19" t="inlineStr">
        <is>
          <t>Vijay Yelakanti</t>
        </is>
      </c>
      <c r="E487" s="19" t="inlineStr">
        <is>
          <t>Lakshmi Manchu, Aadarsh Balakrishna, Priyadarshi Pullikonda, Samrat Reddy, Shrikanth Iyyangar, Shrusti Dange</t>
        </is>
      </c>
      <c r="F487" s="19" t="inlineStr">
        <is>
          <t>India</t>
        </is>
      </c>
      <c r="G487" s="19" t="inlineStr">
        <is>
          <t>2018-10-26</t>
        </is>
      </c>
      <c r="H487" s="19" t="n">
        <v>2018</v>
      </c>
      <c r="I487" s="19" t="inlineStr">
        <is>
          <t>TV-MA</t>
        </is>
      </c>
      <c r="J487" s="19" t="inlineStr">
        <is>
          <t>115 min</t>
        </is>
      </c>
      <c r="K487" s="19" t="inlineStr">
        <is>
          <t>Dramas, International Movies, Thrillers</t>
        </is>
      </c>
      <c r="L487" s="19" t="inlineStr">
        <is>
          <t>Frustrated with the stalled investigation into her husband's murder, a woman searches for the killer on her own, putting herself in grave danger.</t>
        </is>
      </c>
      <c r="M487" s="19" t="n">
        <v>2018</v>
      </c>
      <c r="N487" s="19">
        <f>IF(AND(OR(YearFilter="All",$M487=YearFilter),OR(RatingFilter="All",$I487=RatingFilter),OR(TypeFilter="All",$B487=TypeFilter),OR(GenreFilter="All",COUNTIFS(tblGenre[show_id],$A487,tblGenre[Genre],GenreFilter)&gt;0)),1,0)</f>
        <v/>
      </c>
    </row>
    <row r="488" ht="15" customHeight="1" s="20">
      <c r="A488" s="19" t="inlineStr">
        <is>
          <t>s4497</t>
        </is>
      </c>
      <c r="B488" s="19" t="inlineStr">
        <is>
          <t>Movie</t>
        </is>
      </c>
      <c r="C488" s="19" t="inlineStr">
        <is>
          <t>Naa Bangaaru Talli</t>
        </is>
      </c>
      <c r="D488" s="19" t="inlineStr">
        <is>
          <t>Rajesh Touchriver</t>
        </is>
      </c>
      <c r="E488" s="19" t="inlineStr">
        <is>
          <t>Siddique, Anjali Patil, Lakshmi Menon, Nina Kurup, Rathna Shekar Reddy, Anoop Aravindan</t>
        </is>
      </c>
      <c r="F488" s="19" t="inlineStr">
        <is>
          <t>India</t>
        </is>
      </c>
      <c r="G488" s="19" t="inlineStr">
        <is>
          <t>2018-10-19</t>
        </is>
      </c>
      <c r="H488" s="19" t="n">
        <v>2013</v>
      </c>
      <c r="I488" s="19" t="inlineStr">
        <is>
          <t>TV-14</t>
        </is>
      </c>
      <c r="J488" s="19" t="inlineStr">
        <is>
          <t>122 min</t>
        </is>
      </c>
      <c r="K488" s="19" t="inlineStr">
        <is>
          <t>Dramas, International Movies</t>
        </is>
      </c>
      <c r="L488" s="19" t="inlineStr">
        <is>
          <t>A father leading a dark double life and his daughter, who's eager to pursue her studies in Hyderabad, face the tragic consequences of sex trafficking.</t>
        </is>
      </c>
      <c r="M488" s="19" t="n">
        <v>2018</v>
      </c>
      <c r="N488" s="19">
        <f>IF(AND(OR(YearFilter="All",$M488=YearFilter),OR(RatingFilter="All",$I488=RatingFilter),OR(TypeFilter="All",$B488=TypeFilter),OR(GenreFilter="All",COUNTIFS(tblGenre[show_id],$A488,tblGenre[Genre],GenreFilter)&gt;0)),1,0)</f>
        <v/>
      </c>
    </row>
    <row r="489" ht="15" customHeight="1" s="20">
      <c r="A489" s="19" t="inlineStr">
        <is>
          <t>s4503</t>
        </is>
      </c>
      <c r="B489" s="19" t="inlineStr">
        <is>
          <t>Movie</t>
        </is>
      </c>
      <c r="C489" s="19" t="inlineStr">
        <is>
          <t>Mr. Chandramouli</t>
        </is>
      </c>
      <c r="D489" s="19" t="inlineStr">
        <is>
          <t>Thiru</t>
        </is>
      </c>
      <c r="E489" s="19" t="inlineStr">
        <is>
          <t>Karthik, Gautam Karthik, Regina Cassandra, Varalakshmi Sarathkumar, Santhosh Prathap, Mime Gopi, J. Mahendran, Viji Chandrasekhar</t>
        </is>
      </c>
      <c r="F489" s="19" t="inlineStr">
        <is>
          <t>India</t>
        </is>
      </c>
      <c r="G489" s="19" t="inlineStr">
        <is>
          <t>2018-10-18</t>
        </is>
      </c>
      <c r="H489" s="19" t="n">
        <v>2018</v>
      </c>
      <c r="I489" s="19" t="inlineStr">
        <is>
          <t>TV-MA</t>
        </is>
      </c>
      <c r="J489" s="19" t="inlineStr">
        <is>
          <t>131 min</t>
        </is>
      </c>
      <c r="K489" s="19" t="inlineStr">
        <is>
          <t>Dramas, International Movies, Thrillers</t>
        </is>
      </c>
      <c r="L489" s="19" t="inlineStr">
        <is>
          <t>When the lives of a carefree boxer and his cabdriver dad collide with the ambitions of a ruthless businessman, a search for answers turns to revenge.</t>
        </is>
      </c>
      <c r="M489" s="19" t="n">
        <v>2018</v>
      </c>
      <c r="N489" s="19">
        <f>IF(AND(OR(YearFilter="All",$M489=YearFilter),OR(RatingFilter="All",$I489=RatingFilter),OR(TypeFilter="All",$B489=TypeFilter),OR(GenreFilter="All",COUNTIFS(tblGenre[show_id],$A489,tblGenre[Genre],GenreFilter)&gt;0)),1,0)</f>
        <v/>
      </c>
    </row>
    <row r="490" ht="15" customHeight="1" s="20">
      <c r="A490" s="19" t="inlineStr">
        <is>
          <t>s4507</t>
        </is>
      </c>
      <c r="B490" s="19" t="inlineStr">
        <is>
          <t>Movie</t>
        </is>
      </c>
      <c r="C490" s="19" t="inlineStr">
        <is>
          <t>Meghnadbodh Rohoshyo</t>
        </is>
      </c>
      <c r="D490" s="19" t="inlineStr">
        <is>
          <t>Anik Datta</t>
        </is>
      </c>
      <c r="E490" s="19" t="inlineStr">
        <is>
          <t>Barun Chanda, Sabyasachi Chakraborty</t>
        </is>
      </c>
      <c r="F490" s="19" t="inlineStr">
        <is>
          <t>India</t>
        </is>
      </c>
      <c r="G490" s="19" t="inlineStr">
        <is>
          <t>2018-10-15</t>
        </is>
      </c>
      <c r="H490" s="19" t="n">
        <v>2017</v>
      </c>
      <c r="I490" s="19" t="inlineStr">
        <is>
          <t>TV-MA</t>
        </is>
      </c>
      <c r="J490" s="19" t="inlineStr">
        <is>
          <t>150 min</t>
        </is>
      </c>
      <c r="K490" s="19" t="inlineStr">
        <is>
          <t>Dramas, International Movies</t>
        </is>
      </c>
      <c r="L490" s="19" t="inlineStr">
        <is>
          <t>A professor mysteriously vanishes, leaving behind a host of suspects, a shadowy history and a clue: the anonymous birthday gift of a Bengali classic.</t>
        </is>
      </c>
      <c r="M490" s="19" t="n">
        <v>2018</v>
      </c>
      <c r="N490" s="19">
        <f>IF(AND(OR(YearFilter="All",$M490=YearFilter),OR(RatingFilter="All",$I490=RatingFilter),OR(TypeFilter="All",$B490=TypeFilter),OR(GenreFilter="All",COUNTIFS(tblGenre[show_id],$A490,tblGenre[Genre],GenreFilter)&gt;0)),1,0)</f>
        <v/>
      </c>
    </row>
    <row r="491" ht="15" customHeight="1" s="20">
      <c r="A491" s="19" t="inlineStr">
        <is>
          <t>s4508</t>
        </is>
      </c>
      <c r="B491" s="19" t="inlineStr">
        <is>
          <t>Movie</t>
        </is>
      </c>
      <c r="C491" s="19" t="inlineStr">
        <is>
          <t>Sanju</t>
        </is>
      </c>
      <c r="D491" s="19" t="inlineStr">
        <is>
          <t>Rajkumar Hirani</t>
        </is>
      </c>
      <c r="E491" s="19" t="inlineStr">
        <is>
          <t>Ranbir Kapoor, Vicky Kaushal, Paresh Rawal, Sonam Kapoor, Dia Mirza, Jim Sarbh, Anushka Sharma, Manisha Koirala, Boman Irani</t>
        </is>
      </c>
      <c r="F491" s="19" t="inlineStr">
        <is>
          <t>India</t>
        </is>
      </c>
      <c r="G491" s="19" t="inlineStr">
        <is>
          <t>2018-10-15</t>
        </is>
      </c>
      <c r="H491" s="19" t="n">
        <v>2018</v>
      </c>
      <c r="I491" s="19" t="inlineStr">
        <is>
          <t>TV-MA</t>
        </is>
      </c>
      <c r="J491" s="19" t="inlineStr">
        <is>
          <t>159 min</t>
        </is>
      </c>
      <c r="K491" s="19" t="inlineStr">
        <is>
          <t>Dramas, International Movies</t>
        </is>
      </c>
      <c r="L491" s="19" t="inlineStr">
        <is>
          <t>From the depths of addiction to the heights of stardom to underworld entanglements, this biopic traces the checkered past of Indian actor Sanjay Dutt.</t>
        </is>
      </c>
      <c r="M491" s="19" t="n">
        <v>2018</v>
      </c>
      <c r="N491" s="19">
        <f>IF(AND(OR(YearFilter="All",$M491=YearFilter),OR(RatingFilter="All",$I491=RatingFilter),OR(TypeFilter="All",$B491=TypeFilter),OR(GenreFilter="All",COUNTIFS(tblGenre[show_id],$A491,tblGenre[Genre],GenreFilter)&gt;0)),1,0)</f>
        <v/>
      </c>
    </row>
    <row r="492" ht="15" customHeight="1" s="20">
      <c r="A492" s="19" t="inlineStr">
        <is>
          <t>s4510</t>
        </is>
      </c>
      <c r="B492" s="19" t="inlineStr">
        <is>
          <t>Movie</t>
        </is>
      </c>
      <c r="C492" s="19" t="inlineStr">
        <is>
          <t>Soorma</t>
        </is>
      </c>
      <c r="D492" s="19" t="inlineStr">
        <is>
          <t>Shaad Ali</t>
        </is>
      </c>
      <c r="E492" s="19" t="inlineStr">
        <is>
          <t>Diljit Dosanjh, Tapsee Pannu, Angad Bedi, Kulbhushan Kharbanda, Satish Kaushik, Vijay Raaz, Seema Kaushal, Mahabir Bhullar, Alka Badola Kaushal, Jimmy Moses</t>
        </is>
      </c>
      <c r="F492" s="19" t="inlineStr">
        <is>
          <t>India</t>
        </is>
      </c>
      <c r="G492" s="19" t="inlineStr">
        <is>
          <t>2018-10-13</t>
        </is>
      </c>
      <c r="H492" s="19" t="n">
        <v>2018</v>
      </c>
      <c r="I492" s="19" t="inlineStr">
        <is>
          <t>TV-14</t>
        </is>
      </c>
      <c r="J492" s="19" t="inlineStr">
        <is>
          <t>131 min</t>
        </is>
      </c>
      <c r="K492" s="19" t="inlineStr">
        <is>
          <t>Dramas, International Movies, Sports Movies</t>
        </is>
      </c>
      <c r="L492" s="19" t="inlineStr">
        <is>
          <t>This biopic on former Indian field hockey player Sandeep Singh follows the athlete’s hard-fought comeback after an accidental gunshot left him paralyzed.</t>
        </is>
      </c>
      <c r="M492" s="19" t="n">
        <v>2018</v>
      </c>
      <c r="N492" s="19">
        <f>IF(AND(OR(YearFilter="All",$M492=YearFilter),OR(RatingFilter="All",$I492=RatingFilter),OR(TypeFilter="All",$B492=TypeFilter),OR(GenreFilter="All",COUNTIFS(tblGenre[show_id],$A492,tblGenre[Genre],GenreFilter)&gt;0)),1,0)</f>
        <v/>
      </c>
    </row>
    <row r="493" ht="15" customHeight="1" s="20">
      <c r="A493" s="19" t="inlineStr">
        <is>
          <t>s4538</t>
        </is>
      </c>
      <c r="B493" s="19" t="inlineStr">
        <is>
          <t>Movie</t>
        </is>
      </c>
      <c r="C493" s="19" t="inlineStr">
        <is>
          <t>The Black Prince</t>
        </is>
      </c>
      <c r="D493" s="19" t="inlineStr">
        <is>
          <t>Kavi Raz</t>
        </is>
      </c>
      <c r="E493" s="19" t="inlineStr">
        <is>
          <t>Satinder Sartaaj, Shabana Azmi, Jason Flemyng, Amanda Root, Rup Magon, Sophie Stevens, Keith Duffy, David Essex, Leanne Joyce, Ranjit Singh Shubh</t>
        </is>
      </c>
      <c r="F493" s="19" t="inlineStr">
        <is>
          <t>United Kingdom, India, United States</t>
        </is>
      </c>
      <c r="G493" s="19" t="inlineStr">
        <is>
          <t>2018-10-03</t>
        </is>
      </c>
      <c r="H493" s="19" t="n">
        <v>2017</v>
      </c>
      <c r="I493" s="19" t="inlineStr">
        <is>
          <t>PG-13</t>
        </is>
      </c>
      <c r="J493" s="19" t="inlineStr">
        <is>
          <t>121 min</t>
        </is>
      </c>
      <c r="K493" s="19" t="inlineStr">
        <is>
          <t>Dramas, International Movies</t>
        </is>
      </c>
      <c r="L493" s="19" t="inlineStr">
        <is>
          <t>After being exiled to England as a child, a Punjabi prince struggles to return to his homeland and his Sikh faith in this historical drama.</t>
        </is>
      </c>
      <c r="M493" s="19" t="n">
        <v>2018</v>
      </c>
      <c r="N493" s="19">
        <f>IF(AND(OR(YearFilter="All",$M493=YearFilter),OR(RatingFilter="All",$I493=RatingFilter),OR(TypeFilter="All",$B493=TypeFilter),OR(GenreFilter="All",COUNTIFS(tblGenre[show_id],$A493,tblGenre[Genre],GenreFilter)&gt;0)),1,0)</f>
        <v/>
      </c>
    </row>
    <row r="494" ht="15" customHeight="1" s="20">
      <c r="A494" s="19" t="inlineStr">
        <is>
          <t>s4557</t>
        </is>
      </c>
      <c r="B494" s="19" t="inlineStr">
        <is>
          <t>Movie</t>
        </is>
      </c>
      <c r="C494" s="19" t="inlineStr">
        <is>
          <t>25 Kille</t>
        </is>
      </c>
      <c r="D494" s="19" t="inlineStr">
        <is>
          <t>Simranjit Singh Hundal</t>
        </is>
      </c>
      <c r="E494" s="19" t="inlineStr">
        <is>
          <t>Guggu Gill, Yograj Singh, Sonia Mann, Jimmy Sharma, Sapna Bassi, Lakha Lakhwinder Singh, Sandeep Kaur Sandy, Sardar Sohi</t>
        </is>
      </c>
      <c r="F494" s="19" t="inlineStr">
        <is>
          <t>India</t>
        </is>
      </c>
      <c r="G494" s="19" t="inlineStr">
        <is>
          <t>2018-10-01</t>
        </is>
      </c>
      <c r="H494" s="19" t="n">
        <v>2016</v>
      </c>
      <c r="I494" s="19" t="inlineStr">
        <is>
          <t>TV-14</t>
        </is>
      </c>
      <c r="J494" s="19" t="inlineStr">
        <is>
          <t>140 min</t>
        </is>
      </c>
      <c r="K494" s="19" t="inlineStr">
        <is>
          <t>Action &amp; Adventure, Dramas, International Movies</t>
        </is>
      </c>
      <c r="L494" s="19" t="inlineStr">
        <is>
          <t>Four brothers learn that they have inherited ancestral land, but must fight to claim it when a greedy feudal lord threatens to take it over.</t>
        </is>
      </c>
      <c r="M494" s="19" t="n">
        <v>2018</v>
      </c>
      <c r="N494" s="19">
        <f>IF(AND(OR(YearFilter="All",$M494=YearFilter),OR(RatingFilter="All",$I494=RatingFilter),OR(TypeFilter="All",$B494=TypeFilter),OR(GenreFilter="All",COUNTIFS(tblGenre[show_id],$A494,tblGenre[Genre],GenreFilter)&gt;0)),1,0)</f>
        <v/>
      </c>
    </row>
    <row r="495" ht="15" customHeight="1" s="20">
      <c r="A495" s="19" t="inlineStr">
        <is>
          <t>s4559</t>
        </is>
      </c>
      <c r="B495" s="19" t="inlineStr">
        <is>
          <t>Movie</t>
        </is>
      </c>
      <c r="C495" s="19" t="inlineStr">
        <is>
          <t>Agyaat</t>
        </is>
      </c>
      <c r="D495" s="19" t="inlineStr">
        <is>
          <t>Ram Gopal Varma</t>
        </is>
      </c>
      <c r="E495" s="19" t="inlineStr">
        <is>
          <t>Adesh Bhardwaj, Rasika Dugal, Joy Fernandes, Ravi Kale, Ishtiyak Khan, Priyanka Kothari, Kali Prasad Mukherjee, Nitin Reddy, Gautam Rode, Howard Rosemeyer</t>
        </is>
      </c>
      <c r="F495" s="19" t="inlineStr">
        <is>
          <t>India</t>
        </is>
      </c>
      <c r="G495" s="19" t="inlineStr">
        <is>
          <t>2018-10-01</t>
        </is>
      </c>
      <c r="H495" s="19" t="n">
        <v>2009</v>
      </c>
      <c r="I495" s="19" t="inlineStr">
        <is>
          <t>TV-14</t>
        </is>
      </c>
      <c r="J495" s="19" t="inlineStr">
        <is>
          <t>97 min</t>
        </is>
      </c>
      <c r="K495" s="19" t="inlineStr">
        <is>
          <t>Horror Movies, International Movies</t>
        </is>
      </c>
      <c r="L495" s="19" t="inlineStr">
        <is>
          <t>A film crew shooting in a remote forested location begins losing members one by one to a mysterious entity that they cannot see or hear.</t>
        </is>
      </c>
      <c r="M495" s="19" t="n">
        <v>2018</v>
      </c>
      <c r="N495" s="19">
        <f>IF(AND(OR(YearFilter="All",$M495=YearFilter),OR(RatingFilter="All",$I495=RatingFilter),OR(TypeFilter="All",$B495=TypeFilter),OR(GenreFilter="All",COUNTIFS(tblGenre[show_id],$A495,tblGenre[Genre],GenreFilter)&gt;0)),1,0)</f>
        <v/>
      </c>
    </row>
    <row r="496" ht="15" customHeight="1" s="20">
      <c r="A496" s="19" t="inlineStr">
        <is>
          <t>s4560</t>
        </is>
      </c>
      <c r="B496" s="19" t="inlineStr">
        <is>
          <t>Movie</t>
        </is>
      </c>
      <c r="C496" s="19" t="inlineStr">
        <is>
          <t>Anjaan</t>
        </is>
      </c>
      <c r="D496" s="19" t="inlineStr">
        <is>
          <t>N. Linguswamy</t>
        </is>
      </c>
      <c r="E496" s="19" t="inlineStr">
        <is>
          <t>Suriya, Samantha Ruth Prabhu, Vidyut Jammwal, Manoj Bajpayee, Soori</t>
        </is>
      </c>
      <c r="F496" s="19" t="inlineStr">
        <is>
          <t>India</t>
        </is>
      </c>
      <c r="G496" s="19" t="inlineStr">
        <is>
          <t>2018-10-01</t>
        </is>
      </c>
      <c r="H496" s="19" t="n">
        <v>2014</v>
      </c>
      <c r="I496" s="19" t="inlineStr">
        <is>
          <t>TV-14</t>
        </is>
      </c>
      <c r="J496" s="19" t="inlineStr">
        <is>
          <t>146 min</t>
        </is>
      </c>
      <c r="K496" s="19" t="inlineStr">
        <is>
          <t>Action &amp; Adventure, Dramas, International Movies</t>
        </is>
      </c>
      <c r="L496" s="19" t="inlineStr">
        <is>
          <t>Mild-mannered Krishna comes to Mumbai to search for his gang-leader brother, and quickly finds himself in way over his head.</t>
        </is>
      </c>
      <c r="M496" s="19" t="n">
        <v>2018</v>
      </c>
      <c r="N496" s="19">
        <f>IF(AND(OR(YearFilter="All",$M496=YearFilter),OR(RatingFilter="All",$I496=RatingFilter),OR(TypeFilter="All",$B496=TypeFilter),OR(GenreFilter="All",COUNTIFS(tblGenre[show_id],$A496,tblGenre[Genre],GenreFilter)&gt;0)),1,0)</f>
        <v/>
      </c>
    </row>
    <row r="497" ht="15" customHeight="1" s="20">
      <c r="A497" s="19" t="inlineStr">
        <is>
          <t>s4561</t>
        </is>
      </c>
      <c r="B497" s="19" t="inlineStr">
        <is>
          <t>Movie</t>
        </is>
      </c>
      <c r="C497" s="19" t="inlineStr">
        <is>
          <t>Bathinda Express</t>
        </is>
      </c>
      <c r="D497" s="19" t="inlineStr">
        <is>
          <t>Deep Joshi</t>
        </is>
      </c>
      <c r="E497" s="19" t="inlineStr">
        <is>
          <t>Deep Joshi, Jasmine Kaur, Mohit Bhaskar, Vijay S. Kumar, Prince Kanwaljit Singh, Tarlochan Singh, Harsh Sethi</t>
        </is>
      </c>
      <c r="F497" s="19" t="inlineStr">
        <is>
          <t>India</t>
        </is>
      </c>
      <c r="G497" s="19" t="inlineStr">
        <is>
          <t>2018-10-01</t>
        </is>
      </c>
      <c r="H497" s="19" t="n">
        <v>2016</v>
      </c>
      <c r="I497" s="19" t="inlineStr">
        <is>
          <t>TV-14</t>
        </is>
      </c>
      <c r="J497" s="19" t="inlineStr">
        <is>
          <t>118 min</t>
        </is>
      </c>
      <c r="K497" s="19" t="inlineStr">
        <is>
          <t>Dramas, International Movies, Sports Movies</t>
        </is>
      </c>
      <c r="L497" s="19" t="inlineStr">
        <is>
          <t>An ambitious young athlete endeavors to revive his floundering running career after falling prey to negative influences.</t>
        </is>
      </c>
      <c r="M497" s="19" t="n">
        <v>2018</v>
      </c>
      <c r="N497" s="19">
        <f>IF(AND(OR(YearFilter="All",$M497=YearFilter),OR(RatingFilter="All",$I497=RatingFilter),OR(TypeFilter="All",$B497=TypeFilter),OR(GenreFilter="All",COUNTIFS(tblGenre[show_id],$A497,tblGenre[Genre],GenreFilter)&gt;0)),1,0)</f>
        <v/>
      </c>
    </row>
    <row r="498" ht="15" customHeight="1" s="20">
      <c r="A498" s="19" t="inlineStr">
        <is>
          <t>s4562</t>
        </is>
      </c>
      <c r="B498" s="19" t="inlineStr">
        <is>
          <t>Movie</t>
        </is>
      </c>
      <c r="C498" s="19" t="inlineStr">
        <is>
          <t>Delhi 6</t>
        </is>
      </c>
      <c r="D498" s="19" t="inlineStr">
        <is>
          <t>Rakeysh Omprakash Mehra</t>
        </is>
      </c>
      <c r="E498" s="19" t="inlineStr">
        <is>
          <t>Abhishek Bachchan, Sonam Kapoor, Waheeda Rehman, Om Puri, Prem Chopra, Atul Kulkarni, Pavan Malhotra, Divya Dutta, Deepak Dobriyal, Sheeba Chaddha</t>
        </is>
      </c>
      <c r="F498" s="19" t="inlineStr">
        <is>
          <t>India</t>
        </is>
      </c>
      <c r="G498" s="19" t="inlineStr">
        <is>
          <t>2018-10-01</t>
        </is>
      </c>
      <c r="H498" s="19" t="n">
        <v>2009</v>
      </c>
      <c r="I498" s="19" t="inlineStr">
        <is>
          <t>TV-14</t>
        </is>
      </c>
      <c r="J498" s="19" t="inlineStr">
        <is>
          <t>128 min</t>
        </is>
      </c>
      <c r="K498" s="19" t="inlineStr">
        <is>
          <t>Dramas, International Movies</t>
        </is>
      </c>
      <c r="L498" s="19" t="inlineStr">
        <is>
          <t>In the ancient walled city of Delhi, an American-born Indian finds himself on an unexpected inner journey as he learns about himself and his roots.</t>
        </is>
      </c>
      <c r="M498" s="19" t="n">
        <v>2018</v>
      </c>
      <c r="N498" s="19">
        <f>IF(AND(OR(YearFilter="All",$M498=YearFilter),OR(RatingFilter="All",$I498=RatingFilter),OR(TypeFilter="All",$B498=TypeFilter),OR(GenreFilter="All",COUNTIFS(tblGenre[show_id],$A498,tblGenre[Genre],GenreFilter)&gt;0)),1,0)</f>
        <v/>
      </c>
    </row>
    <row r="499" ht="15" customHeight="1" s="20">
      <c r="A499" s="19" t="inlineStr">
        <is>
          <t>s4563</t>
        </is>
      </c>
      <c r="B499" s="19" t="inlineStr">
        <is>
          <t>Movie</t>
        </is>
      </c>
      <c r="C499" s="19" t="inlineStr">
        <is>
          <t>Dev.D</t>
        </is>
      </c>
      <c r="D499" s="19" t="inlineStr">
        <is>
          <t>Anurag Kashyap</t>
        </is>
      </c>
      <c r="E499" s="19" t="inlineStr">
        <is>
          <t>Abhay Deol, Mahie Gill, Kalki Koechlin, Sindbad Phgura, Ammo 'Too Sweet', Jimi the Quiff, Parakh Madan</t>
        </is>
      </c>
      <c r="F499" s="19" t="inlineStr">
        <is>
          <t>India</t>
        </is>
      </c>
      <c r="G499" s="19" t="inlineStr">
        <is>
          <t>2018-10-01</t>
        </is>
      </c>
      <c r="H499" s="19" t="n">
        <v>2009</v>
      </c>
      <c r="I499" s="19" t="inlineStr">
        <is>
          <t>TV-MA</t>
        </is>
      </c>
      <c r="J499" s="19" t="inlineStr">
        <is>
          <t>137 min</t>
        </is>
      </c>
      <c r="K499" s="19" t="inlineStr">
        <is>
          <t>Dramas, International Movies, Romantic Movies</t>
        </is>
      </c>
      <c r="L499" s="19" t="inlineStr">
        <is>
          <t>Because they come from different castes, the son of a tax collector and his true love are not allowed to marry, sending them down divergent paths.</t>
        </is>
      </c>
      <c r="M499" s="19" t="n">
        <v>2018</v>
      </c>
      <c r="N499" s="19">
        <f>IF(AND(OR(YearFilter="All",$M499=YearFilter),OR(RatingFilter="All",$I499=RatingFilter),OR(TypeFilter="All",$B499=TypeFilter),OR(GenreFilter="All",COUNTIFS(tblGenre[show_id],$A499,tblGenre[Genre],GenreFilter)&gt;0)),1,0)</f>
        <v/>
      </c>
    </row>
    <row r="500" ht="15" customHeight="1" s="20">
      <c r="A500" s="19" t="inlineStr">
        <is>
          <t>s4564</t>
        </is>
      </c>
      <c r="B500" s="19" t="inlineStr">
        <is>
          <t>Movie</t>
        </is>
      </c>
      <c r="C500" s="19" t="inlineStr">
        <is>
          <t>Dil Vil Pyaar Vyaar</t>
        </is>
      </c>
      <c r="D500" s="19" t="inlineStr">
        <is>
          <t>Manjeet Maan</t>
        </is>
      </c>
      <c r="E500" s="19" t="inlineStr">
        <is>
          <t>Gurdas Maan, Neeru Bajwa, Jassi Gill, Rajiv Thakur, Khushdeed Maan, Manav Vij, Raj Jhinger, Shruti Sodhi, Meher Vij</t>
        </is>
      </c>
      <c r="F500" s="19" t="inlineStr">
        <is>
          <t>India</t>
        </is>
      </c>
      <c r="G500" s="19" t="inlineStr">
        <is>
          <t>2018-10-01</t>
        </is>
      </c>
      <c r="H500" s="19" t="n">
        <v>2014</v>
      </c>
      <c r="I500" s="19" t="inlineStr">
        <is>
          <t>TV-PG</t>
        </is>
      </c>
      <c r="J500" s="19" t="inlineStr">
        <is>
          <t>145 min</t>
        </is>
      </c>
      <c r="K500" s="19" t="inlineStr">
        <is>
          <t>International Movies, Music &amp; Musicals, Romantic Movies</t>
        </is>
      </c>
      <c r="L500" s="19" t="inlineStr">
        <is>
          <t>Agam Singh's brothers mean everything to him, so while he promises not to marry, he tries to get them to marry – but they want him to marry first.</t>
        </is>
      </c>
      <c r="M500" s="19" t="n">
        <v>2018</v>
      </c>
      <c r="N500" s="19">
        <f>IF(AND(OR(YearFilter="All",$M500=YearFilter),OR(RatingFilter="All",$I500=RatingFilter),OR(TypeFilter="All",$B500=TypeFilter),OR(GenreFilter="All",COUNTIFS(tblGenre[show_id],$A500,tblGenre[Genre],GenreFilter)&gt;0)),1,0)</f>
        <v/>
      </c>
    </row>
    <row r="501" ht="15" customHeight="1" s="20">
      <c r="A501" s="19" t="inlineStr">
        <is>
          <t>s4566</t>
        </is>
      </c>
      <c r="B501" s="19" t="inlineStr">
        <is>
          <t>Movie</t>
        </is>
      </c>
      <c r="C501" s="19" t="inlineStr">
        <is>
          <t>Ek Main Aur Ekk Tu</t>
        </is>
      </c>
      <c r="D501" s="19" t="inlineStr">
        <is>
          <t>Shakun Batra</t>
        </is>
      </c>
      <c r="E501" s="19" t="inlineStr">
        <is>
          <t>Kareena Kapoor, Imran Khan, Boman Irani, Ram Kapoor, Ratna Pathak Shah, Zenobia Shroff, Soniya Mehra, Akshat Verma, Dana Lewis, Rajesh Khattar</t>
        </is>
      </c>
      <c r="F501" s="19" t="inlineStr">
        <is>
          <t>India</t>
        </is>
      </c>
      <c r="G501" s="19" t="inlineStr">
        <is>
          <t>2018-10-01</t>
        </is>
      </c>
      <c r="H501" s="19" t="n">
        <v>2012</v>
      </c>
      <c r="I501" s="19" t="inlineStr">
        <is>
          <t>TV-14</t>
        </is>
      </c>
      <c r="J501" s="19" t="inlineStr">
        <is>
          <t>106 min</t>
        </is>
      </c>
      <c r="K501" s="19" t="inlineStr">
        <is>
          <t>Comedies, International Movies, Romantic Movies</t>
        </is>
      </c>
      <c r="L501" s="19" t="inlineStr">
        <is>
          <t>Bollywood stars Imran Khan and Kareena Kapoor pair up to play exceptionally dissimilar lovers in this lighthearted romantic comedy.</t>
        </is>
      </c>
      <c r="M501" s="19" t="n">
        <v>2018</v>
      </c>
      <c r="N501" s="19">
        <f>IF(AND(OR(YearFilter="All",$M501=YearFilter),OR(RatingFilter="All",$I501=RatingFilter),OR(TypeFilter="All",$B501=TypeFilter),OR(GenreFilter="All",COUNTIFS(tblGenre[show_id],$A501,tblGenre[Genre],GenreFilter)&gt;0)),1,0)</f>
        <v/>
      </c>
    </row>
    <row r="502" ht="15" customHeight="1" s="20">
      <c r="A502" s="19" t="inlineStr">
        <is>
          <t>s4568</t>
        </is>
      </c>
      <c r="B502" s="19" t="inlineStr">
        <is>
          <t>Movie</t>
        </is>
      </c>
      <c r="C502" s="19" t="inlineStr">
        <is>
          <t>Haani</t>
        </is>
      </c>
      <c r="D502" s="19" t="inlineStr">
        <is>
          <t>Amitoj Mann</t>
        </is>
      </c>
      <c r="E502" s="19" t="inlineStr">
        <is>
          <t>Sarabjit Cheema, Mahreen Kaleka, Harbhajan Mann, Anuj Sachdeva, Rupan Bal, Sonia Mann</t>
        </is>
      </c>
      <c r="F502" s="19" t="inlineStr">
        <is>
          <t>India</t>
        </is>
      </c>
      <c r="G502" s="19" t="inlineStr">
        <is>
          <t>2018-10-01</t>
        </is>
      </c>
      <c r="H502" s="19" t="n">
        <v>2013</v>
      </c>
      <c r="I502" s="19" t="inlineStr">
        <is>
          <t>TV-14</t>
        </is>
      </c>
      <c r="J502" s="19" t="inlineStr">
        <is>
          <t>137 min</t>
        </is>
      </c>
      <c r="K502" s="19" t="inlineStr">
        <is>
          <t>Dramas, International Movies, Music &amp; Musicals</t>
        </is>
      </c>
      <c r="L502" s="19" t="inlineStr">
        <is>
          <t>When a man discovers that he can communicate with his grandfather's spirit, it leads to two love stories intertwining 50 years apart.</t>
        </is>
      </c>
      <c r="M502" s="19" t="n">
        <v>2018</v>
      </c>
      <c r="N502" s="19">
        <f>IF(AND(OR(YearFilter="All",$M502=YearFilter),OR(RatingFilter="All",$I502=RatingFilter),OR(TypeFilter="All",$B502=TypeFilter),OR(GenreFilter="All",COUNTIFS(tblGenre[show_id],$A502,tblGenre[Genre],GenreFilter)&gt;0)),1,0)</f>
        <v/>
      </c>
    </row>
    <row r="503" ht="15" customHeight="1" s="20">
      <c r="A503" s="19" t="inlineStr">
        <is>
          <t>s4569</t>
        </is>
      </c>
      <c r="B503" s="19" t="inlineStr">
        <is>
          <t>Movie</t>
        </is>
      </c>
      <c r="C503" s="19" t="inlineStr">
        <is>
          <t>Happy Go Lucky</t>
        </is>
      </c>
      <c r="D503" s="19" t="inlineStr">
        <is>
          <t>Amarpreet G S Chabbra</t>
        </is>
      </c>
      <c r="E503" s="19" t="inlineStr">
        <is>
          <t>Amrinder Gill, Harish Verma, Sumeet Sandhu, Gurpreet Guggi, B.N. Sharma, Praneet Bhatt, Kuldeep Sharma</t>
        </is>
      </c>
      <c r="F503" s="19" t="inlineStr">
        <is>
          <t>India</t>
        </is>
      </c>
      <c r="G503" s="19" t="inlineStr">
        <is>
          <t>2018-10-01</t>
        </is>
      </c>
      <c r="H503" s="19" t="n">
        <v>2014</v>
      </c>
      <c r="I503" s="19" t="inlineStr">
        <is>
          <t>TV-14</t>
        </is>
      </c>
      <c r="J503" s="19" t="inlineStr">
        <is>
          <t>129 min</t>
        </is>
      </c>
      <c r="K503" s="19" t="inlineStr">
        <is>
          <t>Comedies, International Movies, Music &amp; Musicals</t>
        </is>
      </c>
      <c r="L503" s="19" t="inlineStr">
        <is>
          <t>Three sisters seem to be ideal brides for three brothers. But when the girls' father won't allow the marriages, the boys use trickery to pull it off.</t>
        </is>
      </c>
      <c r="M503" s="19" t="n">
        <v>2018</v>
      </c>
      <c r="N503" s="19">
        <f>IF(AND(OR(YearFilter="All",$M503=YearFilter),OR(RatingFilter="All",$I503=RatingFilter),OR(TypeFilter="All",$B503=TypeFilter),OR(GenreFilter="All",COUNTIFS(tblGenre[show_id],$A503,tblGenre[Genre],GenreFilter)&gt;0)),1,0)</f>
        <v/>
      </c>
    </row>
    <row r="504" ht="15" customHeight="1" s="20">
      <c r="A504" s="19" t="inlineStr">
        <is>
          <t>s4570</t>
        </is>
      </c>
      <c r="B504" s="19" t="inlineStr">
        <is>
          <t>Movie</t>
        </is>
      </c>
      <c r="C504" s="19" t="inlineStr">
        <is>
          <t>Harishchandrachi Factory</t>
        </is>
      </c>
      <c r="D504" s="19" t="inlineStr">
        <is>
          <t>Paresh Mokashi</t>
        </is>
      </c>
      <c r="E504" s="19" t="inlineStr">
        <is>
          <t>Nandu Madhav, Vibhawari Deshpande, Ambarish Deshpande, Mohit Gokhale, Dilip Joglekar, Dheeresh Joshi, Ketan Karande, Atharva Karve, Mayur Khandge, Sandip Pathak</t>
        </is>
      </c>
      <c r="F504" s="19" t="inlineStr">
        <is>
          <t>India</t>
        </is>
      </c>
      <c r="G504" s="19" t="inlineStr">
        <is>
          <t>2018-10-01</t>
        </is>
      </c>
      <c r="H504" s="19" t="n">
        <v>2009</v>
      </c>
      <c r="I504" s="19" t="inlineStr">
        <is>
          <t>TV-PG</t>
        </is>
      </c>
      <c r="J504" s="19" t="inlineStr">
        <is>
          <t>99 min</t>
        </is>
      </c>
      <c r="K504" s="19" t="inlineStr">
        <is>
          <t>Dramas, International Movies</t>
        </is>
      </c>
      <c r="L504" s="19" t="inlineStr">
        <is>
          <t>Against a backdrop of burgeoning social unrest, a neophyte filmmaker makes history in 1913 as the director of India's first feature-length film.</t>
        </is>
      </c>
      <c r="M504" s="19" t="n">
        <v>2018</v>
      </c>
      <c r="N504" s="19">
        <f>IF(AND(OR(YearFilter="All",$M504=YearFilter),OR(RatingFilter="All",$I504=RatingFilter),OR(TypeFilter="All",$B504=TypeFilter),OR(GenreFilter="All",COUNTIFS(tblGenre[show_id],$A504,tblGenre[Genre],GenreFilter)&gt;0)),1,0)</f>
        <v/>
      </c>
    </row>
    <row r="505" ht="15" customHeight="1" s="20">
      <c r="A505" s="19" t="inlineStr">
        <is>
          <t>s4572</t>
        </is>
      </c>
      <c r="B505" s="19" t="inlineStr">
        <is>
          <t>Movie</t>
        </is>
      </c>
      <c r="C505" s="19" t="inlineStr">
        <is>
          <t>Jagga Jasoos</t>
        </is>
      </c>
      <c r="D505" s="19" t="inlineStr">
        <is>
          <t>Anurag Basu</t>
        </is>
      </c>
      <c r="E505" s="19" t="inlineStr">
        <is>
          <t>Ranbir Kapoor, Katrina Kaif, Saurabh Shukla, Saswata Chatterjee, Rajatabha Dutta, Saravajeet Tiwari</t>
        </is>
      </c>
      <c r="F505" s="19" t="inlineStr">
        <is>
          <t>India</t>
        </is>
      </c>
      <c r="G505" s="19" t="inlineStr">
        <is>
          <t>2018-10-01</t>
        </is>
      </c>
      <c r="H505" s="19" t="n">
        <v>2017</v>
      </c>
      <c r="I505" s="19" t="inlineStr">
        <is>
          <t>TV-14</t>
        </is>
      </c>
      <c r="J505" s="19" t="inlineStr">
        <is>
          <t>155 min</t>
        </is>
      </c>
      <c r="K505" s="19" t="inlineStr">
        <is>
          <t>Action &amp; Adventure, Comedies, International Movies</t>
        </is>
      </c>
      <c r="L505" s="19" t="inlineStr">
        <is>
          <t>An eccentric, self-proclaimed detective goes on an action-packed hunt for his missing father, with an awkward but adventurous journalist by his side.</t>
        </is>
      </c>
      <c r="M505" s="19" t="n">
        <v>2018</v>
      </c>
      <c r="N505" s="19">
        <f>IF(AND(OR(YearFilter="All",$M505=YearFilter),OR(RatingFilter="All",$I505=RatingFilter),OR(TypeFilter="All",$B505=TypeFilter),OR(GenreFilter="All",COUNTIFS(tblGenre[show_id],$A505,tblGenre[Genre],GenreFilter)&gt;0)),1,0)</f>
        <v/>
      </c>
    </row>
    <row r="506" ht="15" customHeight="1" s="20">
      <c r="A506" s="19" t="inlineStr">
        <is>
          <t>s4573</t>
        </is>
      </c>
      <c r="B506" s="19" t="inlineStr">
        <is>
          <t>Movie</t>
        </is>
      </c>
      <c r="C506" s="19" t="inlineStr">
        <is>
          <t>Jatt James Bond</t>
        </is>
      </c>
      <c r="D506" s="19" t="inlineStr">
        <is>
          <t>Rohit Jugraj</t>
        </is>
      </c>
      <c r="E506" s="19" t="inlineStr">
        <is>
          <t>Gippy Grewal, Gurpreet Guggi, Zarine Khan</t>
        </is>
      </c>
      <c r="F506" s="19" t="inlineStr">
        <is>
          <t>India</t>
        </is>
      </c>
      <c r="G506" s="19" t="inlineStr">
        <is>
          <t>2018-10-01</t>
        </is>
      </c>
      <c r="H506" s="19" t="n">
        <v>2014</v>
      </c>
      <c r="I506" s="19" t="inlineStr">
        <is>
          <t>TV-14</t>
        </is>
      </c>
      <c r="J506" s="19" t="inlineStr">
        <is>
          <t>142 min</t>
        </is>
      </c>
      <c r="K506" s="19" t="inlineStr">
        <is>
          <t>Comedies, Dramas, International Movies</t>
        </is>
      </c>
      <c r="L506" s="19" t="inlineStr">
        <is>
          <t>Shinda loves Laali but can't have her, so he and his friends come up with an elaborate plan to solve all their problems and win her.</t>
        </is>
      </c>
      <c r="M506" s="19" t="n">
        <v>2018</v>
      </c>
      <c r="N506" s="19">
        <f>IF(AND(OR(YearFilter="All",$M506=YearFilter),OR(RatingFilter="All",$I506=RatingFilter),OR(TypeFilter="All",$B506=TypeFilter),OR(GenreFilter="All",COUNTIFS(tblGenre[show_id],$A506,tblGenre[Genre],GenreFilter)&gt;0)),1,0)</f>
        <v/>
      </c>
    </row>
    <row r="507" ht="15" customHeight="1" s="20">
      <c r="A507" s="19" t="inlineStr">
        <is>
          <t>s4574</t>
        </is>
      </c>
      <c r="B507" s="19" t="inlineStr">
        <is>
          <t>Movie</t>
        </is>
      </c>
      <c r="C507" s="19" t="inlineStr">
        <is>
          <t>Jodhaa Akbar</t>
        </is>
      </c>
      <c r="D507" s="19" t="inlineStr">
        <is>
          <t>Ashutosh Gowariker</t>
        </is>
      </c>
      <c r="E507" s="19" t="inlineStr">
        <is>
          <t>Hrithik Roshan, Aishwarya Rai Bachchan, Sonu Sood, Poonam Sinha, Suhasini Mulay, Ila Arun, Raza Murad, Kulbhushan Kharbanda, Abeer Abrar</t>
        </is>
      </c>
      <c r="F507" s="19" t="inlineStr">
        <is>
          <t>India</t>
        </is>
      </c>
      <c r="G507" s="19" t="inlineStr">
        <is>
          <t>2018-10-01</t>
        </is>
      </c>
      <c r="H507" s="19" t="n">
        <v>2008</v>
      </c>
      <c r="I507" s="19" t="inlineStr">
        <is>
          <t>TV-14</t>
        </is>
      </c>
      <c r="J507" s="19" t="inlineStr">
        <is>
          <t>214 min</t>
        </is>
      </c>
      <c r="K507" s="19" t="inlineStr">
        <is>
          <t>Action &amp; Adventure, Dramas, International Movies</t>
        </is>
      </c>
      <c r="L507" s="19" t="inlineStr">
        <is>
          <t>In 16th-century India, what begins as a strategic alliance between a Mughal emperor and a Hindu princess becomes a genuine opportunity for true love.</t>
        </is>
      </c>
      <c r="M507" s="19" t="n">
        <v>2018</v>
      </c>
      <c r="N507" s="19">
        <f>IF(AND(OR(YearFilter="All",$M507=YearFilter),OR(RatingFilter="All",$I507=RatingFilter),OR(TypeFilter="All",$B507=TypeFilter),OR(GenreFilter="All",COUNTIFS(tblGenre[show_id],$A507,tblGenre[Genre],GenreFilter)&gt;0)),1,0)</f>
        <v/>
      </c>
    </row>
    <row r="508" ht="15" customHeight="1" s="20">
      <c r="A508" s="19" t="inlineStr">
        <is>
          <t>s4575</t>
        </is>
      </c>
      <c r="B508" s="19" t="inlineStr">
        <is>
          <t>Movie</t>
        </is>
      </c>
      <c r="C508" s="19" t="inlineStr">
        <is>
          <t>Judge Singh LLB</t>
        </is>
      </c>
      <c r="D508" s="19" t="inlineStr">
        <is>
          <t>Atharv Baluja</t>
        </is>
      </c>
      <c r="E508" s="19" t="inlineStr">
        <is>
          <t>Ravinder Grewal, B.N. Sharma, Sardar Sohi, Chandan Prabhakar, Anita Devgan, Harpal Singh, Hardeep Gill, Surbhi Mahendru</t>
        </is>
      </c>
      <c r="F508" s="19" t="inlineStr">
        <is>
          <t>India</t>
        </is>
      </c>
      <c r="G508" s="19" t="inlineStr">
        <is>
          <t>2018-10-01</t>
        </is>
      </c>
      <c r="H508" s="19" t="n">
        <v>2015</v>
      </c>
      <c r="I508" s="19" t="inlineStr">
        <is>
          <t>TV-PG</t>
        </is>
      </c>
      <c r="J508" s="19" t="inlineStr">
        <is>
          <t>137 min</t>
        </is>
      </c>
      <c r="K508" s="19" t="inlineStr">
        <is>
          <t>Comedies, Dramas, International Movies</t>
        </is>
      </c>
      <c r="L508" s="19" t="inlineStr">
        <is>
          <t>Framed by a politician for committing murder, a lower-class boy hires the only counsel he can afford: a lawyer with no courtroom experience.</t>
        </is>
      </c>
      <c r="M508" s="19" t="n">
        <v>2018</v>
      </c>
      <c r="N508" s="19">
        <f>IF(AND(OR(YearFilter="All",$M508=YearFilter),OR(RatingFilter="All",$I508=RatingFilter),OR(TypeFilter="All",$B508=TypeFilter),OR(GenreFilter="All",COUNTIFS(tblGenre[show_id],$A508,tblGenre[Genre],GenreFilter)&gt;0)),1,0)</f>
        <v/>
      </c>
    </row>
    <row r="509" ht="15" customHeight="1" s="20">
      <c r="A509" s="19" t="inlineStr">
        <is>
          <t>s4576</t>
        </is>
      </c>
      <c r="B509" s="19" t="inlineStr">
        <is>
          <t>Movie</t>
        </is>
      </c>
      <c r="C509" s="19" t="inlineStr">
        <is>
          <t>Kaminey</t>
        </is>
      </c>
      <c r="D509" s="19" t="inlineStr">
        <is>
          <t>Vishal Bhardwaj</t>
        </is>
      </c>
      <c r="E509" s="19" t="inlineStr">
        <is>
          <t>Shahid Kapoor, Priyanka Chopra, Deb Mukherjee, Shivkumar Subramaniam, Chandan Roy Sanyal, Hrishikesh Joshi, Amole Gupte, Patricia Bull, Carlos Paca, Eric Santos</t>
        </is>
      </c>
      <c r="F509" s="19" t="inlineStr">
        <is>
          <t>India</t>
        </is>
      </c>
      <c r="G509" s="19" t="inlineStr">
        <is>
          <t>2018-10-01</t>
        </is>
      </c>
      <c r="H509" s="19" t="n">
        <v>2009</v>
      </c>
      <c r="I509" s="19" t="inlineStr">
        <is>
          <t>TV-14</t>
        </is>
      </c>
      <c r="J509" s="19" t="inlineStr">
        <is>
          <t>128 min</t>
        </is>
      </c>
      <c r="K509" s="19" t="inlineStr">
        <is>
          <t>Dramas, International Movies, Music &amp; Musicals</t>
        </is>
      </c>
      <c r="L509" s="19" t="inlineStr">
        <is>
          <t>A young man pursues his dreams of wealth by breaking the law, while his twin brother tries to better his life through hard work and honesty.</t>
        </is>
      </c>
      <c r="M509" s="19" t="n">
        <v>2018</v>
      </c>
      <c r="N509" s="19">
        <f>IF(AND(OR(YearFilter="All",$M509=YearFilter),OR(RatingFilter="All",$I509=RatingFilter),OR(TypeFilter="All",$B509=TypeFilter),OR(GenreFilter="All",COUNTIFS(tblGenre[show_id],$A509,tblGenre[Genre],GenreFilter)&gt;0)),1,0)</f>
        <v/>
      </c>
    </row>
    <row r="510" ht="15" customHeight="1" s="20">
      <c r="A510" s="19" t="inlineStr">
        <is>
          <t>s4577</t>
        </is>
      </c>
      <c r="B510" s="19" t="inlineStr">
        <is>
          <t>Movie</t>
        </is>
      </c>
      <c r="C510" s="19" t="inlineStr">
        <is>
          <t>Khido Khundi</t>
        </is>
      </c>
      <c r="D510" s="19" t="inlineStr">
        <is>
          <t>Rohit Jugraj</t>
        </is>
      </c>
      <c r="E510" s="19" t="inlineStr">
        <is>
          <t>Ranjit Bawa, Mandy Takhar, Manav Vij, Elnaaz Norouzi, Mahavir Bhullar, Guggu Gill, Seema Kaushal, Sukhbir Singh</t>
        </is>
      </c>
      <c r="F510" s="19" t="inlineStr">
        <is>
          <t>India</t>
        </is>
      </c>
      <c r="G510" s="19" t="inlineStr">
        <is>
          <t>2018-10-01</t>
        </is>
      </c>
      <c r="H510" s="19" t="n">
        <v>2018</v>
      </c>
      <c r="I510" s="19" t="inlineStr">
        <is>
          <t>TV-14</t>
        </is>
      </c>
      <c r="J510" s="19" t="inlineStr">
        <is>
          <t>151 min</t>
        </is>
      </c>
      <c r="K510" s="19" t="inlineStr">
        <is>
          <t>Dramas, International Movies, Sports Movies</t>
        </is>
      </c>
      <c r="L510" s="19" t="inlineStr">
        <is>
          <t>An embittered former hockey star must engage with the sport again to help his brother assemble a team for a momentous match against the British.</t>
        </is>
      </c>
      <c r="M510" s="19" t="n">
        <v>2018</v>
      </c>
      <c r="N510" s="19">
        <f>IF(AND(OR(YearFilter="All",$M510=YearFilter),OR(RatingFilter="All",$I510=RatingFilter),OR(TypeFilter="All",$B510=TypeFilter),OR(GenreFilter="All",COUNTIFS(tblGenre[show_id],$A510,tblGenre[Genre],GenreFilter)&gt;0)),1,0)</f>
        <v/>
      </c>
    </row>
    <row r="511" ht="15" customHeight="1" s="20">
      <c r="A511" s="19" t="inlineStr">
        <is>
          <t>s4578</t>
        </is>
      </c>
      <c r="B511" s="19" t="inlineStr">
        <is>
          <t>Movie</t>
        </is>
      </c>
      <c r="C511" s="19" t="inlineStr">
        <is>
          <t>Khoobsurat</t>
        </is>
      </c>
      <c r="D511" s="19" t="inlineStr">
        <is>
          <t>Shashanka Ghosh</t>
        </is>
      </c>
      <c r="E511" s="19" t="inlineStr">
        <is>
          <t>Sonam Kapoor, Fawad Khan, Kiron Kher, Ratna Pathak Shah, Amir Raza Hussain, Ashok Banthia, Kaizaad Kotwal, Rishabh Chaddha</t>
        </is>
      </c>
      <c r="F511" s="19" t="inlineStr">
        <is>
          <t>India</t>
        </is>
      </c>
      <c r="G511" s="19" t="inlineStr">
        <is>
          <t>2018-10-01</t>
        </is>
      </c>
      <c r="H511" s="19" t="n">
        <v>2014</v>
      </c>
      <c r="I511" s="19" t="inlineStr">
        <is>
          <t>TV-14</t>
        </is>
      </c>
      <c r="J511" s="19" t="inlineStr">
        <is>
          <t>121 min</t>
        </is>
      </c>
      <c r="K511" s="19" t="inlineStr">
        <is>
          <t>Comedies, International Movies, Romantic Movies</t>
        </is>
      </c>
      <c r="L511" s="19" t="inlineStr">
        <is>
          <t>A free-spirited doctor is hired to assist an injured king and winds up challenging his family's tradition-bound lifestyle as she falls for his son.</t>
        </is>
      </c>
      <c r="M511" s="19" t="n">
        <v>2018</v>
      </c>
      <c r="N511" s="19">
        <f>IF(AND(OR(YearFilter="All",$M511=YearFilter),OR(RatingFilter="All",$I511=RatingFilter),OR(TypeFilter="All",$B511=TypeFilter),OR(GenreFilter="All",COUNTIFS(tblGenre[show_id],$A511,tblGenre[Genre],GenreFilter)&gt;0)),1,0)</f>
        <v/>
      </c>
    </row>
    <row r="512" ht="15" customHeight="1" s="20">
      <c r="A512" s="19" t="inlineStr">
        <is>
          <t>s4579</t>
        </is>
      </c>
      <c r="B512" s="19" t="inlineStr">
        <is>
          <t>Movie</t>
        </is>
      </c>
      <c r="C512" s="19" t="inlineStr">
        <is>
          <t>Kisaan</t>
        </is>
      </c>
      <c r="D512" s="19" t="inlineStr">
        <is>
          <t>Puneet Sira</t>
        </is>
      </c>
      <c r="E512" s="19" t="inlineStr">
        <is>
          <t>Jackie Shroff, Arbaaz Khan, Sohail Khan, Diya Mirza, Nauheed Cyrusi, Sharat Saxena, Dalip Tahil, Vishwajeet Pradhan, Sarfaraz Khan</t>
        </is>
      </c>
      <c r="F512" s="19" t="inlineStr">
        <is>
          <t>India</t>
        </is>
      </c>
      <c r="G512" s="19" t="inlineStr">
        <is>
          <t>2018-10-01</t>
        </is>
      </c>
      <c r="H512" s="19" t="n">
        <v>2009</v>
      </c>
      <c r="I512" s="19" t="inlineStr">
        <is>
          <t>TV-14</t>
        </is>
      </c>
      <c r="J512" s="19" t="inlineStr">
        <is>
          <t>101 min</t>
        </is>
      </c>
      <c r="K512" s="19" t="inlineStr">
        <is>
          <t>Action &amp; Adventure, Dramas, International Movies</t>
        </is>
      </c>
      <c r="L512" s="19" t="inlineStr">
        <is>
          <t>A bitter family battle ensues between a father and his sons when a businessman makes a deal that entices farmers to sell off their properties.</t>
        </is>
      </c>
      <c r="M512" s="19" t="n">
        <v>2018</v>
      </c>
      <c r="N512" s="19">
        <f>IF(AND(OR(YearFilter="All",$M512=YearFilter),OR(RatingFilter="All",$I512=RatingFilter),OR(TypeFilter="All",$B512=TypeFilter),OR(GenreFilter="All",COUNTIFS(tblGenre[show_id],$A512,tblGenre[Genre],GenreFilter)&gt;0)),1,0)</f>
        <v/>
      </c>
    </row>
    <row r="513" ht="15" customHeight="1" s="20">
      <c r="A513" s="19" t="inlineStr">
        <is>
          <t>s4580</t>
        </is>
      </c>
      <c r="B513" s="19" t="inlineStr">
        <is>
          <t>Movie</t>
        </is>
      </c>
      <c r="C513" s="19" t="inlineStr">
        <is>
          <t>Kismat Konnection</t>
        </is>
      </c>
      <c r="D513" s="19" t="inlineStr">
        <is>
          <t>Aziz Mirza</t>
        </is>
      </c>
      <c r="E513" s="19" t="inlineStr">
        <is>
          <t>Shahid Kapoor, Vidya Balan, Juhi Chawla, Om Puri, Vishal Malhotra, Karanvir Bohra, Amit Varma</t>
        </is>
      </c>
      <c r="F513" s="19" t="inlineStr">
        <is>
          <t>India</t>
        </is>
      </c>
      <c r="G513" s="19" t="inlineStr">
        <is>
          <t>2018-10-01</t>
        </is>
      </c>
      <c r="H513" s="19" t="n">
        <v>2008</v>
      </c>
      <c r="I513" s="19" t="inlineStr">
        <is>
          <t>TV-14</t>
        </is>
      </c>
      <c r="J513" s="19" t="inlineStr">
        <is>
          <t>145 min</t>
        </is>
      </c>
      <c r="K513" s="19" t="inlineStr">
        <is>
          <t>Comedies, Dramas, International Movies</t>
        </is>
      </c>
      <c r="L513" s="19" t="inlineStr">
        <is>
          <t>A man finds his lucky charm in the form of a woman whom he had once clashed with on every level, but on whose presence he must now rely to succeed.</t>
        </is>
      </c>
      <c r="M513" s="19" t="n">
        <v>2018</v>
      </c>
      <c r="N513" s="19">
        <f>IF(AND(OR(YearFilter="All",$M513=YearFilter),OR(RatingFilter="All",$I513=RatingFilter),OR(TypeFilter="All",$B513=TypeFilter),OR(GenreFilter="All",COUNTIFS(tblGenre[show_id],$A513,tblGenre[Genre],GenreFilter)&gt;0)),1,0)</f>
        <v/>
      </c>
    </row>
    <row r="514" ht="15" customHeight="1" s="20">
      <c r="A514" s="19" t="inlineStr">
        <is>
          <t>s4581</t>
        </is>
      </c>
      <c r="B514" s="19" t="inlineStr">
        <is>
          <t>Movie</t>
        </is>
      </c>
      <c r="C514" s="19" t="inlineStr">
        <is>
          <t>Kurbaan</t>
        </is>
      </c>
      <c r="D514" s="19" t="inlineStr">
        <is>
          <t>Renzil D'Silva</t>
        </is>
      </c>
      <c r="E514" s="19" t="inlineStr">
        <is>
          <t>Kareena Kapoor, Saif Ali Khan, Om Puri, Diya Mirza, Vivek Oberoi, Kulbhushan Kharbanda, Kiron Kher, Rupinder Nagra, Nauheed Cyrusi</t>
        </is>
      </c>
      <c r="F514" s="19" t="inlineStr">
        <is>
          <t>India</t>
        </is>
      </c>
      <c r="G514" s="19" t="inlineStr">
        <is>
          <t>2018-10-01</t>
        </is>
      </c>
      <c r="H514" s="19" t="n">
        <v>2009</v>
      </c>
      <c r="I514" s="19" t="inlineStr">
        <is>
          <t>TV-14</t>
        </is>
      </c>
      <c r="J514" s="19" t="inlineStr">
        <is>
          <t>147 min</t>
        </is>
      </c>
      <c r="K514" s="19" t="inlineStr">
        <is>
          <t>International Movies, Thrillers</t>
        </is>
      </c>
      <c r="L514" s="19" t="inlineStr">
        <is>
          <t>When a young Indian couple moves to the American suburbs, they are shocked to discover that they've become enmeshed in a secret terrorist plot.</t>
        </is>
      </c>
      <c r="M514" s="19" t="n">
        <v>2018</v>
      </c>
      <c r="N514" s="19">
        <f>IF(AND(OR(YearFilter="All",$M514=YearFilter),OR(RatingFilter="All",$I514=RatingFilter),OR(TypeFilter="All",$B514=TypeFilter),OR(GenreFilter="All",COUNTIFS(tblGenre[show_id],$A514,tblGenre[Genre],GenreFilter)&gt;0)),1,0)</f>
        <v/>
      </c>
    </row>
    <row r="515" ht="15" customHeight="1" s="20">
      <c r="A515" s="19" t="inlineStr">
        <is>
          <t>s4582</t>
        </is>
      </c>
      <c r="B515" s="19" t="inlineStr">
        <is>
          <t>Movie</t>
        </is>
      </c>
      <c r="C515" s="19" t="inlineStr">
        <is>
          <t>Lock</t>
        </is>
      </c>
      <c r="D515" s="19" t="inlineStr">
        <is>
          <t>Smeep Kang</t>
        </is>
      </c>
      <c r="E515" s="19" t="inlineStr">
        <is>
          <t>Gippy Grewal, Gurpreet Guggi, Smeep Kang, Geeta Basra, Karamjit Anmol, Harpal Singh, Vikram Grover, Priyanka Sharma</t>
        </is>
      </c>
      <c r="F515" s="19" t="inlineStr">
        <is>
          <t>India</t>
        </is>
      </c>
      <c r="G515" s="19" t="inlineStr">
        <is>
          <t>2018-10-01</t>
        </is>
      </c>
      <c r="H515" s="19" t="n">
        <v>2016</v>
      </c>
      <c r="I515" s="19" t="inlineStr">
        <is>
          <t>TV-14</t>
        </is>
      </c>
      <c r="J515" s="19" t="inlineStr">
        <is>
          <t>90 min</t>
        </is>
      </c>
      <c r="K515" s="19" t="inlineStr">
        <is>
          <t>Dramas, International Movies</t>
        </is>
      </c>
      <c r="L515" s="19" t="inlineStr">
        <is>
          <t>A disillusioned rickshaw driver in Punjab dreams of moving to Dubai, but his plan to butter up his would-be benefactor goes horribly wrong.</t>
        </is>
      </c>
      <c r="M515" s="19" t="n">
        <v>2018</v>
      </c>
      <c r="N515" s="19">
        <f>IF(AND(OR(YearFilter="All",$M515=YearFilter),OR(RatingFilter="All",$I515=RatingFilter),OR(TypeFilter="All",$B515=TypeFilter),OR(GenreFilter="All",COUNTIFS(tblGenre[show_id],$A515,tblGenre[Genre],GenreFilter)&gt;0)),1,0)</f>
        <v/>
      </c>
    </row>
    <row r="516" ht="15" customHeight="1" s="20">
      <c r="A516" s="19" t="inlineStr">
        <is>
          <t>s4583</t>
        </is>
      </c>
      <c r="B516" s="19" t="inlineStr">
        <is>
          <t>Movie</t>
        </is>
      </c>
      <c r="C516" s="19" t="inlineStr">
        <is>
          <t>Luv Shuv Tey Chicken Khurana</t>
        </is>
      </c>
      <c r="D516" s="19" t="inlineStr">
        <is>
          <t>Sameer Sharma</t>
        </is>
      </c>
      <c r="E516" s="19" t="inlineStr">
        <is>
          <t>Kunal Kapoor, Huma Qureshi, Rajesh Sharma, Vipin Sharma, Dolly Ahluwalia, Vinod Nagpal, Rahul Bagga, Rajendra Sethi, Munish Makhija, Herry Tangri</t>
        </is>
      </c>
      <c r="F516" s="19" t="inlineStr">
        <is>
          <t>India</t>
        </is>
      </c>
      <c r="G516" s="19" t="inlineStr">
        <is>
          <t>2018-10-01</t>
        </is>
      </c>
      <c r="H516" s="19" t="n">
        <v>2012</v>
      </c>
      <c r="I516" s="19" t="inlineStr">
        <is>
          <t>TV-14</t>
        </is>
      </c>
      <c r="J516" s="19" t="inlineStr">
        <is>
          <t>129 min</t>
        </is>
      </c>
      <c r="K516" s="19" t="inlineStr">
        <is>
          <t>Comedies, International Movies, Romantic Movies</t>
        </is>
      </c>
      <c r="L516" s="19" t="inlineStr">
        <is>
          <t>Fleeing London to evade a gangland debt collector, Omi Khurana returns to his native village in India, passing himself off as a successful lawyer.</t>
        </is>
      </c>
      <c r="M516" s="19" t="n">
        <v>2018</v>
      </c>
      <c r="N516" s="19">
        <f>IF(AND(OR(YearFilter="All",$M516=YearFilter),OR(RatingFilter="All",$I516=RatingFilter),OR(TypeFilter="All",$B516=TypeFilter),OR(GenreFilter="All",COUNTIFS(tblGenre[show_id],$A516,tblGenre[Genre],GenreFilter)&gt;0)),1,0)</f>
        <v/>
      </c>
    </row>
    <row r="517" ht="15" customHeight="1" s="20">
      <c r="A517" s="19" t="inlineStr">
        <is>
          <t>s4584</t>
        </is>
      </c>
      <c r="B517" s="19" t="inlineStr">
        <is>
          <t>Movie</t>
        </is>
      </c>
      <c r="C517" s="19" t="inlineStr">
        <is>
          <t>Main, Meri Patni Aur Woh</t>
        </is>
      </c>
      <c r="D517" s="19" t="inlineStr">
        <is>
          <t>Chandan Arora</t>
        </is>
      </c>
      <c r="E517" s="19" t="inlineStr">
        <is>
          <t>Rajpal Yadav, Rituparna Sengupta, Kay Kay Menon, Varun Bandola, Vinod Nagpal, Naseeruddin Shah</t>
        </is>
      </c>
      <c r="F517" s="19" t="inlineStr">
        <is>
          <t>India</t>
        </is>
      </c>
      <c r="G517" s="19" t="inlineStr">
        <is>
          <t>2018-10-01</t>
        </is>
      </c>
      <c r="H517" s="19" t="n">
        <v>2005</v>
      </c>
      <c r="I517" s="19" t="inlineStr">
        <is>
          <t>TV-PG</t>
        </is>
      </c>
      <c r="J517" s="19" t="inlineStr">
        <is>
          <t>129 min</t>
        </is>
      </c>
      <c r="K517" s="19" t="inlineStr">
        <is>
          <t>Comedies, Dramas, International Movies</t>
        </is>
      </c>
      <c r="L517" s="19" t="inlineStr">
        <is>
          <t>An ordinary-looking guy weds the woman of his dreams, but his jealousy threatens to destroy their union in this lighthearted tale of marital mismatch.</t>
        </is>
      </c>
      <c r="M517" s="19" t="n">
        <v>2018</v>
      </c>
      <c r="N517" s="19">
        <f>IF(AND(OR(YearFilter="All",$M517=YearFilter),OR(RatingFilter="All",$I517=RatingFilter),OR(TypeFilter="All",$B517=TypeFilter),OR(GenreFilter="All",COUNTIFS(tblGenre[show_id],$A517,tblGenre[Genre],GenreFilter)&gt;0)),1,0)</f>
        <v/>
      </c>
    </row>
    <row r="518" ht="15" customHeight="1" s="20">
      <c r="A518" s="19" t="inlineStr">
        <is>
          <t>s4585</t>
        </is>
      </c>
      <c r="B518" s="19" t="inlineStr">
        <is>
          <t>Movie</t>
        </is>
      </c>
      <c r="C518" s="19" t="inlineStr">
        <is>
          <t>Manje Bistre</t>
        </is>
      </c>
      <c r="D518" s="19" t="inlineStr">
        <is>
          <t>Baljit Singh Deo</t>
        </is>
      </c>
      <c r="E518" s="19" t="inlineStr">
        <is>
          <t>Gippy Grewal, Sonam Bajwa, Karamjit Anmol, Jaggi Singh, B.N. Sharma, Hobby Dhaliwal, Rana Ranbir, Sardar Sohi, Anita Devgan, Harby Sangha</t>
        </is>
      </c>
      <c r="F518" s="19" t="inlineStr">
        <is>
          <t>India</t>
        </is>
      </c>
      <c r="G518" s="19" t="inlineStr">
        <is>
          <t>2018-10-01</t>
        </is>
      </c>
      <c r="H518" s="19" t="n">
        <v>2017</v>
      </c>
      <c r="I518" s="19" t="inlineStr">
        <is>
          <t>TV-14</t>
        </is>
      </c>
      <c r="J518" s="19" t="inlineStr">
        <is>
          <t>136 min</t>
        </is>
      </c>
      <c r="K518" s="19" t="inlineStr">
        <is>
          <t>Comedies, Dramas, International Movies</t>
        </is>
      </c>
      <c r="L518" s="19" t="inlineStr">
        <is>
          <t>While prepping for a family wedding, a young man falls for his sister’s friend, who has already been promised to someone else.</t>
        </is>
      </c>
      <c r="M518" s="19" t="n">
        <v>2018</v>
      </c>
      <c r="N518" s="19">
        <f>IF(AND(OR(YearFilter="All",$M518=YearFilter),OR(RatingFilter="All",$I518=RatingFilter),OR(TypeFilter="All",$B518=TypeFilter),OR(GenreFilter="All",COUNTIFS(tblGenre[show_id],$A518,tblGenre[Genre],GenreFilter)&gt;0)),1,0)</f>
        <v/>
      </c>
    </row>
    <row r="519" ht="15" customHeight="1" s="20">
      <c r="A519" s="19" t="inlineStr">
        <is>
          <t>s4586</t>
        </is>
      </c>
      <c r="B519" s="19" t="inlineStr">
        <is>
          <t>Movie</t>
        </is>
      </c>
      <c r="C519" s="19" t="inlineStr">
        <is>
          <t>Motor Mitraan Di</t>
        </is>
      </c>
      <c r="D519" s="19" t="inlineStr">
        <is>
          <t>Amitoj Mann</t>
        </is>
      </c>
      <c r="E519" s="19" t="inlineStr">
        <is>
          <t>Gurpreet Guggi, Happy Raikoti, Vikram Singh, Sonia Mann, Yograj Singh, Sardar Sohi, Harsharan Singh, Anita Meet, Prakash Gadhu, Gurmeet Sajan</t>
        </is>
      </c>
      <c r="F519" s="19" t="inlineStr">
        <is>
          <t>India</t>
        </is>
      </c>
      <c r="G519" s="19" t="inlineStr">
        <is>
          <t>2018-10-01</t>
        </is>
      </c>
      <c r="H519" s="19" t="n">
        <v>2016</v>
      </c>
      <c r="I519" s="19" t="inlineStr">
        <is>
          <t>TV-PG</t>
        </is>
      </c>
      <c r="J519" s="19" t="inlineStr">
        <is>
          <t>117 min</t>
        </is>
      </c>
      <c r="K519" s="19" t="inlineStr">
        <is>
          <t>Comedies, International Movies</t>
        </is>
      </c>
      <c r="L519" s="19" t="inlineStr">
        <is>
          <t>When three brothers unwittingly get entangled in a murder associated with a fraudulent ashram leader, they set out to expose him to society as a fake.</t>
        </is>
      </c>
      <c r="M519" s="19" t="n">
        <v>2018</v>
      </c>
      <c r="N519" s="19">
        <f>IF(AND(OR(YearFilter="All",$M519=YearFilter),OR(RatingFilter="All",$I519=RatingFilter),OR(TypeFilter="All",$B519=TypeFilter),OR(GenreFilter="All",COUNTIFS(tblGenre[show_id],$A519,tblGenre[Genre],GenreFilter)&gt;0)),1,0)</f>
        <v/>
      </c>
    </row>
    <row r="520" ht="15" customHeight="1" s="20">
      <c r="A520" s="19" t="inlineStr">
        <is>
          <t>s4587</t>
        </is>
      </c>
      <c r="B520" s="19" t="inlineStr">
        <is>
          <t>Movie</t>
        </is>
      </c>
      <c r="C520" s="19" t="inlineStr">
        <is>
          <t>Mugamoodi</t>
        </is>
      </c>
      <c r="D520" s="19" t="inlineStr">
        <is>
          <t>Mysskin</t>
        </is>
      </c>
      <c r="E520" s="19" t="inlineStr">
        <is>
          <t>Jiiva, Pooja Hegde, Narain, Nasser, Girish Karnad, Anupama Kumar, Selvaah</t>
        </is>
      </c>
      <c r="F520" s="19" t="inlineStr">
        <is>
          <t>India</t>
        </is>
      </c>
      <c r="G520" s="19" t="inlineStr">
        <is>
          <t>2018-10-01</t>
        </is>
      </c>
      <c r="H520" s="19" t="n">
        <v>2012</v>
      </c>
      <c r="I520" s="19" t="inlineStr">
        <is>
          <t>TV-14</t>
        </is>
      </c>
      <c r="J520" s="19" t="inlineStr">
        <is>
          <t>150 min</t>
        </is>
      </c>
      <c r="K520" s="19" t="inlineStr">
        <is>
          <t>Action &amp; Adventure, International Movies</t>
        </is>
      </c>
      <c r="L520" s="19" t="inlineStr">
        <is>
          <t>A martial arts specialist accidentally becomes a superhero when he steps in – in costume – to help the cops catch a criminal.</t>
        </is>
      </c>
      <c r="M520" s="19" t="n">
        <v>2018</v>
      </c>
      <c r="N520" s="19">
        <f>IF(AND(OR(YearFilter="All",$M520=YearFilter),OR(RatingFilter="All",$I520=RatingFilter),OR(TypeFilter="All",$B520=TypeFilter),OR(GenreFilter="All",COUNTIFS(tblGenre[show_id],$A520,tblGenre[Genre],GenreFilter)&gt;0)),1,0)</f>
        <v/>
      </c>
    </row>
    <row r="521" ht="15" customHeight="1" s="20">
      <c r="A521" s="19" t="inlineStr">
        <is>
          <t>s4588</t>
        </is>
      </c>
      <c r="B521" s="19" t="inlineStr">
        <is>
          <t>Movie</t>
        </is>
      </c>
      <c r="C521" s="19" t="inlineStr">
        <is>
          <t>Muran</t>
        </is>
      </c>
      <c r="D521" s="19" t="inlineStr">
        <is>
          <t>Rajan Madhav</t>
        </is>
      </c>
      <c r="E521" s="19" t="inlineStr">
        <is>
          <t>Prasanna, Cheran, Haripriya, Nikhita, Suma Bhattacharya, Jayaprakash</t>
        </is>
      </c>
      <c r="F521" s="19" t="inlineStr">
        <is>
          <t>India</t>
        </is>
      </c>
      <c r="G521" s="19" t="inlineStr">
        <is>
          <t>2018-10-01</t>
        </is>
      </c>
      <c r="H521" s="19" t="n">
        <v>2011</v>
      </c>
      <c r="I521" s="19" t="inlineStr">
        <is>
          <t>TV-14</t>
        </is>
      </c>
      <c r="J521" s="19" t="inlineStr">
        <is>
          <t>134 min</t>
        </is>
      </c>
      <c r="K521" s="19" t="inlineStr">
        <is>
          <t>Action &amp; Adventure, International Movies</t>
        </is>
      </c>
      <c r="L521" s="19" t="inlineStr">
        <is>
          <t>When jingle composer Nanda's car breaks down on his way to Chennai, he hitchhikes there with Arjun, who tries to rope Nanda into a shady deal.</t>
        </is>
      </c>
      <c r="M521" s="19" t="n">
        <v>2018</v>
      </c>
      <c r="N521" s="19">
        <f>IF(AND(OR(YearFilter="All",$M521=YearFilter),OR(RatingFilter="All",$I521=RatingFilter),OR(TypeFilter="All",$B521=TypeFilter),OR(GenreFilter="All",COUNTIFS(tblGenre[show_id],$A521,tblGenre[Genre],GenreFilter)&gt;0)),1,0)</f>
        <v/>
      </c>
    </row>
    <row r="522" ht="15" customHeight="1" s="20">
      <c r="A522" s="19" t="inlineStr">
        <is>
          <t>s4589</t>
        </is>
      </c>
      <c r="B522" s="19" t="inlineStr">
        <is>
          <t>Movie</t>
        </is>
      </c>
      <c r="C522" s="19" t="inlineStr">
        <is>
          <t>My Friend Pinto</t>
        </is>
      </c>
      <c r="D522" s="19" t="inlineStr">
        <is>
          <t>Raaghav Dar</t>
        </is>
      </c>
      <c r="E522" s="19" t="inlineStr">
        <is>
          <t>Prateik, Kalki Koechlin, Arjun Mathur, Shruti Seth, Makrand Deshpande, Divya Dutta, Rajendranath Zutshi, Amin Hajee, Karim Hajee, Shakeel Khan</t>
        </is>
      </c>
      <c r="F522" s="19" t="inlineStr">
        <is>
          <t>India</t>
        </is>
      </c>
      <c r="G522" s="19" t="inlineStr">
        <is>
          <t>2018-10-01</t>
        </is>
      </c>
      <c r="H522" s="19" t="n">
        <v>2011</v>
      </c>
      <c r="I522" s="19" t="inlineStr">
        <is>
          <t>TV-14</t>
        </is>
      </c>
      <c r="J522" s="19" t="inlineStr">
        <is>
          <t>100 min</t>
        </is>
      </c>
      <c r="K522" s="19" t="inlineStr">
        <is>
          <t>Comedies, International Movies, Sci-Fi &amp; Fantasy</t>
        </is>
      </c>
      <c r="L522" s="19" t="inlineStr">
        <is>
          <t>A bright-eyed villager comes face-to-face with the gritty realities of modern-day Mumbai when he sets out to find his childhood friend.</t>
        </is>
      </c>
      <c r="M522" s="19" t="n">
        <v>2018</v>
      </c>
      <c r="N522" s="19">
        <f>IF(AND(OR(YearFilter="All",$M522=YearFilter),OR(RatingFilter="All",$I522=RatingFilter),OR(TypeFilter="All",$B522=TypeFilter),OR(GenreFilter="All",COUNTIFS(tblGenre[show_id],$A522,tblGenre[Genre],GenreFilter)&gt;0)),1,0)</f>
        <v/>
      </c>
    </row>
    <row r="523" ht="15" customHeight="1" s="20">
      <c r="A523" s="19" t="inlineStr">
        <is>
          <t>s4593</t>
        </is>
      </c>
      <c r="B523" s="19" t="inlineStr">
        <is>
          <t>Movie</t>
        </is>
      </c>
      <c r="C523" s="19" t="inlineStr">
        <is>
          <t>Naan Sigappu Manithan</t>
        </is>
      </c>
      <c r="D523" s="19" t="inlineStr">
        <is>
          <t>Thiru</t>
        </is>
      </c>
      <c r="E523" s="19" t="inlineStr">
        <is>
          <t>Vishal, Lakshmi Menon, Saranya Ponvannan, Jayaprakash, Sunder Ramu, Jagan, Iniya, Chetan Cheenu</t>
        </is>
      </c>
      <c r="F523" s="19" t="inlineStr">
        <is>
          <t>India</t>
        </is>
      </c>
      <c r="G523" s="19" t="inlineStr">
        <is>
          <t>2018-10-01</t>
        </is>
      </c>
      <c r="H523" s="19" t="n">
        <v>2014</v>
      </c>
      <c r="I523" s="19" t="inlineStr">
        <is>
          <t>TV-14</t>
        </is>
      </c>
      <c r="J523" s="19" t="inlineStr">
        <is>
          <t>147 min</t>
        </is>
      </c>
      <c r="K523" s="19" t="inlineStr">
        <is>
          <t>Action &amp; Adventure, Dramas, International Movies</t>
        </is>
      </c>
      <c r="L523" s="19" t="inlineStr">
        <is>
          <t>After his sleeping disorder hinders him from protecting his girlfriend, a man sets out to take revenge on the thugs who attacked her.</t>
        </is>
      </c>
      <c r="M523" s="19" t="n">
        <v>2018</v>
      </c>
      <c r="N523" s="19">
        <f>IF(AND(OR(YearFilter="All",$M523=YearFilter),OR(RatingFilter="All",$I523=RatingFilter),OR(TypeFilter="All",$B523=TypeFilter),OR(GenreFilter="All",COUNTIFS(tblGenre[show_id],$A523,tblGenre[Genre],GenreFilter)&gt;0)),1,0)</f>
        <v/>
      </c>
    </row>
    <row r="524" ht="15" customHeight="1" s="20">
      <c r="A524" s="19" t="inlineStr">
        <is>
          <t>s4594</t>
        </is>
      </c>
      <c r="B524" s="19" t="inlineStr">
        <is>
          <t>Movie</t>
        </is>
      </c>
      <c r="C524" s="19" t="inlineStr">
        <is>
          <t>Nasha</t>
        </is>
      </c>
      <c r="D524" s="19" t="inlineStr">
        <is>
          <t>Amit Saxena</t>
        </is>
      </c>
      <c r="E524" s="19" t="inlineStr">
        <is>
          <t>Shivam Patil, Poonam Pandey, Sheetal Singh, Vishal Bhosle, Rohan Khurana, Ranbir Chakma, Raj Kesaria, Chirag Lobo</t>
        </is>
      </c>
      <c r="F524" s="19" t="inlineStr">
        <is>
          <t>India</t>
        </is>
      </c>
      <c r="G524" s="19" t="inlineStr">
        <is>
          <t>2018-10-01</t>
        </is>
      </c>
      <c r="H524" s="19" t="n">
        <v>2013</v>
      </c>
      <c r="I524" s="19" t="inlineStr">
        <is>
          <t>TV-14</t>
        </is>
      </c>
      <c r="J524" s="19" t="inlineStr">
        <is>
          <t>115 min</t>
        </is>
      </c>
      <c r="K524" s="19" t="inlineStr">
        <is>
          <t>Dramas, International Movies, Romantic Movies</t>
        </is>
      </c>
      <c r="L524" s="19" t="inlineStr">
        <is>
          <t>A teenage boy becomes smitten with his new drama teacher and pursues her, despite the perilous risks of being found out.</t>
        </is>
      </c>
      <c r="M524" s="19" t="n">
        <v>2018</v>
      </c>
      <c r="N524" s="19">
        <f>IF(AND(OR(YearFilter="All",$M524=YearFilter),OR(RatingFilter="All",$I524=RatingFilter),OR(TypeFilter="All",$B524=TypeFilter),OR(GenreFilter="All",COUNTIFS(tblGenre[show_id],$A524,tblGenre[Genre],GenreFilter)&gt;0)),1,0)</f>
        <v/>
      </c>
    </row>
    <row r="525" ht="15" customHeight="1" s="20">
      <c r="A525" s="19" t="inlineStr">
        <is>
          <t>s4595</t>
        </is>
      </c>
      <c r="B525" s="19" t="inlineStr">
        <is>
          <t>Movie</t>
        </is>
      </c>
      <c r="C525" s="19" t="inlineStr">
        <is>
          <t>Naughty Jatts</t>
        </is>
      </c>
      <c r="D525" s="19" t="inlineStr">
        <is>
          <t>Pankaj Batra</t>
        </is>
      </c>
      <c r="E525" s="19" t="inlineStr">
        <is>
          <t>Neeru Bajwa, Binnu Dhillon, Arya Babbar, Roshan Prince, B.N. Sharma, Karamjit Anmol, Harby Sangha</t>
        </is>
      </c>
      <c r="F525" s="19" t="inlineStr">
        <is>
          <t>India</t>
        </is>
      </c>
      <c r="G525" s="19" t="inlineStr">
        <is>
          <t>2018-10-01</t>
        </is>
      </c>
      <c r="H525" s="19" t="n">
        <v>2013</v>
      </c>
      <c r="I525" s="19" t="inlineStr">
        <is>
          <t>TV-PG</t>
        </is>
      </c>
      <c r="J525" s="19" t="inlineStr">
        <is>
          <t>121 min</t>
        </is>
      </c>
      <c r="K525" s="19" t="inlineStr">
        <is>
          <t>Comedies, International Movies, Music &amp; Musicals</t>
        </is>
      </c>
      <c r="L525" s="19" t="inlineStr">
        <is>
          <t>When three different boys propose to a lively, strictly reared girl who yearns to be a performer, she agrees to marry the winner of a singing contest.</t>
        </is>
      </c>
      <c r="M525" s="19" t="n">
        <v>2018</v>
      </c>
      <c r="N525" s="19">
        <f>IF(AND(OR(YearFilter="All",$M525=YearFilter),OR(RatingFilter="All",$I525=RatingFilter),OR(TypeFilter="All",$B525=TypeFilter),OR(GenreFilter="All",COUNTIFS(tblGenre[show_id],$A525,tblGenre[Genre],GenreFilter)&gt;0)),1,0)</f>
        <v/>
      </c>
    </row>
    <row r="526" ht="15" customHeight="1" s="20">
      <c r="A526" s="19" t="inlineStr">
        <is>
          <t>s4596</t>
        </is>
      </c>
      <c r="B526" s="19" t="inlineStr">
        <is>
          <t>Movie</t>
        </is>
      </c>
      <c r="C526" s="19" t="inlineStr">
        <is>
          <t>Needhi Singh</t>
        </is>
      </c>
      <c r="D526" s="19" t="inlineStr">
        <is>
          <t>Jaivi Dhanda</t>
        </is>
      </c>
      <c r="E526" s="19" t="inlineStr">
        <is>
          <t>Kulraj Randhawa, Nirmal Rishi, Ashish Duggal, Aman Sutdhar, Dally Daljit, Seema Kaushal, Shubh Ghumman, Karan Tiwana</t>
        </is>
      </c>
      <c r="F526" s="19" t="inlineStr">
        <is>
          <t>India</t>
        </is>
      </c>
      <c r="G526" s="19" t="inlineStr">
        <is>
          <t>2018-10-01</t>
        </is>
      </c>
      <c r="H526" s="19" t="n">
        <v>2016</v>
      </c>
      <c r="I526" s="19" t="inlineStr">
        <is>
          <t>TV-14</t>
        </is>
      </c>
      <c r="J526" s="19" t="inlineStr">
        <is>
          <t>103 min</t>
        </is>
      </c>
      <c r="K526" s="19" t="inlineStr">
        <is>
          <t>Action &amp; Adventure, Dramas, International Movies</t>
        </is>
      </c>
      <c r="L526" s="19" t="inlineStr">
        <is>
          <t>When her friend’s rapist evades punishment from the law, a determined young woman takes revenge into her own hands in this story based on real events.</t>
        </is>
      </c>
      <c r="M526" s="19" t="n">
        <v>2018</v>
      </c>
      <c r="N526" s="19">
        <f>IF(AND(OR(YearFilter="All",$M526=YearFilter),OR(RatingFilter="All",$I526=RatingFilter),OR(TypeFilter="All",$B526=TypeFilter),OR(GenreFilter="All",COUNTIFS(tblGenre[show_id],$A526,tblGenre[Genre],GenreFilter)&gt;0)),1,0)</f>
        <v/>
      </c>
    </row>
    <row r="527" ht="15" customHeight="1" s="20">
      <c r="A527" s="19" t="inlineStr">
        <is>
          <t>s4597</t>
        </is>
      </c>
      <c r="B527" s="19" t="inlineStr">
        <is>
          <t>Movie</t>
        </is>
      </c>
      <c r="C527" s="19" t="inlineStr">
        <is>
          <t>Peace Haven</t>
        </is>
      </c>
      <c r="D527" s="19" t="inlineStr">
        <is>
          <t>Suman Ghosh</t>
        </is>
      </c>
      <c r="E527" s="19" t="inlineStr">
        <is>
          <t>Soumitra Chatterjee, Paran Banerjee, Arun Mukherjee, Sujan Mukherjee</t>
        </is>
      </c>
      <c r="F527" s="19" t="inlineStr">
        <is>
          <t>India, United States</t>
        </is>
      </c>
      <c r="G527" s="19" t="inlineStr">
        <is>
          <t>2018-10-01</t>
        </is>
      </c>
      <c r="H527" s="19" t="n">
        <v>2016</v>
      </c>
      <c r="I527" s="19" t="inlineStr">
        <is>
          <t>TV-14</t>
        </is>
      </c>
      <c r="J527" s="19" t="inlineStr">
        <is>
          <t>73 min</t>
        </is>
      </c>
      <c r="K527" s="19" t="inlineStr">
        <is>
          <t>Comedies, Dramas, Independent Movies</t>
        </is>
      </c>
      <c r="L527" s="19" t="inlineStr">
        <is>
          <t>Complications around the cremation of their deceased friend inspire three septuagenarian friends to build their own mortuary.</t>
        </is>
      </c>
      <c r="M527" s="19" t="n">
        <v>2018</v>
      </c>
      <c r="N527" s="19">
        <f>IF(AND(OR(YearFilter="All",$M527=YearFilter),OR(RatingFilter="All",$I527=RatingFilter),OR(TypeFilter="All",$B527=TypeFilter),OR(GenreFilter="All",COUNTIFS(tblGenre[show_id],$A527,tblGenre[Genre],GenreFilter)&gt;0)),1,0)</f>
        <v/>
      </c>
    </row>
    <row r="528" ht="15" customHeight="1" s="20">
      <c r="A528" s="19" t="inlineStr">
        <is>
          <t>s4598</t>
        </is>
      </c>
      <c r="B528" s="19" t="inlineStr">
        <is>
          <t>Movie</t>
        </is>
      </c>
      <c r="C528" s="19" t="inlineStr">
        <is>
          <t>Phantom</t>
        </is>
      </c>
      <c r="D528" s="19" t="inlineStr">
        <is>
          <t>Kabir Khan</t>
        </is>
      </c>
      <c r="E528" s="19" t="inlineStr">
        <is>
          <t>Saif Ali Khan, Katrina Kaif, Sabyasachi Chakraborty, Mohammed Zeeshan Ayyub, Sohaila Kapoor, Denzil Smith</t>
        </is>
      </c>
      <c r="F528" s="19" t="inlineStr">
        <is>
          <t>India</t>
        </is>
      </c>
      <c r="G528" s="19" t="inlineStr">
        <is>
          <t>2018-10-01</t>
        </is>
      </c>
      <c r="H528" s="19" t="n">
        <v>2015</v>
      </c>
      <c r="I528" s="19" t="inlineStr">
        <is>
          <t>TV-14</t>
        </is>
      </c>
      <c r="J528" s="19" t="inlineStr">
        <is>
          <t>129 min</t>
        </is>
      </c>
      <c r="K528" s="19" t="inlineStr">
        <is>
          <t>Action &amp; Adventure, International Movies</t>
        </is>
      </c>
      <c r="L528" s="19" t="inlineStr">
        <is>
          <t>India's primary intelligence agency sends an enigmatic operative on a top-secret mission to avenge the 11/26 terrorist attack on Mumbai.</t>
        </is>
      </c>
      <c r="M528" s="19" t="n">
        <v>2018</v>
      </c>
      <c r="N528" s="19">
        <f>IF(AND(OR(YearFilter="All",$M528=YearFilter),OR(RatingFilter="All",$I528=RatingFilter),OR(TypeFilter="All",$B528=TypeFilter),OR(GenreFilter="All",COUNTIFS(tblGenre[show_id],$A528,tblGenre[Genre],GenreFilter)&gt;0)),1,0)</f>
        <v/>
      </c>
    </row>
    <row r="529" ht="15" customHeight="1" s="20">
      <c r="A529" s="19" t="inlineStr">
        <is>
          <t>s4599</t>
        </is>
      </c>
      <c r="B529" s="19" t="inlineStr">
        <is>
          <t>Movie</t>
        </is>
      </c>
      <c r="C529" s="19" t="inlineStr">
        <is>
          <t>Pizza</t>
        </is>
      </c>
      <c r="D529" s="19" t="inlineStr">
        <is>
          <t>Akshay Akkineni</t>
        </is>
      </c>
      <c r="E529" s="19" t="inlineStr">
        <is>
          <t>Akshay Oberoi, Parvathy Omanakuttan, Arunoday Singh, Dipannita Sharma, Rajesh Sharma, Omkar Das Manikpuri, Hussain Dalal, D. Santosh</t>
        </is>
      </c>
      <c r="F529" s="19" t="inlineStr">
        <is>
          <t>India</t>
        </is>
      </c>
      <c r="G529" s="19" t="inlineStr">
        <is>
          <t>2018-10-01</t>
        </is>
      </c>
      <c r="H529" s="19" t="n">
        <v>2014</v>
      </c>
      <c r="I529" s="19" t="inlineStr">
        <is>
          <t>TV-14</t>
        </is>
      </c>
      <c r="J529" s="19" t="inlineStr">
        <is>
          <t>102 min</t>
        </is>
      </c>
      <c r="K529" s="19" t="inlineStr">
        <is>
          <t>Horror Movies, International Movies, Thrillers</t>
        </is>
      </c>
      <c r="L529" s="19" t="inlineStr">
        <is>
          <t>A pizza delivery boy who doesn't believe in the supernatural is forced to confront his convictions after being trapped in a house on his route.</t>
        </is>
      </c>
      <c r="M529" s="19" t="n">
        <v>2018</v>
      </c>
      <c r="N529" s="19">
        <f>IF(AND(OR(YearFilter="All",$M529=YearFilter),OR(RatingFilter="All",$I529=RatingFilter),OR(TypeFilter="All",$B529=TypeFilter),OR(GenreFilter="All",COUNTIFS(tblGenre[show_id],$A529,tblGenre[Genre],GenreFilter)&gt;0)),1,0)</f>
        <v/>
      </c>
    </row>
    <row r="530" ht="15" customHeight="1" s="20">
      <c r="A530" s="19" t="inlineStr">
        <is>
          <t>s4600</t>
        </is>
      </c>
      <c r="B530" s="19" t="inlineStr">
        <is>
          <t>Movie</t>
        </is>
      </c>
      <c r="C530" s="19" t="inlineStr">
        <is>
          <t>Pooja Kiven Aa</t>
        </is>
      </c>
      <c r="D530" s="19" t="inlineStr">
        <is>
          <t>Nidhi Sharma</t>
        </is>
      </c>
      <c r="E530" s="19" t="inlineStr">
        <is>
          <t>Miss Pooja, Tarun Khanna, Raj Singh Jhinger, Sahil Vedoliyaa, B.N. Sharma, Manoj Joshi, Anita Shabdeesh, Sardar Sohi</t>
        </is>
      </c>
      <c r="F530" s="19" t="inlineStr">
        <is>
          <t>India</t>
        </is>
      </c>
      <c r="G530" s="19" t="inlineStr">
        <is>
          <t>2018-10-01</t>
        </is>
      </c>
      <c r="H530" s="19" t="n">
        <v>2013</v>
      </c>
      <c r="I530" s="19" t="inlineStr">
        <is>
          <t>TV-PG</t>
        </is>
      </c>
      <c r="J530" s="19" t="inlineStr">
        <is>
          <t>122 min</t>
        </is>
      </c>
      <c r="K530" s="19" t="inlineStr">
        <is>
          <t>Comedies, International Movies, Music &amp; Musicals</t>
        </is>
      </c>
      <c r="L530" s="19" t="inlineStr">
        <is>
          <t>When a woman arrives in Mumbai and hires three spirited boys to care for her estate, she discovers they're more trustworthy than her family members.</t>
        </is>
      </c>
      <c r="M530" s="19" t="n">
        <v>2018</v>
      </c>
      <c r="N530" s="19">
        <f>IF(AND(OR(YearFilter="All",$M530=YearFilter),OR(RatingFilter="All",$I530=RatingFilter),OR(TypeFilter="All",$B530=TypeFilter),OR(GenreFilter="All",COUNTIFS(tblGenre[show_id],$A530,tblGenre[Genre],GenreFilter)&gt;0)),1,0)</f>
        <v/>
      </c>
    </row>
    <row r="531" ht="15" customHeight="1" s="20">
      <c r="A531" s="19" t="inlineStr">
        <is>
          <t>s4601</t>
        </is>
      </c>
      <c r="B531" s="19" t="inlineStr">
        <is>
          <t>Movie</t>
        </is>
      </c>
      <c r="C531" s="19" t="inlineStr">
        <is>
          <t>Race</t>
        </is>
      </c>
      <c r="D531" s="19" t="inlineStr">
        <is>
          <t>Mastan Alibhai Burmawalla, Abbas Alibhai Burmawalla</t>
        </is>
      </c>
      <c r="E531" s="19" t="inlineStr">
        <is>
          <t>Saif Ali Khan, Akshaye Khanna, Katrina Kaif, Bipasha Basu, Anil Kapoor, Sameera Reddy</t>
        </is>
      </c>
      <c r="F531" s="19" t="inlineStr">
        <is>
          <t>India</t>
        </is>
      </c>
      <c r="G531" s="19" t="inlineStr">
        <is>
          <t>2018-10-01</t>
        </is>
      </c>
      <c r="H531" s="19" t="n">
        <v>2008</v>
      </c>
      <c r="I531" s="19" t="inlineStr">
        <is>
          <t>TV-14</t>
        </is>
      </c>
      <c r="J531" s="19" t="inlineStr">
        <is>
          <t>155 min</t>
        </is>
      </c>
      <c r="K531" s="19" t="inlineStr">
        <is>
          <t>Action &amp; Adventure, International Movies, Music &amp; Musicals</t>
        </is>
      </c>
      <c r="L531" s="19" t="inlineStr">
        <is>
          <t>The plot thickens around two horse-racing competitors when three beautiful women come into their lives and a murder is committed.</t>
        </is>
      </c>
      <c r="M531" s="19" t="n">
        <v>2018</v>
      </c>
      <c r="N531" s="19">
        <f>IF(AND(OR(YearFilter="All",$M531=YearFilter),OR(RatingFilter="All",$I531=RatingFilter),OR(TypeFilter="All",$B531=TypeFilter),OR(GenreFilter="All",COUNTIFS(tblGenre[show_id],$A531,tblGenre[Genre],GenreFilter)&gt;0)),1,0)</f>
        <v/>
      </c>
    </row>
    <row r="532" ht="15" customHeight="1" s="20">
      <c r="A532" s="19" t="inlineStr">
        <is>
          <t>s4602</t>
        </is>
      </c>
      <c r="B532" s="19" t="inlineStr">
        <is>
          <t>Movie</t>
        </is>
      </c>
      <c r="C532" s="19" t="inlineStr">
        <is>
          <t>Race 2</t>
        </is>
      </c>
      <c r="D532" s="19" t="inlineStr">
        <is>
          <t>Abbas Alibhai Burmawalla, Mastan Alibhai Burmawalla</t>
        </is>
      </c>
      <c r="E532" s="19" t="inlineStr">
        <is>
          <t>Anil Kapoor, Saif Ali Khan, John Abraham, Deepika Padukone, Jacqueline Fernandez, Ameesha Patel, Rajesh Khattar, Chunky Pandey</t>
        </is>
      </c>
      <c r="F532" s="19" t="inlineStr">
        <is>
          <t>India</t>
        </is>
      </c>
      <c r="G532" s="19" t="inlineStr">
        <is>
          <t>2018-10-01</t>
        </is>
      </c>
      <c r="H532" s="19" t="n">
        <v>2013</v>
      </c>
      <c r="I532" s="19" t="inlineStr">
        <is>
          <t>TV-14</t>
        </is>
      </c>
      <c r="J532" s="19" t="inlineStr">
        <is>
          <t>139 min</t>
        </is>
      </c>
      <c r="K532" s="19" t="inlineStr">
        <is>
          <t>Action &amp; Adventure, International Movies, Music &amp; Musicals</t>
        </is>
      </c>
      <c r="L532" s="19" t="inlineStr">
        <is>
          <t>In this sequel set in the world of horse racing, half-brothers Ranvir and Rajiv Singh return for another complex tale of love, greed and violence.</t>
        </is>
      </c>
      <c r="M532" s="19" t="n">
        <v>2018</v>
      </c>
      <c r="N532" s="19">
        <f>IF(AND(OR(YearFilter="All",$M532=YearFilter),OR(RatingFilter="All",$I532=RatingFilter),OR(TypeFilter="All",$B532=TypeFilter),OR(GenreFilter="All",COUNTIFS(tblGenre[show_id],$A532,tblGenre[Genre],GenreFilter)&gt;0)),1,0)</f>
        <v/>
      </c>
    </row>
    <row r="533" ht="15" customHeight="1" s="20">
      <c r="A533" s="19" t="inlineStr">
        <is>
          <t>s4603</t>
        </is>
      </c>
      <c r="B533" s="19" t="inlineStr">
        <is>
          <t>Movie</t>
        </is>
      </c>
      <c r="C533" s="19" t="inlineStr">
        <is>
          <t>Saadey CM Saab</t>
        </is>
      </c>
      <c r="D533" s="19" t="inlineStr">
        <is>
          <t>Vipin Parashar</t>
        </is>
      </c>
      <c r="E533" s="19" t="inlineStr">
        <is>
          <t>Harbhajan Mann, Kashish Singh, Gurpreet Guggi, Rahul Singh, Dev Gill, Inder Bajwa</t>
        </is>
      </c>
      <c r="F533" s="19" t="inlineStr">
        <is>
          <t>India</t>
        </is>
      </c>
      <c r="G533" s="19" t="inlineStr">
        <is>
          <t>2018-10-01</t>
        </is>
      </c>
      <c r="H533" s="19" t="n">
        <v>2015</v>
      </c>
      <c r="I533" s="19" t="inlineStr">
        <is>
          <t>TV-PG</t>
        </is>
      </c>
      <c r="J533" s="19" t="inlineStr">
        <is>
          <t>131 min</t>
        </is>
      </c>
      <c r="K533" s="19" t="inlineStr">
        <is>
          <t>Comedies, Dramas, International Movies</t>
        </is>
      </c>
      <c r="L533" s="19" t="inlineStr">
        <is>
          <t>Three old friends who have always hated politics are in for a shock when the friend who dislikes politics the most is somehow elected head minister.</t>
        </is>
      </c>
      <c r="M533" s="19" t="n">
        <v>2018</v>
      </c>
      <c r="N533" s="19">
        <f>IF(AND(OR(YearFilter="All",$M533=YearFilter),OR(RatingFilter="All",$I533=RatingFilter),OR(TypeFilter="All",$B533=TypeFilter),OR(GenreFilter="All",COUNTIFS(tblGenre[show_id],$A533,tblGenre[Genre],GenreFilter)&gt;0)),1,0)</f>
        <v/>
      </c>
    </row>
    <row r="534" ht="15" customHeight="1" s="20">
      <c r="A534" s="19" t="inlineStr">
        <is>
          <t>s4604</t>
        </is>
      </c>
      <c r="B534" s="19" t="inlineStr">
        <is>
          <t>Movie</t>
        </is>
      </c>
      <c r="C534" s="19" t="inlineStr">
        <is>
          <t>Sat Shri Akaal England</t>
        </is>
      </c>
      <c r="D534" s="19" t="inlineStr">
        <is>
          <t>Vikram Pradhan</t>
        </is>
      </c>
      <c r="E534" s="19" t="inlineStr">
        <is>
          <t>Ammy Virk, Monica Gill, Karamjit Anmol, Sardar Sohi, Jarnail Singh, Satwant Kaur, Harby Sangha, Baljinder Darapuri</t>
        </is>
      </c>
      <c r="F534" s="19" t="inlineStr">
        <is>
          <t>India</t>
        </is>
      </c>
      <c r="G534" s="19" t="inlineStr">
        <is>
          <t>2018-10-01</t>
        </is>
      </c>
      <c r="H534" s="19" t="n">
        <v>2017</v>
      </c>
      <c r="I534" s="19" t="inlineStr">
        <is>
          <t>TV-14</t>
        </is>
      </c>
      <c r="J534" s="19" t="inlineStr">
        <is>
          <t>127 min</t>
        </is>
      </c>
      <c r="K534" s="19" t="inlineStr">
        <is>
          <t>Comedies, Dramas, International Movies</t>
        </is>
      </c>
      <c r="L534" s="19" t="inlineStr">
        <is>
          <t>After several failed attempts to obtain a visa, a man desperate to escape Punjab pays a British woman to marry him so he can move to England.</t>
        </is>
      </c>
      <c r="M534" s="19" t="n">
        <v>2018</v>
      </c>
      <c r="N534" s="19">
        <f>IF(AND(OR(YearFilter="All",$M534=YearFilter),OR(RatingFilter="All",$I534=RatingFilter),OR(TypeFilter="All",$B534=TypeFilter),OR(GenreFilter="All",COUNTIFS(tblGenre[show_id],$A534,tblGenre[Genre],GenreFilter)&gt;0)),1,0)</f>
        <v/>
      </c>
    </row>
    <row r="535" ht="15" customHeight="1" s="20">
      <c r="A535" s="19" t="inlineStr">
        <is>
          <t>s4606</t>
        </is>
      </c>
      <c r="B535" s="19" t="inlineStr">
        <is>
          <t>Movie</t>
        </is>
      </c>
      <c r="C535" s="19" t="inlineStr">
        <is>
          <t>Thaandavam</t>
        </is>
      </c>
      <c r="D535" s="19" t="inlineStr">
        <is>
          <t>Vijay</t>
        </is>
      </c>
      <c r="E535" s="19" t="inlineStr">
        <is>
          <t>Vikram, Jagapathi Babu, Anushka Shetty, Amy Jackson, Lakshmi Rai, Santhanam, Nasser, Saranya Ponvannan</t>
        </is>
      </c>
      <c r="F535" s="19" t="inlineStr">
        <is>
          <t>India</t>
        </is>
      </c>
      <c r="G535" s="19" t="inlineStr">
        <is>
          <t>2018-10-01</t>
        </is>
      </c>
      <c r="H535" s="19" t="n">
        <v>2012</v>
      </c>
      <c r="I535" s="19" t="inlineStr">
        <is>
          <t>TV-14</t>
        </is>
      </c>
      <c r="J535" s="19" t="inlineStr">
        <is>
          <t>156 min</t>
        </is>
      </c>
      <c r="K535" s="19" t="inlineStr">
        <is>
          <t>Action &amp; Adventure, International Movies, Music &amp; Musicals</t>
        </is>
      </c>
      <c r="L535" s="19" t="inlineStr">
        <is>
          <t>In London, a mysterious blind man named Kenny appears to be an assassin who uses echolocation to kill, but there is more to Kenny than meets the eye.</t>
        </is>
      </c>
      <c r="M535" s="19" t="n">
        <v>2018</v>
      </c>
      <c r="N535" s="19">
        <f>IF(AND(OR(YearFilter="All",$M535=YearFilter),OR(RatingFilter="All",$I535=RatingFilter),OR(TypeFilter="All",$B535=TypeFilter),OR(GenreFilter="All",COUNTIFS(tblGenre[show_id],$A535,tblGenre[Genre],GenreFilter)&gt;0)),1,0)</f>
        <v/>
      </c>
    </row>
    <row r="536" ht="15" customHeight="1" s="20">
      <c r="A536" s="19" t="inlineStr">
        <is>
          <t>s4608</t>
        </is>
      </c>
      <c r="B536" s="19" t="inlineStr">
        <is>
          <t>Movie</t>
        </is>
      </c>
      <c r="C536" s="19" t="inlineStr">
        <is>
          <t>Theeya Velai Seyyanum Kumaru</t>
        </is>
      </c>
      <c r="D536" s="19" t="inlineStr">
        <is>
          <t>Sundar C.</t>
        </is>
      </c>
      <c r="E536" s="19" t="inlineStr">
        <is>
          <t>Siddarth, Santhanam, Hansika Motwani, Ganesh Venkatraman, RJ Balaji, Bosskey, Manobala, Chitra Lakshmanan</t>
        </is>
      </c>
      <c r="F536" s="19" t="inlineStr">
        <is>
          <t>India</t>
        </is>
      </c>
      <c r="G536" s="19" t="inlineStr">
        <is>
          <t>2018-10-01</t>
        </is>
      </c>
      <c r="H536" s="19" t="n">
        <v>2013</v>
      </c>
      <c r="I536" s="19" t="inlineStr">
        <is>
          <t>TV-PG</t>
        </is>
      </c>
      <c r="J536" s="19" t="inlineStr">
        <is>
          <t>132 min</t>
        </is>
      </c>
      <c r="K536" s="19" t="inlineStr">
        <is>
          <t>Comedies, International Movies, Music &amp; Musicals</t>
        </is>
      </c>
      <c r="L536" s="19" t="inlineStr">
        <is>
          <t>When shy Kumar gets stuck on the losing end of a love triangle, the Love Doctor, Mokia, has a strategy for Kumar to win the love of his life.</t>
        </is>
      </c>
      <c r="M536" s="19" t="n">
        <v>2018</v>
      </c>
      <c r="N536" s="19">
        <f>IF(AND(OR(YearFilter="All",$M536=YearFilter),OR(RatingFilter="All",$I536=RatingFilter),OR(TypeFilter="All",$B536=TypeFilter),OR(GenreFilter="All",COUNTIFS(tblGenre[show_id],$A536,tblGenre[Genre],GenreFilter)&gt;0)),1,0)</f>
        <v/>
      </c>
    </row>
    <row r="537" ht="15" customHeight="1" s="20">
      <c r="A537" s="19" t="inlineStr">
        <is>
          <t>s4610</t>
        </is>
      </c>
      <c r="B537" s="19" t="inlineStr">
        <is>
          <t>Movie</t>
        </is>
      </c>
      <c r="C537" s="19" t="inlineStr">
        <is>
          <t>Tiger</t>
        </is>
      </c>
      <c r="D537" s="19" t="inlineStr">
        <is>
          <t>Sartaj Singh Pannu</t>
        </is>
      </c>
      <c r="E537" s="19" t="inlineStr">
        <is>
          <t>Sippy Gill, Ihana Dhillon, Yograj Singh, Yashpal Sharma, Deedar GIll, Rahul Jugraj, Virender Nath Lubana, Aneeta</t>
        </is>
      </c>
      <c r="F537" s="19" t="inlineStr">
        <is>
          <t>India</t>
        </is>
      </c>
      <c r="G537" s="19" t="inlineStr">
        <is>
          <t>2018-10-01</t>
        </is>
      </c>
      <c r="H537" s="19" t="n">
        <v>2016</v>
      </c>
      <c r="I537" s="19" t="inlineStr">
        <is>
          <t>TV-14</t>
        </is>
      </c>
      <c r="J537" s="19" t="inlineStr">
        <is>
          <t>130 min</t>
        </is>
      </c>
      <c r="K537" s="19" t="inlineStr">
        <is>
          <t>Action &amp; Adventure, Dramas, International Movies</t>
        </is>
      </c>
      <c r="L537" s="19" t="inlineStr">
        <is>
          <t>Imprisoned for drug smuggling as a child, a young man uses the law he studied while in jail to take revenge on those who wronged him.</t>
        </is>
      </c>
      <c r="M537" s="19" t="n">
        <v>2018</v>
      </c>
      <c r="N537" s="19">
        <f>IF(AND(OR(YearFilter="All",$M537=YearFilter),OR(RatingFilter="All",$I537=RatingFilter),OR(TypeFilter="All",$B537=TypeFilter),OR(GenreFilter="All",COUNTIFS(tblGenre[show_id],$A537,tblGenre[Genre],GenreFilter)&gt;0)),1,0)</f>
        <v/>
      </c>
    </row>
    <row r="538" ht="15" customHeight="1" s="20">
      <c r="A538" s="19" t="inlineStr">
        <is>
          <t>s4611</t>
        </is>
      </c>
      <c r="B538" s="19" t="inlineStr">
        <is>
          <t>Movie</t>
        </is>
      </c>
      <c r="C538" s="19" t="inlineStr">
        <is>
          <t>Udaan</t>
        </is>
      </c>
      <c r="D538" s="19" t="inlineStr">
        <is>
          <t>Vikramaditya Motwane</t>
        </is>
      </c>
      <c r="E538" s="19" t="inlineStr">
        <is>
          <t>Rajat Barmecha, Ronit Roy, Ram Kapoor, Aayan Boradia, Manjot Singh, Anand Tiwari, Raja Hudda, Shaunak Sengupta, Varun Khettry, Akshay Sachdev</t>
        </is>
      </c>
      <c r="F538" s="19" t="inlineStr">
        <is>
          <t>India</t>
        </is>
      </c>
      <c r="G538" s="19" t="inlineStr">
        <is>
          <t>2018-10-01</t>
        </is>
      </c>
      <c r="H538" s="19" t="n">
        <v>2010</v>
      </c>
      <c r="I538" s="19" t="inlineStr">
        <is>
          <t>TV-MA</t>
        </is>
      </c>
      <c r="J538" s="19" t="inlineStr">
        <is>
          <t>137 min</t>
        </is>
      </c>
      <c r="K538" s="19" t="inlineStr">
        <is>
          <t>Dramas, Independent Movies, International Movies</t>
        </is>
      </c>
      <c r="L538" s="19" t="inlineStr">
        <is>
          <t>Upon returning to his industrial hometown, a young man must decide whether to follow his own dreams or acquiesce to his father's plans for his future.</t>
        </is>
      </c>
      <c r="M538" s="19" t="n">
        <v>2018</v>
      </c>
      <c r="N538" s="19">
        <f>IF(AND(OR(YearFilter="All",$M538=YearFilter),OR(RatingFilter="All",$I538=RatingFilter),OR(TypeFilter="All",$B538=TypeFilter),OR(GenreFilter="All",COUNTIFS(tblGenre[show_id],$A538,tblGenre[Genre],GenreFilter)&gt;0)),1,0)</f>
        <v/>
      </c>
    </row>
    <row r="539" ht="15" customHeight="1" s="20">
      <c r="A539" s="19" t="inlineStr">
        <is>
          <t>s4612</t>
        </is>
      </c>
      <c r="B539" s="19" t="inlineStr">
        <is>
          <t>Movie</t>
        </is>
      </c>
      <c r="C539" s="19" t="inlineStr">
        <is>
          <t>Vettai</t>
        </is>
      </c>
      <c r="D539" s="19" t="inlineStr">
        <is>
          <t>N. Linguswamy</t>
        </is>
      </c>
      <c r="E539" s="19" t="inlineStr">
        <is>
          <t>Arya, Madhavan, Sameera Reddy, Amala Paul, Nasser, Ashutosh Rana, Sreejith Ravi, Muthukumar</t>
        </is>
      </c>
      <c r="F539" s="19" t="inlineStr">
        <is>
          <t>India</t>
        </is>
      </c>
      <c r="G539" s="19" t="inlineStr">
        <is>
          <t>2018-10-01</t>
        </is>
      </c>
      <c r="H539" s="19" t="n">
        <v>2012</v>
      </c>
      <c r="I539" s="19" t="inlineStr">
        <is>
          <t>TV-14</t>
        </is>
      </c>
      <c r="J539" s="19" t="inlineStr">
        <is>
          <t>156 min</t>
        </is>
      </c>
      <c r="K539" s="19" t="inlineStr">
        <is>
          <t>Action &amp; Adventure, International Movies, Music &amp; Musicals</t>
        </is>
      </c>
      <c r="L539" s="19" t="inlineStr">
        <is>
          <t>This powerful Tamil action film follows the shared fate of two very different siblings: policeman Thiru and his roguish brother, Guru.</t>
        </is>
      </c>
      <c r="M539" s="19" t="n">
        <v>2018</v>
      </c>
      <c r="N539" s="19">
        <f>IF(AND(OR(YearFilter="All",$M539=YearFilter),OR(RatingFilter="All",$I539=RatingFilter),OR(TypeFilter="All",$B539=TypeFilter),OR(GenreFilter="All",COUNTIFS(tblGenre[show_id],$A539,tblGenre[Genre],GenreFilter)&gt;0)),1,0)</f>
        <v/>
      </c>
    </row>
    <row r="540" ht="15" customHeight="1" s="20">
      <c r="A540" s="19" t="inlineStr">
        <is>
          <t>s4613</t>
        </is>
      </c>
      <c r="B540" s="19" t="inlineStr">
        <is>
          <t>Movie</t>
        </is>
      </c>
      <c r="C540" s="19" t="inlineStr">
        <is>
          <t>Wake Up Sid</t>
        </is>
      </c>
      <c r="D540" s="19" t="inlineStr">
        <is>
          <t>Ayaan Mukherji</t>
        </is>
      </c>
      <c r="E540" s="19" t="inlineStr">
        <is>
          <t>Ranbir Kapoor, Konkona Sen Sharma, Shruti Bapna, Krutika Bolaki, Namit Das, Munir Kabani, Mohsin Ali Khan, Anupam Kher, Rahul Khanna, Kainaz Motivala</t>
        </is>
      </c>
      <c r="F540" s="19" t="inlineStr">
        <is>
          <t>India</t>
        </is>
      </c>
      <c r="G540" s="19" t="inlineStr">
        <is>
          <t>2018-10-01</t>
        </is>
      </c>
      <c r="H540" s="19" t="n">
        <v>2009</v>
      </c>
      <c r="I540" s="19" t="inlineStr">
        <is>
          <t>TV-14</t>
        </is>
      </c>
      <c r="J540" s="19" t="inlineStr">
        <is>
          <t>132 min</t>
        </is>
      </c>
      <c r="K540" s="19" t="inlineStr">
        <is>
          <t>Comedies, International Movies, Romantic Movies</t>
        </is>
      </c>
      <c r="L540" s="19" t="inlineStr">
        <is>
          <t>A spoiled trust fund brat finds himself stuck in a rut of meaningless late-night parties – until he meets a significantly older woman and writer.</t>
        </is>
      </c>
      <c r="M540" s="19" t="n">
        <v>2018</v>
      </c>
      <c r="N540" s="19">
        <f>IF(AND(OR(YearFilter="All",$M540=YearFilter),OR(RatingFilter="All",$I540=RatingFilter),OR(TypeFilter="All",$B540=TypeFilter),OR(GenreFilter="All",COUNTIFS(tblGenre[show_id],$A540,tblGenre[Genre],GenreFilter)&gt;0)),1,0)</f>
        <v/>
      </c>
    </row>
    <row r="541" ht="15" customHeight="1" s="20">
      <c r="A541" s="19" t="inlineStr">
        <is>
          <t>s4614</t>
        </is>
      </c>
      <c r="B541" s="19" t="inlineStr">
        <is>
          <t>Movie</t>
        </is>
      </c>
      <c r="C541" s="19" t="inlineStr">
        <is>
          <t>We Are Family</t>
        </is>
      </c>
      <c r="D541" s="19" t="inlineStr">
        <is>
          <t>Sidharth Malhotra</t>
        </is>
      </c>
      <c r="E541" s="19" t="inlineStr">
        <is>
          <t>Kajol, Kareena Kapoor, Arjun Rampal, Nominath Ginsberg, Iravati Harshe, Aachal Munjal, Diya Sonecha</t>
        </is>
      </c>
      <c r="F541" s="19" t="inlineStr">
        <is>
          <t>India, Australia</t>
        </is>
      </c>
      <c r="G541" s="19" t="inlineStr">
        <is>
          <t>2018-10-01</t>
        </is>
      </c>
      <c r="H541" s="19" t="n">
        <v>2010</v>
      </c>
      <c r="I541" s="19" t="inlineStr">
        <is>
          <t>TV-14</t>
        </is>
      </c>
      <c r="J541" s="19" t="inlineStr">
        <is>
          <t>119 min</t>
        </is>
      </c>
      <c r="K541" s="19" t="inlineStr">
        <is>
          <t>Dramas, International Movies</t>
        </is>
      </c>
      <c r="L541" s="19" t="inlineStr">
        <is>
          <t>A divorced mother of three children runs a happy household – until her former husband brings his new career-oriented girlfriend into the picture.</t>
        </is>
      </c>
      <c r="M541" s="19" t="n">
        <v>2018</v>
      </c>
      <c r="N541" s="19">
        <f>IF(AND(OR(YearFilter="All",$M541=YearFilter),OR(RatingFilter="All",$I541=RatingFilter),OR(TypeFilter="All",$B541=TypeFilter),OR(GenreFilter="All",COUNTIFS(tblGenre[show_id],$A541,tblGenre[Genre],GenreFilter)&gt;0)),1,0)</f>
        <v/>
      </c>
    </row>
    <row r="542" ht="15" customHeight="1" s="20">
      <c r="A542" s="19" t="inlineStr">
        <is>
          <t>s4615</t>
        </is>
      </c>
      <c r="B542" s="19" t="inlineStr">
        <is>
          <t>Movie</t>
        </is>
      </c>
      <c r="C542" s="19" t="inlineStr">
        <is>
          <t>What the Jatt!!</t>
        </is>
      </c>
      <c r="D542" s="19" t="inlineStr">
        <is>
          <t>Saket Behl</t>
        </is>
      </c>
      <c r="E542" s="19" t="inlineStr">
        <is>
          <t>Harish Verma, Isha Rikhi, Vipul Roy, Binnu Dhillon, Poonam Rajput, B.N. Sharma, Satti Sembi</t>
        </is>
      </c>
      <c r="F542" s="19" t="inlineStr">
        <is>
          <t>India</t>
        </is>
      </c>
      <c r="G542" s="19" t="inlineStr">
        <is>
          <t>2018-10-01</t>
        </is>
      </c>
      <c r="H542" s="19" t="n">
        <v>2015</v>
      </c>
      <c r="I542" s="19" t="inlineStr">
        <is>
          <t>TV-PG</t>
        </is>
      </c>
      <c r="J542" s="19" t="inlineStr">
        <is>
          <t>140 min</t>
        </is>
      </c>
      <c r="K542" s="19" t="inlineStr">
        <is>
          <t>Comedies, International Movies, Romantic Movies</t>
        </is>
      </c>
      <c r="L542" s="19" t="inlineStr">
        <is>
          <t>A peasant from Punjab and his best friend pose as detectives, filmmakers and more while trying to retrieve stolen money in this romantic comedy.</t>
        </is>
      </c>
      <c r="M542" s="19" t="n">
        <v>2018</v>
      </c>
      <c r="N542" s="19">
        <f>IF(AND(OR(YearFilter="All",$M542=YearFilter),OR(RatingFilter="All",$I542=RatingFilter),OR(TypeFilter="All",$B542=TypeFilter),OR(GenreFilter="All",COUNTIFS(tblGenre[show_id],$A542,tblGenre[Genre],GenreFilter)&gt;0)),1,0)</f>
        <v/>
      </c>
    </row>
    <row r="543" ht="15" customHeight="1" s="20">
      <c r="A543" s="19" t="inlineStr">
        <is>
          <t>s4661</t>
        </is>
      </c>
      <c r="B543" s="19" t="inlineStr">
        <is>
          <t>Movie</t>
        </is>
      </c>
      <c r="C543" s="19" t="inlineStr">
        <is>
          <t>PK</t>
        </is>
      </c>
      <c r="D543" s="19" t="inlineStr">
        <is>
          <t>Rajkumar Hirani</t>
        </is>
      </c>
      <c r="E543" s="19" t="inlineStr">
        <is>
          <t>Aamir Khan, Anuskha Sharma, Sanjay Dutt, Saurabh Shukla, Parikshat Sahni, Sushant Singh Rajput, Boman Irani, Rukhsar</t>
        </is>
      </c>
      <c r="F543" s="19" t="inlineStr">
        <is>
          <t>India</t>
        </is>
      </c>
      <c r="G543" s="19" t="inlineStr">
        <is>
          <t>2018-09-06</t>
        </is>
      </c>
      <c r="H543" s="19" t="n">
        <v>2014</v>
      </c>
      <c r="I543" s="19" t="inlineStr">
        <is>
          <t>TV-14</t>
        </is>
      </c>
      <c r="J543" s="19" t="inlineStr">
        <is>
          <t>146 min</t>
        </is>
      </c>
      <c r="K543" s="19" t="inlineStr">
        <is>
          <t>Comedies, Dramas, International Movies</t>
        </is>
      </c>
      <c r="L543" s="19" t="inlineStr">
        <is>
          <t>Aamir Khan teams with director Rajkumar Hirani to play a social crusader in a political satire on the state of corruption in India.</t>
        </is>
      </c>
      <c r="M543" s="19" t="n">
        <v>2018</v>
      </c>
      <c r="N543" s="19">
        <f>IF(AND(OR(YearFilter="All",$M543=YearFilter),OR(RatingFilter="All",$I543=RatingFilter),OR(TypeFilter="All",$B543=TypeFilter),OR(GenreFilter="All",COUNTIFS(tblGenre[show_id],$A543,tblGenre[Genre],GenreFilter)&gt;0)),1,0)</f>
        <v/>
      </c>
    </row>
    <row r="544" ht="15" customHeight="1" s="20">
      <c r="A544" s="19" t="inlineStr">
        <is>
          <t>s4667</t>
        </is>
      </c>
      <c r="B544" s="19" t="inlineStr">
        <is>
          <t>Movie</t>
        </is>
      </c>
      <c r="C544" s="19" t="inlineStr">
        <is>
          <t>Garbage</t>
        </is>
      </c>
      <c r="D544" s="19" t="inlineStr">
        <is>
          <t>Qaushiq Mukherjee</t>
        </is>
      </c>
      <c r="E544" s="19" t="inlineStr">
        <is>
          <t>Tanmay Dhanania, Trimala Adhikari, Satarupa Das, Satchit Puranik, Gitanjali Dang, Shruti Viswan, Nikhil Chopra, Krish Moitra</t>
        </is>
      </c>
      <c r="F544" s="19" t="inlineStr">
        <is>
          <t>India</t>
        </is>
      </c>
      <c r="G544" s="19" t="inlineStr">
        <is>
          <t>2018-09-01</t>
        </is>
      </c>
      <c r="H544" s="19" t="n">
        <v>2018</v>
      </c>
      <c r="I544" s="19" t="inlineStr">
        <is>
          <t>TV-MA</t>
        </is>
      </c>
      <c r="J544" s="19" t="inlineStr">
        <is>
          <t>109 min</t>
        </is>
      </c>
      <c r="K544" s="19" t="inlineStr">
        <is>
          <t>Dramas, Independent Movies, International Movies</t>
        </is>
      </c>
      <c r="L544" s="19" t="inlineStr">
        <is>
          <t>The lives of a fundamentalist online troll and a woman reeling from a sex tape gone viral become dangerously intertwined in this provocative thriller.</t>
        </is>
      </c>
      <c r="M544" s="19" t="n">
        <v>2018</v>
      </c>
      <c r="N544" s="19">
        <f>IF(AND(OR(YearFilter="All",$M544=YearFilter),OR(RatingFilter="All",$I544=RatingFilter),OR(TypeFilter="All",$B544=TypeFilter),OR(GenreFilter="All",COUNTIFS(tblGenre[show_id],$A544,tblGenre[Genre],GenreFilter)&gt;0)),1,0)</f>
        <v/>
      </c>
    </row>
    <row r="545" ht="15" customHeight="1" s="20">
      <c r="A545" s="19" t="inlineStr">
        <is>
          <t>s4668</t>
        </is>
      </c>
      <c r="B545" s="19" t="inlineStr">
        <is>
          <t>Movie</t>
        </is>
      </c>
      <c r="C545" s="19" t="inlineStr">
        <is>
          <t>​​Kuch Bheege Alfaaz</t>
        </is>
      </c>
      <c r="D545" s="19" t="inlineStr">
        <is>
          <t>Onir</t>
        </is>
      </c>
      <c r="E545" s="19" t="inlineStr">
        <is>
          <t>Geetanjali Thapa, Zain Khan Durrani, Shray Rai Tiwari, Mona Ambegaonkar, Chandreyee Ghosh, Barun Chanda, Saheb Bhattacharjee, Shefali Chauhan</t>
        </is>
      </c>
      <c r="F545" s="19" t="inlineStr">
        <is>
          <t>India</t>
        </is>
      </c>
      <c r="G545" s="19" t="inlineStr">
        <is>
          <t>2018-09-01</t>
        </is>
      </c>
      <c r="H545" s="19" t="n">
        <v>2018</v>
      </c>
      <c r="I545" s="19" t="inlineStr">
        <is>
          <t>TV-14</t>
        </is>
      </c>
      <c r="J545" s="19" t="inlineStr">
        <is>
          <t>110 min</t>
        </is>
      </c>
      <c r="K545" s="19" t="inlineStr">
        <is>
          <t>Dramas, Independent Movies, International Movies</t>
        </is>
      </c>
      <c r="L545" s="19" t="inlineStr">
        <is>
          <t>After accidentally connecting over the Internet, two strangers form a tight friendship – not knowing they already share a bond.</t>
        </is>
      </c>
      <c r="M545" s="19" t="n">
        <v>2018</v>
      </c>
      <c r="N545" s="19">
        <f>IF(AND(OR(YearFilter="All",$M545=YearFilter),OR(RatingFilter="All",$I545=RatingFilter),OR(TypeFilter="All",$B545=TypeFilter),OR(GenreFilter="All",COUNTIFS(tblGenre[show_id],$A545,tblGenre[Genre],GenreFilter)&gt;0)),1,0)</f>
        <v/>
      </c>
    </row>
    <row r="546" ht="15" customHeight="1" s="20">
      <c r="A546" s="19" t="inlineStr">
        <is>
          <t>s4669</t>
        </is>
      </c>
      <c r="B546" s="19" t="inlineStr">
        <is>
          <t>Movie</t>
        </is>
      </c>
      <c r="C546" s="19" t="inlineStr">
        <is>
          <t>Love and Shukla</t>
        </is>
      </c>
      <c r="D546" s="19" t="inlineStr">
        <is>
          <t>Jatla Siddartha</t>
        </is>
      </c>
      <c r="E546" s="19" t="inlineStr">
        <is>
          <t>Saharsh Kumar Shukla, Taneea Rajawat, Hima Singh, Aparna Upadhyay, Loknath Tiwari, Sambhaji Sasane</t>
        </is>
      </c>
      <c r="F546" s="19" t="inlineStr">
        <is>
          <t>India</t>
        </is>
      </c>
      <c r="G546" s="19" t="inlineStr">
        <is>
          <t>2018-09-01</t>
        </is>
      </c>
      <c r="H546" s="19" t="n">
        <v>2017</v>
      </c>
      <c r="I546" s="19" t="inlineStr">
        <is>
          <t>TV-MA</t>
        </is>
      </c>
      <c r="J546" s="19" t="inlineStr">
        <is>
          <t>110 min</t>
        </is>
      </c>
      <c r="K546" s="19" t="inlineStr">
        <is>
          <t>Dramas, Independent Movies, International Movies</t>
        </is>
      </c>
      <c r="L546" s="19" t="inlineStr">
        <is>
          <t>A sexually inexperienced rickshaw driver struggles to build intimacy with his shy new wife in their tiny, overcrowded quarters.</t>
        </is>
      </c>
      <c r="M546" s="19" t="n">
        <v>2018</v>
      </c>
      <c r="N546" s="19">
        <f>IF(AND(OR(YearFilter="All",$M546=YearFilter),OR(RatingFilter="All",$I546=RatingFilter),OR(TypeFilter="All",$B546=TypeFilter),OR(GenreFilter="All",COUNTIFS(tblGenre[show_id],$A546,tblGenre[Genre],GenreFilter)&gt;0)),1,0)</f>
        <v/>
      </c>
    </row>
    <row r="547" ht="15" customHeight="1" s="20">
      <c r="A547" s="19" t="inlineStr">
        <is>
          <t>s4670</t>
        </is>
      </c>
      <c r="B547" s="19" t="inlineStr">
        <is>
          <t>Movie</t>
        </is>
      </c>
      <c r="C547" s="19" t="inlineStr">
        <is>
          <t>Once Again</t>
        </is>
      </c>
      <c r="D547" s="19" t="inlineStr">
        <is>
          <t>Kanwal Sethi</t>
        </is>
      </c>
      <c r="E547" s="19" t="inlineStr">
        <is>
          <t>Shefali Shah, Neeraj Kabi, Rasika Dugal, Bidita Bag, Priyanshu Painyuli, Bhagwan Tiwari</t>
        </is>
      </c>
      <c r="F547" s="19" t="inlineStr">
        <is>
          <t>India, Germany, Austria</t>
        </is>
      </c>
      <c r="G547" s="19" t="inlineStr">
        <is>
          <t>2018-09-01</t>
        </is>
      </c>
      <c r="H547" s="19" t="n">
        <v>2018</v>
      </c>
      <c r="I547" s="19" t="inlineStr">
        <is>
          <t>TV-PG</t>
        </is>
      </c>
      <c r="J547" s="19" t="inlineStr">
        <is>
          <t>101 min</t>
        </is>
      </c>
      <c r="K547" s="19" t="inlineStr">
        <is>
          <t>Dramas, Independent Movies, International Movies</t>
        </is>
      </c>
      <c r="L547" s="19" t="inlineStr">
        <is>
          <t>After a chance phone call leads to daily conversations, a widowed restaurant owner and a lonely film actor plan to finally meet in person.</t>
        </is>
      </c>
      <c r="M547" s="19" t="n">
        <v>2018</v>
      </c>
      <c r="N547" s="19">
        <f>IF(AND(OR(YearFilter="All",$M547=YearFilter),OR(RatingFilter="All",$I547=RatingFilter),OR(TypeFilter="All",$B547=TypeFilter),OR(GenreFilter="All",COUNTIFS(tblGenre[show_id],$A547,tblGenre[Genre],GenreFilter)&gt;0)),1,0)</f>
        <v/>
      </c>
    </row>
    <row r="548" ht="15" customHeight="1" s="20">
      <c r="A548" s="19" t="inlineStr">
        <is>
          <t>s4680</t>
        </is>
      </c>
      <c r="B548" s="19" t="inlineStr">
        <is>
          <t>Movie</t>
        </is>
      </c>
      <c r="C548" s="19" t="inlineStr">
        <is>
          <t>Naam Shabana</t>
        </is>
      </c>
      <c r="D548" s="19" t="inlineStr">
        <is>
          <t>Shivam Nair</t>
        </is>
      </c>
      <c r="E548" s="19" t="inlineStr">
        <is>
          <t>Tapsee Pannu, Akshay Kumar, Manoj Bajpayee, Prithviraj Sukumaran, Danny Denzongpa, Anupam Kher, Zakir Hussain, Virendra Saxenda</t>
        </is>
      </c>
      <c r="F548" s="19" t="inlineStr">
        <is>
          <t>India</t>
        </is>
      </c>
      <c r="G548" s="19" t="inlineStr">
        <is>
          <t>2018-08-28</t>
        </is>
      </c>
      <c r="H548" s="19" t="n">
        <v>2017</v>
      </c>
      <c r="I548" s="19" t="inlineStr">
        <is>
          <t>TV-14</t>
        </is>
      </c>
      <c r="J548" s="19" t="inlineStr">
        <is>
          <t>141 min</t>
        </is>
      </c>
      <c r="K548" s="19" t="inlineStr">
        <is>
          <t>Action &amp; Adventure, International Movies</t>
        </is>
      </c>
      <c r="L548" s="19" t="inlineStr">
        <is>
          <t>A fiery young woman accepts help from a spy agency to avenge her lover's murder. In return, she must prove herself as one of their top recruits.</t>
        </is>
      </c>
      <c r="M548" s="19" t="n">
        <v>2018</v>
      </c>
      <c r="N548" s="19">
        <f>IF(AND(OR(YearFilter="All",$M548=YearFilter),OR(RatingFilter="All",$I548=RatingFilter),OR(TypeFilter="All",$B548=TypeFilter),OR(GenreFilter="All",COUNTIFS(tblGenre[show_id],$A548,tblGenre[Genre],GenreFilter)&gt;0)),1,0)</f>
        <v/>
      </c>
    </row>
    <row r="549" ht="15" customHeight="1" s="20">
      <c r="A549" s="19" t="inlineStr">
        <is>
          <t>s4681</t>
        </is>
      </c>
      <c r="B549" s="19" t="inlineStr">
        <is>
          <t>Movie</t>
        </is>
      </c>
      <c r="C549" s="19" t="inlineStr">
        <is>
          <t>Qarib Qarib Singlle</t>
        </is>
      </c>
      <c r="D549" s="19" t="inlineStr">
        <is>
          <t>Tanuja Chandra</t>
        </is>
      </c>
      <c r="E549" s="19" t="inlineStr">
        <is>
          <t>Irrfan Khan, Parvathy, Neha Dhupia, Pushtii Shakti, Luke Kenny, Siddharth Menon, Bajrangbali Singh, Brijendra Kala</t>
        </is>
      </c>
      <c r="F549" s="19" t="inlineStr">
        <is>
          <t>India</t>
        </is>
      </c>
      <c r="G549" s="19" t="inlineStr">
        <is>
          <t>2018-08-28</t>
        </is>
      </c>
      <c r="H549" s="19" t="n">
        <v>2017</v>
      </c>
      <c r="I549" s="19" t="inlineStr">
        <is>
          <t>TV-14</t>
        </is>
      </c>
      <c r="J549" s="19" t="inlineStr">
        <is>
          <t>120 min</t>
        </is>
      </c>
      <c r="K549" s="19" t="inlineStr">
        <is>
          <t>Comedies, International Movies, Romantic Movies</t>
        </is>
      </c>
      <c r="L549" s="19" t="inlineStr">
        <is>
          <t>After reluctantly joining a dating app, a 35-year-old widow accompanies an easygoing poet on a trip to visit three of his exes.</t>
        </is>
      </c>
      <c r="M549" s="19" t="n">
        <v>2018</v>
      </c>
      <c r="N549" s="19">
        <f>IF(AND(OR(YearFilter="All",$M549=YearFilter),OR(RatingFilter="All",$I549=RatingFilter),OR(TypeFilter="All",$B549=TypeFilter),OR(GenreFilter="All",COUNTIFS(tblGenre[show_id],$A549,tblGenre[Genre],GenreFilter)&gt;0)),1,0)</f>
        <v/>
      </c>
    </row>
    <row r="550" ht="15" customHeight="1" s="20">
      <c r="A550" s="19" t="inlineStr">
        <is>
          <t>s4682</t>
        </is>
      </c>
      <c r="B550" s="19" t="inlineStr">
        <is>
          <t>Movie</t>
        </is>
      </c>
      <c r="C550" s="19" t="inlineStr">
        <is>
          <t>Spyder</t>
        </is>
      </c>
      <c r="D550" s="19" t="inlineStr">
        <is>
          <t>A.R. Murugadoss</t>
        </is>
      </c>
      <c r="E550" s="19" t="inlineStr">
        <is>
          <t>Mahesh Babu, Rakul Preet Singh, S.J. Surya, Bharath Srinivasan, Priyadarshi Pullikonda, RJ Balaji</t>
        </is>
      </c>
      <c r="F550" s="19" t="inlineStr">
        <is>
          <t>India</t>
        </is>
      </c>
      <c r="G550" s="19" t="inlineStr">
        <is>
          <t>2018-08-28</t>
        </is>
      </c>
      <c r="H550" s="19" t="n">
        <v>2017</v>
      </c>
      <c r="I550" s="19" t="inlineStr">
        <is>
          <t>TV-14</t>
        </is>
      </c>
      <c r="J550" s="19" t="inlineStr">
        <is>
          <t>140 min</t>
        </is>
      </c>
      <c r="K550" s="19" t="inlineStr">
        <is>
          <t>Action &amp; Adventure, International Movies</t>
        </is>
      </c>
      <c r="L550" s="19" t="inlineStr">
        <is>
          <t>When an Intelligence Bureau officer’s phone-tapping day job leads him to a serial killer, he must track down and thwart the murderer’s next steps.</t>
        </is>
      </c>
      <c r="M550" s="19" t="n">
        <v>2018</v>
      </c>
      <c r="N550" s="19">
        <f>IF(AND(OR(YearFilter="All",$M550=YearFilter),OR(RatingFilter="All",$I550=RatingFilter),OR(TypeFilter="All",$B550=TypeFilter),OR(GenreFilter="All",COUNTIFS(tblGenre[show_id],$A550,tblGenre[Genre],GenreFilter)&gt;0)),1,0)</f>
        <v/>
      </c>
    </row>
    <row r="551" ht="15" customHeight="1" s="20">
      <c r="A551" s="19" t="inlineStr">
        <is>
          <t>s4686</t>
        </is>
      </c>
      <c r="B551" s="19" t="inlineStr">
        <is>
          <t>TV Show</t>
        </is>
      </c>
      <c r="C551" s="19" t="inlineStr">
        <is>
          <t>GHOUL</t>
        </is>
      </c>
      <c r="D551" s="19" t="inlineStr">
        <is>
          <t>Patrick Graham</t>
        </is>
      </c>
      <c r="E551" s="19" t="inlineStr">
        <is>
          <t>Radhika Apte, Manav Kaul, Ratnabali Bhattacharjee, Mahesh Balraj</t>
        </is>
      </c>
      <c r="F551" s="19" t="inlineStr">
        <is>
          <t>India</t>
        </is>
      </c>
      <c r="G551" s="19" t="inlineStr">
        <is>
          <t>2018-08-24</t>
        </is>
      </c>
      <c r="H551" s="19" t="n">
        <v>2018</v>
      </c>
      <c r="I551" s="19" t="inlineStr">
        <is>
          <t>TV-MA</t>
        </is>
      </c>
      <c r="J551" s="19" t="inlineStr">
        <is>
          <t>1 Season</t>
        </is>
      </c>
      <c r="K551" s="19" t="inlineStr">
        <is>
          <t>International TV Shows, TV Dramas, TV Horror</t>
        </is>
      </c>
      <c r="L551" s="19" t="inlineStr">
        <is>
          <t>When a new prisoner at a military detention center exhibits eerie behavior, a young interrogator’s search for the truth becomes a battle for survival.</t>
        </is>
      </c>
      <c r="M551" s="19" t="n">
        <v>2018</v>
      </c>
      <c r="N551" s="19">
        <f>IF(AND(OR(YearFilter="All",$M551=YearFilter),OR(RatingFilter="All",$I551=RatingFilter),OR(TypeFilter="All",$B551=TypeFilter),OR(GenreFilter="All",COUNTIFS(tblGenre[show_id],$A551,tblGenre[Genre],GenreFilter)&gt;0)),1,0)</f>
        <v/>
      </c>
    </row>
    <row r="552" ht="15" customHeight="1" s="20">
      <c r="A552" s="19" t="inlineStr">
        <is>
          <t>s4691</t>
        </is>
      </c>
      <c r="B552" s="19" t="inlineStr">
        <is>
          <t>Movie</t>
        </is>
      </c>
      <c r="C552" s="19" t="inlineStr">
        <is>
          <t>Bareilly Ki Barfi</t>
        </is>
      </c>
      <c r="D552" s="19" t="inlineStr">
        <is>
          <t>Ashwiny Iyer Tiwari</t>
        </is>
      </c>
      <c r="E552" s="19" t="inlineStr">
        <is>
          <t>Ayushmann Khurrana, Kriti Sanon, Rajkummar Rao, Pankaj Tripathi, Seema Pahwa, Rohit Chaudhury, Swati Semwal</t>
        </is>
      </c>
      <c r="F552" s="19" t="inlineStr">
        <is>
          <t>India</t>
        </is>
      </c>
      <c r="G552" s="19" t="inlineStr">
        <is>
          <t>2018-08-21</t>
        </is>
      </c>
      <c r="H552" s="19" t="n">
        <v>2017</v>
      </c>
      <c r="I552" s="19" t="inlineStr">
        <is>
          <t>TV-14</t>
        </is>
      </c>
      <c r="J552" s="19" t="inlineStr">
        <is>
          <t>110 min</t>
        </is>
      </c>
      <c r="K552" s="19" t="inlineStr">
        <is>
          <t>Comedies, Dramas, International Movies</t>
        </is>
      </c>
      <c r="L552" s="19" t="inlineStr">
        <is>
          <t>When she falls in love with the author of a novel she adores, bohemian Bitti enlists the help of a local printer to find her new object of affection.</t>
        </is>
      </c>
      <c r="M552" s="19" t="n">
        <v>2018</v>
      </c>
      <c r="N552" s="19">
        <f>IF(AND(OR(YearFilter="All",$M552=YearFilter),OR(RatingFilter="All",$I552=RatingFilter),OR(TypeFilter="All",$B552=TypeFilter),OR(GenreFilter="All",COUNTIFS(tblGenre[show_id],$A552,tblGenre[Genre],GenreFilter)&gt;0)),1,0)</f>
        <v/>
      </c>
    </row>
    <row r="553" ht="15" customHeight="1" s="20">
      <c r="A553" s="19" t="inlineStr">
        <is>
          <t>s4692</t>
        </is>
      </c>
      <c r="B553" s="19" t="inlineStr">
        <is>
          <t>Movie</t>
        </is>
      </c>
      <c r="C553" s="19" t="inlineStr">
        <is>
          <t>Mersal</t>
        </is>
      </c>
      <c r="D553" s="19" t="inlineStr">
        <is>
          <t>Atlee Kumar</t>
        </is>
      </c>
      <c r="E553" s="19" t="inlineStr">
        <is>
          <t>Joseph Vijay, S.J. Surya, Kajal Aggarwal, Samantha Ruth Prabhu, Nithya Menon, Vadivelu, Sathyaraj</t>
        </is>
      </c>
      <c r="F553" s="19" t="inlineStr">
        <is>
          <t>India</t>
        </is>
      </c>
      <c r="G553" s="19" t="inlineStr">
        <is>
          <t>2018-08-21</t>
        </is>
      </c>
      <c r="H553" s="19" t="n">
        <v>2017</v>
      </c>
      <c r="I553" s="19" t="inlineStr">
        <is>
          <t>TV-14</t>
        </is>
      </c>
      <c r="J553" s="19" t="inlineStr">
        <is>
          <t>162 min</t>
        </is>
      </c>
      <c r="K553" s="19" t="inlineStr">
        <is>
          <t>Action &amp; Adventure, Dramas, International Movies</t>
        </is>
      </c>
      <c r="L553" s="19" t="inlineStr">
        <is>
          <t>A detective arrests a doctor for crimes targeting medical professionals but later finds the real culprit in a tale of revenge, corruption and magic.</t>
        </is>
      </c>
      <c r="M553" s="19" t="n">
        <v>2018</v>
      </c>
      <c r="N553" s="19">
        <f>IF(AND(OR(YearFilter="All",$M553=YearFilter),OR(RatingFilter="All",$I553=RatingFilter),OR(TypeFilter="All",$B553=TypeFilter),OR(GenreFilter="All",COUNTIFS(tblGenre[show_id],$A553,tblGenre[Genre],GenreFilter)&gt;0)),1,0)</f>
        <v/>
      </c>
    </row>
    <row r="554" ht="15" customHeight="1" s="20">
      <c r="A554" s="19" t="inlineStr">
        <is>
          <t>s4693</t>
        </is>
      </c>
      <c r="B554" s="19" t="inlineStr">
        <is>
          <t>Movie</t>
        </is>
      </c>
      <c r="C554" s="19" t="inlineStr">
        <is>
          <t>Mom</t>
        </is>
      </c>
      <c r="D554" s="19" t="inlineStr">
        <is>
          <t>Ravi Udyawar</t>
        </is>
      </c>
      <c r="E554" s="19" t="inlineStr">
        <is>
          <t>Sridevi, Akshaye Khanna, Sajal Ali, Nawazuddin Siddiqui, Adnan Siddiqui, Pitobash, Abhimanyu Singh, Vikas Verma</t>
        </is>
      </c>
      <c r="F554" s="19" t="inlineStr">
        <is>
          <t>India</t>
        </is>
      </c>
      <c r="G554" s="19" t="inlineStr">
        <is>
          <t>2018-08-21</t>
        </is>
      </c>
      <c r="H554" s="19" t="n">
        <v>2017</v>
      </c>
      <c r="I554" s="19" t="inlineStr">
        <is>
          <t>TV-14</t>
        </is>
      </c>
      <c r="J554" s="19" t="inlineStr">
        <is>
          <t>139 min</t>
        </is>
      </c>
      <c r="K554" s="19" t="inlineStr">
        <is>
          <t>Dramas, International Movies, Thrillers</t>
        </is>
      </c>
      <c r="L554" s="19" t="inlineStr">
        <is>
          <t>After her stepdaughter is sexually assaulted at a party, a furious mother sets out to destroy the lives of the four perpetrators who walked away free.</t>
        </is>
      </c>
      <c r="M554" s="19" t="n">
        <v>2018</v>
      </c>
      <c r="N554" s="19">
        <f>IF(AND(OR(YearFilter="All",$M554=YearFilter),OR(RatingFilter="All",$I554=RatingFilter),OR(TypeFilter="All",$B554=TypeFilter),OR(GenreFilter="All",COUNTIFS(tblGenre[show_id],$A554,tblGenre[Genre],GenreFilter)&gt;0)),1,0)</f>
        <v/>
      </c>
    </row>
    <row r="555" ht="15" customHeight="1" s="20">
      <c r="A555" s="19" t="inlineStr">
        <is>
          <t>s4694</t>
        </is>
      </c>
      <c r="B555" s="19" t="inlineStr">
        <is>
          <t>Movie</t>
        </is>
      </c>
      <c r="C555" s="19" t="inlineStr">
        <is>
          <t>Pad Man</t>
        </is>
      </c>
      <c r="D555" s="19" t="inlineStr">
        <is>
          <t>R. Balki</t>
        </is>
      </c>
      <c r="E555" s="19" t="inlineStr">
        <is>
          <t>Akshay Kumar, Sonam Kapoor, Radhika Apte, Jyoti Subhash, Urmila Mahanta, Suneel Sinha, Sanjay Singh, Rakesh Chaturvedi Om</t>
        </is>
      </c>
      <c r="F555" s="19" t="inlineStr">
        <is>
          <t>India</t>
        </is>
      </c>
      <c r="G555" s="19" t="inlineStr">
        <is>
          <t>2018-08-21</t>
        </is>
      </c>
      <c r="H555" s="19" t="n">
        <v>2018</v>
      </c>
      <c r="I555" s="19" t="inlineStr">
        <is>
          <t>PG-13</t>
        </is>
      </c>
      <c r="J555" s="19" t="inlineStr">
        <is>
          <t>130 min</t>
        </is>
      </c>
      <c r="K555" s="19" t="inlineStr">
        <is>
          <t>Dramas, International Movies, Romantic Movies</t>
        </is>
      </c>
      <c r="L555" s="19" t="inlineStr">
        <is>
          <t>Despite public humiliation and resistance, an entrepreneur markets a hygienic, low-cost sanitary pad that even India's poorest women can afford.</t>
        </is>
      </c>
      <c r="M555" s="19" t="n">
        <v>2018</v>
      </c>
      <c r="N555" s="19">
        <f>IF(AND(OR(YearFilter="All",$M555=YearFilter),OR(RatingFilter="All",$I555=RatingFilter),OR(TypeFilter="All",$B555=TypeFilter),OR(GenreFilter="All",COUNTIFS(tblGenre[show_id],$A555,tblGenre[Genre],GenreFilter)&gt;0)),1,0)</f>
        <v/>
      </c>
    </row>
    <row r="556" ht="15" customHeight="1" s="20">
      <c r="A556" s="19" t="inlineStr">
        <is>
          <t>s4695</t>
        </is>
      </c>
      <c r="B556" s="19" t="inlineStr">
        <is>
          <t>Movie</t>
        </is>
      </c>
      <c r="C556" s="19" t="inlineStr">
        <is>
          <t>Toilet: Ek Prem Katha</t>
        </is>
      </c>
      <c r="D556" s="19" t="inlineStr">
        <is>
          <t>Shree Narayan Singh</t>
        </is>
      </c>
      <c r="E556" s="19" t="inlineStr">
        <is>
          <t>Akshay Kumar, Bhumi Pednekar, Divyendu Sharma, Atul Srivastava, Anupam Kher, Ayesha Raza Mishra, Mukesh S Bhatt, Shubha Khote, Sudhir Pandey</t>
        </is>
      </c>
      <c r="F556" s="19" t="inlineStr">
        <is>
          <t>India</t>
        </is>
      </c>
      <c r="G556" s="19" t="inlineStr">
        <is>
          <t>2018-08-21</t>
        </is>
      </c>
      <c r="H556" s="19" t="n">
        <v>2017</v>
      </c>
      <c r="I556" s="19" t="inlineStr">
        <is>
          <t>TV-14</t>
        </is>
      </c>
      <c r="J556" s="19" t="inlineStr">
        <is>
          <t>145 min</t>
        </is>
      </c>
      <c r="K556" s="19" t="inlineStr">
        <is>
          <t>Comedies, Dramas, International Movies</t>
        </is>
      </c>
      <c r="L556" s="19" t="inlineStr">
        <is>
          <t>On her first day of marriage, a woman leaves her husband upon learning his home lacks a toilet, sparking a quixotic quest to acquire modern sanitation.</t>
        </is>
      </c>
      <c r="M556" s="19" t="n">
        <v>2018</v>
      </c>
      <c r="N556" s="19">
        <f>IF(AND(OR(YearFilter="All",$M556=YearFilter),OR(RatingFilter="All",$I556=RatingFilter),OR(TypeFilter="All",$B556=TypeFilter),OR(GenreFilter="All",COUNTIFS(tblGenre[show_id],$A556,tblGenre[Genre],GenreFilter)&gt;0)),1,0)</f>
        <v/>
      </c>
    </row>
    <row r="557" ht="15" customHeight="1" s="20">
      <c r="A557" s="19" t="inlineStr">
        <is>
          <t>s4701</t>
        </is>
      </c>
      <c r="B557" s="19" t="inlineStr">
        <is>
          <t>Movie</t>
        </is>
      </c>
      <c r="C557" s="19" t="inlineStr">
        <is>
          <t>Bhavesh Joshi Superhero</t>
        </is>
      </c>
      <c r="D557" s="19" t="inlineStr">
        <is>
          <t>Vikramaditya Motwane</t>
        </is>
      </c>
      <c r="E557" s="19" t="inlineStr">
        <is>
          <t>Harshvardhan Kapoor, Priyanshu Painyuli, Ashish Verma, Shreiya Sabharwal, Pratap Phad, Chinmayee Mandlekar, Nishikant Kamat, Hrishikesh Joshi</t>
        </is>
      </c>
      <c r="F557" s="19" t="inlineStr">
        <is>
          <t>India</t>
        </is>
      </c>
      <c r="G557" s="19" t="inlineStr">
        <is>
          <t>2018-08-16</t>
        </is>
      </c>
      <c r="H557" s="19" t="n">
        <v>2018</v>
      </c>
      <c r="I557" s="19" t="inlineStr">
        <is>
          <t>TV-14</t>
        </is>
      </c>
      <c r="J557" s="19" t="inlineStr">
        <is>
          <t>150 min</t>
        </is>
      </c>
      <c r="K557" s="19" t="inlineStr">
        <is>
          <t>Dramas, International Movies, Sci-Fi &amp; Fantasy</t>
        </is>
      </c>
      <c r="L557" s="19" t="inlineStr">
        <is>
          <t>When his best friend is killed for uncovering political corruption, an idealistic young man decides to become a masked fighter for justice.</t>
        </is>
      </c>
      <c r="M557" s="19" t="n">
        <v>2018</v>
      </c>
      <c r="N557" s="19">
        <f>IF(AND(OR(YearFilter="All",$M557=YearFilter),OR(RatingFilter="All",$I557=RatingFilter),OR(TypeFilter="All",$B557=TypeFilter),OR(GenreFilter="All",COUNTIFS(tblGenre[show_id],$A557,tblGenre[Genre],GenreFilter)&gt;0)),1,0)</f>
        <v/>
      </c>
    </row>
    <row r="558" ht="15" customHeight="1" s="20">
      <c r="A558" s="19" t="inlineStr">
        <is>
          <t>s4702</t>
        </is>
      </c>
      <c r="B558" s="19" t="inlineStr">
        <is>
          <t>Movie</t>
        </is>
      </c>
      <c r="C558" s="19" t="inlineStr">
        <is>
          <t>For Here or to Go?</t>
        </is>
      </c>
      <c r="D558" s="19" t="inlineStr">
        <is>
          <t>Rucha Humnabadkar</t>
        </is>
      </c>
      <c r="E558" s="19" t="inlineStr">
        <is>
          <t>Ali Fazal, Melanie Chandra, Rajit Kapoor, Amitosh Nagpal, Omi Vaidya, Samrat Chakrabarti, Keith Stevenson</t>
        </is>
      </c>
      <c r="F558" s="19" t="inlineStr">
        <is>
          <t>United States, India</t>
        </is>
      </c>
      <c r="G558" s="19" t="inlineStr">
        <is>
          <t>2018-08-15</t>
        </is>
      </c>
      <c r="H558" s="19" t="n">
        <v>2015</v>
      </c>
      <c r="I558" s="19" t="inlineStr">
        <is>
          <t>TV-MA</t>
        </is>
      </c>
      <c r="J558" s="19" t="inlineStr">
        <is>
          <t>105 min</t>
        </is>
      </c>
      <c r="K558" s="19" t="inlineStr">
        <is>
          <t>Comedies, Dramas, Independent Movies</t>
        </is>
      </c>
      <c r="L558" s="19" t="inlineStr">
        <is>
          <t>A software engineer must decide if he'd rather navigate America's frustrating visa renewal process or simply return to his home country of India.</t>
        </is>
      </c>
      <c r="M558" s="19" t="n">
        <v>2018</v>
      </c>
      <c r="N558" s="19">
        <f>IF(AND(OR(YearFilter="All",$M558=YearFilter),OR(RatingFilter="All",$I558=RatingFilter),OR(TypeFilter="All",$B558=TypeFilter),OR(GenreFilter="All",COUNTIFS(tblGenre[show_id],$A558,tblGenre[Genre],GenreFilter)&gt;0)),1,0)</f>
        <v/>
      </c>
    </row>
    <row r="559" ht="15" customHeight="1" s="20">
      <c r="A559" s="19" t="inlineStr">
        <is>
          <t>s4713</t>
        </is>
      </c>
      <c r="B559" s="19" t="inlineStr">
        <is>
          <t>Movie</t>
        </is>
      </c>
      <c r="C559" s="19" t="inlineStr">
        <is>
          <t>2 States</t>
        </is>
      </c>
      <c r="D559" s="19" t="inlineStr">
        <is>
          <t>Abhishek Varman</t>
        </is>
      </c>
      <c r="E559" s="19" t="inlineStr">
        <is>
          <t>Alia Bhatt, Arjun Kapoor, Ronit Roy, Amrita Singh, Revathy, Aru Krishansh Verma</t>
        </is>
      </c>
      <c r="F559" s="19" t="inlineStr">
        <is>
          <t>India</t>
        </is>
      </c>
      <c r="G559" s="19" t="inlineStr">
        <is>
          <t>2018-08-04</t>
        </is>
      </c>
      <c r="H559" s="19" t="n">
        <v>2014</v>
      </c>
      <c r="I559" s="19" t="inlineStr">
        <is>
          <t>TV-PG</t>
        </is>
      </c>
      <c r="J559" s="19" t="inlineStr">
        <is>
          <t>143 min</t>
        </is>
      </c>
      <c r="K559" s="19" t="inlineStr">
        <is>
          <t>Comedies, Dramas, International Movies</t>
        </is>
      </c>
      <c r="L559" s="19" t="inlineStr">
        <is>
          <t>Graduate students Krish and Ananya hope to win their parents' approval before they marry, but the two families clash over their cultural differences.</t>
        </is>
      </c>
      <c r="M559" s="19" t="n">
        <v>2018</v>
      </c>
      <c r="N559" s="19">
        <f>IF(AND(OR(YearFilter="All",$M559=YearFilter),OR(RatingFilter="All",$I559=RatingFilter),OR(TypeFilter="All",$B559=TypeFilter),OR(GenreFilter="All",COUNTIFS(tblGenre[show_id],$A559,tblGenre[Genre],GenreFilter)&gt;0)),1,0)</f>
        <v/>
      </c>
    </row>
    <row r="560" ht="15" customHeight="1" s="20">
      <c r="A560" s="19" t="inlineStr">
        <is>
          <t>s4714</t>
        </is>
      </c>
      <c r="B560" s="19" t="inlineStr">
        <is>
          <t>Movie</t>
        </is>
      </c>
      <c r="C560" s="19" t="inlineStr">
        <is>
          <t>Baaghi</t>
        </is>
      </c>
      <c r="D560" s="19" t="inlineStr">
        <is>
          <t>Sabir Khan</t>
        </is>
      </c>
      <c r="E560" s="19" t="inlineStr">
        <is>
          <t>Tiger Shroff, Shraddha Kapoor, Sudheer Babu, Paras Arora, Sunil Grover, Sourav Chakraborty, Shaurya Bhardawaj</t>
        </is>
      </c>
      <c r="F560" s="19" t="inlineStr">
        <is>
          <t>India</t>
        </is>
      </c>
      <c r="G560" s="19" t="inlineStr">
        <is>
          <t>2018-08-04</t>
        </is>
      </c>
      <c r="H560" s="19" t="n">
        <v>2016</v>
      </c>
      <c r="I560" s="19" t="inlineStr">
        <is>
          <t>TV-14</t>
        </is>
      </c>
      <c r="J560" s="19" t="inlineStr">
        <is>
          <t>127 min</t>
        </is>
      </c>
      <c r="K560" s="19" t="inlineStr">
        <is>
          <t>Action &amp; Adventure, International Movies</t>
        </is>
      </c>
      <c r="L560" s="19" t="inlineStr">
        <is>
          <t>A martial artist faces his biggest test when he has to travel to Bangkok to rescue the woman he loves from the clutches of his romantic rival.</t>
        </is>
      </c>
      <c r="M560" s="19" t="n">
        <v>2018</v>
      </c>
      <c r="N560" s="19">
        <f>IF(AND(OR(YearFilter="All",$M560=YearFilter),OR(RatingFilter="All",$I560=RatingFilter),OR(TypeFilter="All",$B560=TypeFilter),OR(GenreFilter="All",COUNTIFS(tblGenre[show_id],$A560,tblGenre[Genre],GenreFilter)&gt;0)),1,0)</f>
        <v/>
      </c>
    </row>
    <row r="561" ht="15" customHeight="1" s="20">
      <c r="A561" s="19" t="inlineStr">
        <is>
          <t>s4715</t>
        </is>
      </c>
      <c r="B561" s="19" t="inlineStr">
        <is>
          <t>Movie</t>
        </is>
      </c>
      <c r="C561" s="19" t="inlineStr">
        <is>
          <t>Brij Mohan Amar Rahe</t>
        </is>
      </c>
      <c r="D561" s="19" t="inlineStr">
        <is>
          <t>Nikhil Nagesh Bhat</t>
        </is>
      </c>
      <c r="E561" s="19" t="inlineStr">
        <is>
          <t>Arjun Mathur, Nidhi Singh, Manav Vij, Sheetal Thakur, Sunny Hinduja, Yogendra Tikku, Vijayant Kohli</t>
        </is>
      </c>
      <c r="F561" s="19" t="inlineStr">
        <is>
          <t>India</t>
        </is>
      </c>
      <c r="G561" s="19" t="inlineStr">
        <is>
          <t>2018-08-04</t>
        </is>
      </c>
      <c r="H561" s="19" t="n">
        <v>2018</v>
      </c>
      <c r="I561" s="19" t="inlineStr">
        <is>
          <t>TV-MA</t>
        </is>
      </c>
      <c r="J561" s="19" t="inlineStr">
        <is>
          <t>100 min</t>
        </is>
      </c>
      <c r="K561" s="19" t="inlineStr">
        <is>
          <t>Comedies, Dramas, International Movies</t>
        </is>
      </c>
      <c r="L561" s="19" t="inlineStr">
        <is>
          <t>Faking his death to escape the realities of his uneventful life worked out well for Brij Mohan – until he was sentenced to death for his own murder.</t>
        </is>
      </c>
      <c r="M561" s="19" t="n">
        <v>2018</v>
      </c>
      <c r="N561" s="19">
        <f>IF(AND(OR(YearFilter="All",$M561=YearFilter),OR(RatingFilter="All",$I561=RatingFilter),OR(TypeFilter="All",$B561=TypeFilter),OR(GenreFilter="All",COUNTIFS(tblGenre[show_id],$A561,tblGenre[Genre],GenreFilter)&gt;0)),1,0)</f>
        <v/>
      </c>
    </row>
    <row r="562" ht="15" customHeight="1" s="20">
      <c r="A562" s="19" t="inlineStr">
        <is>
          <t>s4720</t>
        </is>
      </c>
      <c r="B562" s="19" t="inlineStr">
        <is>
          <t>Movie</t>
        </is>
      </c>
      <c r="C562" s="19" t="inlineStr">
        <is>
          <t>7 Khoon Maaf</t>
        </is>
      </c>
      <c r="D562" s="19" t="inlineStr">
        <is>
          <t>Vishal Bhardwaj</t>
        </is>
      </c>
      <c r="E562" s="19" t="inlineStr">
        <is>
          <t>Priyanka Chopra, Neil Nitin Mukesh, John Abraham, Irrfan Khan, Aleksandr Dyachenko, Annu Kapoor, Naseeruddin Shah, Vivaan Shah, Usha Uthup, Konkona Sen Sharma</t>
        </is>
      </c>
      <c r="F562" s="19" t="inlineStr">
        <is>
          <t>India</t>
        </is>
      </c>
      <c r="G562" s="19" t="inlineStr">
        <is>
          <t>2018-08-02</t>
        </is>
      </c>
      <c r="H562" s="19" t="n">
        <v>2011</v>
      </c>
      <c r="I562" s="19" t="inlineStr">
        <is>
          <t>TV-MA</t>
        </is>
      </c>
      <c r="J562" s="19" t="inlineStr">
        <is>
          <t>148 min</t>
        </is>
      </c>
      <c r="K562" s="19" t="inlineStr">
        <is>
          <t>Dramas, International Movies, Thrillers</t>
        </is>
      </c>
      <c r="L562" s="19" t="inlineStr">
        <is>
          <t>Spiced liberally with black comedy, this Bollywood drama follows the lethal love life of a woman who marries numerous men – only to find them flawed.</t>
        </is>
      </c>
      <c r="M562" s="19" t="n">
        <v>2018</v>
      </c>
      <c r="N562" s="19">
        <f>IF(AND(OR(YearFilter="All",$M562=YearFilter),OR(RatingFilter="All",$I562=RatingFilter),OR(TypeFilter="All",$B562=TypeFilter),OR(GenreFilter="All",COUNTIFS(tblGenre[show_id],$A562,tblGenre[Genre],GenreFilter)&gt;0)),1,0)</f>
        <v/>
      </c>
    </row>
    <row r="563" ht="15" customHeight="1" s="20">
      <c r="A563" s="19" t="inlineStr">
        <is>
          <t>s4721</t>
        </is>
      </c>
      <c r="B563" s="19" t="inlineStr">
        <is>
          <t>Movie</t>
        </is>
      </c>
      <c r="C563" s="19" t="inlineStr">
        <is>
          <t>Chillar Party</t>
        </is>
      </c>
      <c r="D563" s="19" t="inlineStr">
        <is>
          <t>Vikas Bahl, Nitesh Tiwari</t>
        </is>
      </c>
      <c r="E563" s="19" t="inlineStr">
        <is>
          <t>Irfan Khan, Raju, Sanath Menon, Rohan Grover, Naman Jain, Aarav Khanna, Vishesh Tiwari, Chinmai Chandranshuh, Vedant Desai, Shriya Sharma, Divji Handa</t>
        </is>
      </c>
      <c r="F563" s="19" t="inlineStr">
        <is>
          <t>India</t>
        </is>
      </c>
      <c r="G563" s="19" t="inlineStr">
        <is>
          <t>2018-08-02</t>
        </is>
      </c>
      <c r="H563" s="19" t="n">
        <v>2011</v>
      </c>
      <c r="I563" s="19" t="inlineStr">
        <is>
          <t>TV-PG</t>
        </is>
      </c>
      <c r="J563" s="19" t="inlineStr">
        <is>
          <t>127 min</t>
        </is>
      </c>
      <c r="K563" s="19" t="inlineStr">
        <is>
          <t>Children &amp; Family Movies, Comedies, Dramas</t>
        </is>
      </c>
      <c r="L563" s="19" t="inlineStr">
        <is>
          <t>Eight feisty boys befriend young drifter Fatka. When a mean politician threatens Fatka's way of life, the boys band together in honor of their pal.</t>
        </is>
      </c>
      <c r="M563" s="19" t="n">
        <v>2018</v>
      </c>
      <c r="N563" s="19">
        <f>IF(AND(OR(YearFilter="All",$M563=YearFilter),OR(RatingFilter="All",$I563=RatingFilter),OR(TypeFilter="All",$B563=TypeFilter),OR(GenreFilter="All",COUNTIFS(tblGenre[show_id],$A563,tblGenre[Genre],GenreFilter)&gt;0)),1,0)</f>
        <v/>
      </c>
    </row>
    <row r="564" ht="15" customHeight="1" s="20">
      <c r="A564" s="19" t="inlineStr">
        <is>
          <t>s4722</t>
        </is>
      </c>
      <c r="B564" s="19" t="inlineStr">
        <is>
          <t>Movie</t>
        </is>
      </c>
      <c r="C564" s="19" t="inlineStr">
        <is>
          <t>Fashion</t>
        </is>
      </c>
      <c r="D564" s="19" t="inlineStr">
        <is>
          <t>Madhur Bhandarkar</t>
        </is>
      </c>
      <c r="E564" s="19" t="inlineStr">
        <is>
          <t>Priyanka Chopra, Kangana Ranaut, Mugdha Godse, Arbaaz Khan, Arjan Bajwa, Raj Babbar, Kiran Juneja, Samir Soni</t>
        </is>
      </c>
      <c r="F564" s="19" t="inlineStr">
        <is>
          <t>India</t>
        </is>
      </c>
      <c r="G564" s="19" t="inlineStr">
        <is>
          <t>2018-08-02</t>
        </is>
      </c>
      <c r="H564" s="19" t="n">
        <v>2008</v>
      </c>
      <c r="I564" s="19" t="inlineStr">
        <is>
          <t>TV-MA</t>
        </is>
      </c>
      <c r="J564" s="19" t="inlineStr">
        <is>
          <t>158 min</t>
        </is>
      </c>
      <c r="K564" s="19" t="inlineStr">
        <is>
          <t>Dramas, International Movies</t>
        </is>
      </c>
      <c r="L564" s="19" t="inlineStr">
        <is>
          <t>A small-town girl finally realizes her dream of becoming a famous supermodel but soon finds there's a price for her glamorous new life.</t>
        </is>
      </c>
      <c r="M564" s="19" t="n">
        <v>2018</v>
      </c>
      <c r="N564" s="19">
        <f>IF(AND(OR(YearFilter="All",$M564=YearFilter),OR(RatingFilter="All",$I564=RatingFilter),OR(TypeFilter="All",$B564=TypeFilter),OR(GenreFilter="All",COUNTIFS(tblGenre[show_id],$A564,tblGenre[Genre],GenreFilter)&gt;0)),1,0)</f>
        <v/>
      </c>
    </row>
    <row r="565" ht="15" customHeight="1" s="20">
      <c r="A565" s="19" t="inlineStr">
        <is>
          <t>s4723</t>
        </is>
      </c>
      <c r="B565" s="19" t="inlineStr">
        <is>
          <t>Movie</t>
        </is>
      </c>
      <c r="C565" s="19" t="inlineStr">
        <is>
          <t>Fitoor</t>
        </is>
      </c>
      <c r="D565" s="19" t="inlineStr">
        <is>
          <t>Abhishek Kapoor</t>
        </is>
      </c>
      <c r="E565" s="19" t="inlineStr">
        <is>
          <t>Aditya Roy Kapoor, Katrina Kaif, Tabu, Rahul Bhatt, Lara Dutta, Akshay Oberoi, Aditi Rao Hydari, Ajay Devgn</t>
        </is>
      </c>
      <c r="F565" s="19" t="inlineStr">
        <is>
          <t>India</t>
        </is>
      </c>
      <c r="G565" s="19" t="inlineStr">
        <is>
          <t>2018-08-02</t>
        </is>
      </c>
      <c r="H565" s="19" t="n">
        <v>2016</v>
      </c>
      <c r="I565" s="19" t="inlineStr">
        <is>
          <t>TV-14</t>
        </is>
      </c>
      <c r="J565" s="19" t="inlineStr">
        <is>
          <t>124 min</t>
        </is>
      </c>
      <c r="K565" s="19" t="inlineStr">
        <is>
          <t>Dramas, International Movies, Romantic Movies</t>
        </is>
      </c>
      <c r="L565" s="19" t="inlineStr">
        <is>
          <t>A young artist falls for an aristocratic young woman whose bitter mother has trained her in the art of breaking hearts.</t>
        </is>
      </c>
      <c r="M565" s="19" t="n">
        <v>2018</v>
      </c>
      <c r="N565" s="19">
        <f>IF(AND(OR(YearFilter="All",$M565=YearFilter),OR(RatingFilter="All",$I565=RatingFilter),OR(TypeFilter="All",$B565=TypeFilter),OR(GenreFilter="All",COUNTIFS(tblGenre[show_id],$A565,tblGenre[Genre],GenreFilter)&gt;0)),1,0)</f>
        <v/>
      </c>
    </row>
    <row r="566" ht="15" customHeight="1" s="20">
      <c r="A566" s="19" t="inlineStr">
        <is>
          <t>s4724</t>
        </is>
      </c>
      <c r="B566" s="19" t="inlineStr">
        <is>
          <t>Movie</t>
        </is>
      </c>
      <c r="C566" s="19" t="inlineStr">
        <is>
          <t>Fiza</t>
        </is>
      </c>
      <c r="D566" s="19" t="inlineStr">
        <is>
          <t>Khalid Mohamed</t>
        </is>
      </c>
      <c r="E566" s="19" t="inlineStr">
        <is>
          <t>Karisma Kapoor, Jaya Bhaduri, Hrithik Roshan, Neha, Asha Sachdev, Bikram Saluja, Isha Koppikar, Johny Lever, Sushmita Sen, Manoj Bajpayee</t>
        </is>
      </c>
      <c r="F566" s="19" t="inlineStr">
        <is>
          <t>India</t>
        </is>
      </c>
      <c r="G566" s="19" t="inlineStr">
        <is>
          <t>2018-08-02</t>
        </is>
      </c>
      <c r="H566" s="19" t="n">
        <v>2000</v>
      </c>
      <c r="I566" s="19" t="inlineStr">
        <is>
          <t>TV-14</t>
        </is>
      </c>
      <c r="J566" s="19" t="inlineStr">
        <is>
          <t>163 min</t>
        </is>
      </c>
      <c r="K566" s="19" t="inlineStr">
        <is>
          <t>Dramas, International Movies, Music &amp; Musicals</t>
        </is>
      </c>
      <c r="L566" s="19" t="inlineStr">
        <is>
          <t>Fiza's brother disappears during Mumbai's horrifying 1993 riots. Each day, Fiza and her widowed mother hope that he will return.</t>
        </is>
      </c>
      <c r="M566" s="19" t="n">
        <v>2018</v>
      </c>
      <c r="N566" s="19">
        <f>IF(AND(OR(YearFilter="All",$M566=YearFilter),OR(RatingFilter="All",$I566=RatingFilter),OR(TypeFilter="All",$B566=TypeFilter),OR(GenreFilter="All",COUNTIFS(tblGenre[show_id],$A566,tblGenre[Genre],GenreFilter)&gt;0)),1,0)</f>
        <v/>
      </c>
    </row>
    <row r="567" ht="15" customHeight="1" s="20">
      <c r="A567" s="19" t="inlineStr">
        <is>
          <t>s4725</t>
        </is>
      </c>
      <c r="B567" s="19" t="inlineStr">
        <is>
          <t>Movie</t>
        </is>
      </c>
      <c r="C567" s="19" t="inlineStr">
        <is>
          <t>Guzaarish</t>
        </is>
      </c>
      <c r="D567" s="19" t="inlineStr">
        <is>
          <t>Sanjay Leela Bhansali</t>
        </is>
      </c>
      <c r="E567" s="19" t="inlineStr">
        <is>
          <t>Hrithik Roshan, Aishwarya Rai Bachchan, Shernaz Patel, Aditya Roy Kapoor, Nafisa Ali, Monikangana Dutta, Suhel Seth, Rajit Kapoor, Ash Chandler, Vijay Crishna</t>
        </is>
      </c>
      <c r="F567" s="19" t="inlineStr">
        <is>
          <t>India</t>
        </is>
      </c>
      <c r="G567" s="19" t="inlineStr">
        <is>
          <t>2018-08-02</t>
        </is>
      </c>
      <c r="H567" s="19" t="n">
        <v>2010</v>
      </c>
      <c r="I567" s="19" t="inlineStr">
        <is>
          <t>TV-14</t>
        </is>
      </c>
      <c r="J567" s="19" t="inlineStr">
        <is>
          <t>121 min</t>
        </is>
      </c>
      <c r="K567" s="19" t="inlineStr">
        <is>
          <t>Dramas, International Movies</t>
        </is>
      </c>
      <c r="L567" s="19" t="inlineStr">
        <is>
          <t>After an onstage disaster leaves an illusionist paralyzed, he channels his magic into a hit radio show. Years later, he fights for the right to die.</t>
        </is>
      </c>
      <c r="M567" s="19" t="n">
        <v>2018</v>
      </c>
      <c r="N567" s="19">
        <f>IF(AND(OR(YearFilter="All",$M567=YearFilter),OR(RatingFilter="All",$I567=RatingFilter),OR(TypeFilter="All",$B567=TypeFilter),OR(GenreFilter="All",COUNTIFS(tblGenre[show_id],$A567,tblGenre[Genre],GenreFilter)&gt;0)),1,0)</f>
        <v/>
      </c>
    </row>
    <row r="568" ht="15" customHeight="1" s="20">
      <c r="A568" s="19" t="inlineStr">
        <is>
          <t>s4726</t>
        </is>
      </c>
      <c r="B568" s="19" t="inlineStr">
        <is>
          <t>Movie</t>
        </is>
      </c>
      <c r="C568" s="19" t="inlineStr">
        <is>
          <t>Haider</t>
        </is>
      </c>
      <c r="D568" s="19" t="inlineStr">
        <is>
          <t>Vishal Bhardwaj</t>
        </is>
      </c>
      <c r="E568" s="19" t="inlineStr">
        <is>
          <t>Shahid Kapoor, Tabu, Shraddha Kapoor, Kay Kay Menon, Irrfan Khan, Narendra Jha</t>
        </is>
      </c>
      <c r="F568" s="19" t="inlineStr">
        <is>
          <t>India</t>
        </is>
      </c>
      <c r="G568" s="19" t="inlineStr">
        <is>
          <t>2018-08-02</t>
        </is>
      </c>
      <c r="H568" s="19" t="n">
        <v>2014</v>
      </c>
      <c r="I568" s="19" t="inlineStr">
        <is>
          <t>TV-MA</t>
        </is>
      </c>
      <c r="J568" s="19" t="inlineStr">
        <is>
          <t>154 min</t>
        </is>
      </c>
      <c r="K568" s="19" t="inlineStr">
        <is>
          <t>Dramas, International Movies, Romantic Movies</t>
        </is>
      </c>
      <c r="L568" s="19" t="inlineStr">
        <is>
          <t>Shahid Kapoor delivers a searing performance in this Bollywood take on Hamlet that unfolds amid Kashmiri culture and history.</t>
        </is>
      </c>
      <c r="M568" s="19" t="n">
        <v>2018</v>
      </c>
      <c r="N568" s="19">
        <f>IF(AND(OR(YearFilter="All",$M568=YearFilter),OR(RatingFilter="All",$I568=RatingFilter),OR(TypeFilter="All",$B568=TypeFilter),OR(GenreFilter="All",COUNTIFS(tblGenre[show_id],$A568,tblGenre[Genre],GenreFilter)&gt;0)),1,0)</f>
        <v/>
      </c>
    </row>
    <row r="569" ht="15" customHeight="1" s="20">
      <c r="A569" s="19" t="inlineStr">
        <is>
          <t>s4727</t>
        </is>
      </c>
      <c r="B569" s="19" t="inlineStr">
        <is>
          <t>Movie</t>
        </is>
      </c>
      <c r="C569" s="19" t="inlineStr">
        <is>
          <t>Highway</t>
        </is>
      </c>
      <c r="D569" s="19" t="inlineStr">
        <is>
          <t>Imtiaz Ali</t>
        </is>
      </c>
      <c r="E569" s="19" t="inlineStr">
        <is>
          <t>Randeep Hooda, Alia Bhatt, Durgesh Kumar, Pradeep Nagar</t>
        </is>
      </c>
      <c r="F569" s="19" t="inlineStr">
        <is>
          <t>India</t>
        </is>
      </c>
      <c r="G569" s="19" t="inlineStr">
        <is>
          <t>2018-08-02</t>
        </is>
      </c>
      <c r="H569" s="19" t="n">
        <v>2014</v>
      </c>
      <c r="I569" s="19" t="inlineStr">
        <is>
          <t>TV-14</t>
        </is>
      </c>
      <c r="J569" s="19" t="inlineStr">
        <is>
          <t>127 min</t>
        </is>
      </c>
      <c r="K569" s="19" t="inlineStr">
        <is>
          <t>Action &amp; Adventure, Dramas, International Movies</t>
        </is>
      </c>
      <c r="L569" s="19" t="inlineStr">
        <is>
          <t>City girl Veera is kidnapped on the eve of her wedding, but as her captors take her through the countryside, Veera finds herself feeling emancipated.</t>
        </is>
      </c>
      <c r="M569" s="19" t="n">
        <v>2018</v>
      </c>
      <c r="N569" s="19">
        <f>IF(AND(OR(YearFilter="All",$M569=YearFilter),OR(RatingFilter="All",$I569=RatingFilter),OR(TypeFilter="All",$B569=TypeFilter),OR(GenreFilter="All",COUNTIFS(tblGenre[show_id],$A569,tblGenre[Genre],GenreFilter)&gt;0)),1,0)</f>
        <v/>
      </c>
    </row>
    <row r="570" ht="15" customHeight="1" s="20">
      <c r="A570" s="19" t="inlineStr">
        <is>
          <t>s4728</t>
        </is>
      </c>
      <c r="B570" s="19" t="inlineStr">
        <is>
          <t>Movie</t>
        </is>
      </c>
      <c r="C570" s="19" t="inlineStr">
        <is>
          <t>I Hate Luv Storys</t>
        </is>
      </c>
      <c r="D570" s="19" t="inlineStr">
        <is>
          <t>Punit Malhotra</t>
        </is>
      </c>
      <c r="E570" s="19" t="inlineStr">
        <is>
          <t>Imran Khan, Sonam Kapoor, Sammir Dattani, Samir Soni, Kavin Dave, Bruna Abdullah</t>
        </is>
      </c>
      <c r="F570" s="19" t="inlineStr">
        <is>
          <t>India</t>
        </is>
      </c>
      <c r="G570" s="19" t="inlineStr">
        <is>
          <t>2018-08-02</t>
        </is>
      </c>
      <c r="H570" s="19" t="n">
        <v>2010</v>
      </c>
      <c r="I570" s="19" t="inlineStr">
        <is>
          <t>TV-14</t>
        </is>
      </c>
      <c r="J570" s="19" t="inlineStr">
        <is>
          <t>128 min</t>
        </is>
      </c>
      <c r="K570" s="19" t="inlineStr">
        <is>
          <t>Comedies, International Movies, Music &amp; Musicals</t>
        </is>
      </c>
      <c r="L570" s="19" t="inlineStr">
        <is>
          <t>This Bollywood spoof recounts the ups and downs of an assistant film director who loathes romance and a designer who adores all things sentimental.</t>
        </is>
      </c>
      <c r="M570" s="19" t="n">
        <v>2018</v>
      </c>
      <c r="N570" s="19">
        <f>IF(AND(OR(YearFilter="All",$M570=YearFilter),OR(RatingFilter="All",$I570=RatingFilter),OR(TypeFilter="All",$B570=TypeFilter),OR(GenreFilter="All",COUNTIFS(tblGenre[show_id],$A570,tblGenre[Genre],GenreFilter)&gt;0)),1,0)</f>
        <v/>
      </c>
    </row>
    <row r="571" ht="15" customHeight="1" s="20">
      <c r="A571" s="19" t="inlineStr">
        <is>
          <t>s4729</t>
        </is>
      </c>
      <c r="B571" s="19" t="inlineStr">
        <is>
          <t>Movie</t>
        </is>
      </c>
      <c r="C571" s="19" t="inlineStr">
        <is>
          <t>Joker</t>
        </is>
      </c>
      <c r="D571" s="19" t="inlineStr">
        <is>
          <t>Shirish Kunder</t>
        </is>
      </c>
      <c r="E571" s="19" t="inlineStr">
        <is>
          <t>Akshay Kumar, Sonakshi Sinha, Shreyas Talpade, Minissha Lamba, Pitobash, Darshan Jariwala, Alexx O'Nell, Asrani, Sanjay Mishra, Vrijesh Hirjee</t>
        </is>
      </c>
      <c r="F571" s="19" t="inlineStr">
        <is>
          <t>India</t>
        </is>
      </c>
      <c r="G571" s="19" t="inlineStr">
        <is>
          <t>2018-08-02</t>
        </is>
      </c>
      <c r="H571" s="19" t="n">
        <v>2012</v>
      </c>
      <c r="I571" s="19" t="inlineStr">
        <is>
          <t>TV-PG</t>
        </is>
      </c>
      <c r="J571" s="19" t="inlineStr">
        <is>
          <t>98 min</t>
        </is>
      </c>
      <c r="K571" s="19" t="inlineStr">
        <is>
          <t>Comedies, International Movies, Music &amp; Musicals</t>
        </is>
      </c>
      <c r="L571" s="19" t="inlineStr">
        <is>
          <t>A remote village situated neither in India or Pakistan becomes its own republic after inmates at the local mental asylum bust loose and take over.</t>
        </is>
      </c>
      <c r="M571" s="19" t="n">
        <v>2018</v>
      </c>
      <c r="N571" s="19">
        <f>IF(AND(OR(YearFilter="All",$M571=YearFilter),OR(RatingFilter="All",$I571=RatingFilter),OR(TypeFilter="All",$B571=TypeFilter),OR(GenreFilter="All",COUNTIFS(tblGenre[show_id],$A571,tblGenre[Genre],GenreFilter)&gt;0)),1,0)</f>
        <v/>
      </c>
    </row>
    <row r="572" ht="15" customHeight="1" s="20">
      <c r="A572" s="19" t="inlineStr">
        <is>
          <t>s4730</t>
        </is>
      </c>
      <c r="B572" s="19" t="inlineStr">
        <is>
          <t>Movie</t>
        </is>
      </c>
      <c r="C572" s="19" t="inlineStr">
        <is>
          <t>Main aurr Mrs. Khanna</t>
        </is>
      </c>
      <c r="D572" s="19" t="inlineStr">
        <is>
          <t>Prem Soni</t>
        </is>
      </c>
      <c r="E572" s="19" t="inlineStr">
        <is>
          <t>Salman Khan, Kareena Kapoor, Sohail Khan, Preity Zinta, Bappi Lahiri, Yash Tonk, Nauheed Cyrusi, Mahek Chahal</t>
        </is>
      </c>
      <c r="F572" s="19" t="inlineStr">
        <is>
          <t>India</t>
        </is>
      </c>
      <c r="G572" s="19" t="inlineStr">
        <is>
          <t>2018-08-02</t>
        </is>
      </c>
      <c r="H572" s="19" t="n">
        <v>2009</v>
      </c>
      <c r="I572" s="19" t="inlineStr">
        <is>
          <t>TV-14</t>
        </is>
      </c>
      <c r="J572" s="19" t="inlineStr">
        <is>
          <t>109 min</t>
        </is>
      </c>
      <c r="K572" s="19" t="inlineStr">
        <is>
          <t>International Movies, Music &amp; Musicals, Romantic Movies</t>
        </is>
      </c>
      <c r="L572" s="19" t="inlineStr">
        <is>
          <t>A financially troubled Indian man heads to Singapore to find employment, while his pretty wife stays behind in a move that could cause trouble.</t>
        </is>
      </c>
      <c r="M572" s="19" t="n">
        <v>2018</v>
      </c>
      <c r="N572" s="19">
        <f>IF(AND(OR(YearFilter="All",$M572=YearFilter),OR(RatingFilter="All",$I572=RatingFilter),OR(TypeFilter="All",$B572=TypeFilter),OR(GenreFilter="All",COUNTIFS(tblGenre[show_id],$A572,tblGenre[Genre],GenreFilter)&gt;0)),1,0)</f>
        <v/>
      </c>
    </row>
    <row r="573" ht="15" customHeight="1" s="20">
      <c r="A573" s="19" t="inlineStr">
        <is>
          <t>s4731</t>
        </is>
      </c>
      <c r="B573" s="19" t="inlineStr">
        <is>
          <t>Movie</t>
        </is>
      </c>
      <c r="C573" s="19" t="inlineStr">
        <is>
          <t>Mohenjo Daro</t>
        </is>
      </c>
      <c r="D573" s="19" t="inlineStr">
        <is>
          <t>Ashutosh Gowariker</t>
        </is>
      </c>
      <c r="E573" s="19" t="inlineStr">
        <is>
          <t>Hrithik Roshan, Sonakshi Sinha, Pooja Hegde, Kabir Bedi, Arunoday Singh, Kishori Shahane, Narendra Jha, Nitish Bharadwaj</t>
        </is>
      </c>
      <c r="F573" s="19" t="inlineStr">
        <is>
          <t>India</t>
        </is>
      </c>
      <c r="G573" s="19" t="inlineStr">
        <is>
          <t>2018-08-02</t>
        </is>
      </c>
      <c r="H573" s="19" t="n">
        <v>2016</v>
      </c>
      <c r="I573" s="19" t="inlineStr">
        <is>
          <t>TV-14</t>
        </is>
      </c>
      <c r="J573" s="19" t="inlineStr">
        <is>
          <t>168 min</t>
        </is>
      </c>
      <c r="K573" s="19" t="inlineStr">
        <is>
          <t>Action &amp; Adventure, Dramas, International Movies</t>
        </is>
      </c>
      <c r="L573" s="19" t="inlineStr">
        <is>
          <t>A courageous villager moves to the ancient city of Mohenjo Daro, where he falls for the daughter of a priest and does battle with a tyrant.</t>
        </is>
      </c>
      <c r="M573" s="19" t="n">
        <v>2018</v>
      </c>
      <c r="N573" s="19">
        <f>IF(AND(OR(YearFilter="All",$M573=YearFilter),OR(RatingFilter="All",$I573=RatingFilter),OR(TypeFilter="All",$B573=TypeFilter),OR(GenreFilter="All",COUNTIFS(tblGenre[show_id],$A573,tblGenre[Genre],GenreFilter)&gt;0)),1,0)</f>
        <v/>
      </c>
    </row>
    <row r="574" ht="15" customHeight="1" s="20">
      <c r="A574" s="19" t="inlineStr">
        <is>
          <t>s4732</t>
        </is>
      </c>
      <c r="B574" s="19" t="inlineStr">
        <is>
          <t>Movie</t>
        </is>
      </c>
      <c r="C574" s="19" t="inlineStr">
        <is>
          <t>Raajneeti</t>
        </is>
      </c>
      <c r="D574" s="19" t="inlineStr">
        <is>
          <t>Prakash Jha</t>
        </is>
      </c>
      <c r="E574" s="19" t="inlineStr">
        <is>
          <t>Ajay Devgn, Nana Patekar, Ranbir Kapoor, Katrina Kaif, Arjun Rampal, Manoj Bajpayee, Sarah Thompson, Naseeruddin Shah</t>
        </is>
      </c>
      <c r="F574" s="19" t="inlineStr">
        <is>
          <t>India</t>
        </is>
      </c>
      <c r="G574" s="19" t="inlineStr">
        <is>
          <t>2018-08-02</t>
        </is>
      </c>
      <c r="H574" s="19" t="n">
        <v>2010</v>
      </c>
      <c r="I574" s="19" t="inlineStr">
        <is>
          <t>TV-14</t>
        </is>
      </c>
      <c r="J574" s="19" t="inlineStr">
        <is>
          <t>162 min</t>
        </is>
      </c>
      <c r="K574" s="19" t="inlineStr">
        <is>
          <t>Dramas, International Movies, Thrillers</t>
        </is>
      </c>
      <c r="L574" s="19" t="inlineStr">
        <is>
          <t>When the American-educated scion of a powerful Indian family returns to the subcontinent, his first taste of power starts him down a corrupt path.</t>
        </is>
      </c>
      <c r="M574" s="19" t="n">
        <v>2018</v>
      </c>
      <c r="N574" s="19">
        <f>IF(AND(OR(YearFilter="All",$M574=YearFilter),OR(RatingFilter="All",$I574=RatingFilter),OR(TypeFilter="All",$B574=TypeFilter),OR(GenreFilter="All",COUNTIFS(tblGenre[show_id],$A574,tblGenre[Genre],GenreFilter)&gt;0)),1,0)</f>
        <v/>
      </c>
    </row>
    <row r="575" ht="15" customHeight="1" s="20">
      <c r="A575" s="19" t="inlineStr">
        <is>
          <t>s4733</t>
        </is>
      </c>
      <c r="B575" s="19" t="inlineStr">
        <is>
          <t>Movie</t>
        </is>
      </c>
      <c r="C575" s="19" t="inlineStr">
        <is>
          <t>Rang De Basanti</t>
        </is>
      </c>
      <c r="D575" s="19" t="inlineStr">
        <is>
          <t>Rakeysh Omprakash Mehra</t>
        </is>
      </c>
      <c r="E575" s="19" t="inlineStr">
        <is>
          <t>Aamir Khan, Siddharth, Atul Kulkarni, Sharman Joshi, Kunal Kapoor, Alice Patten, Soha Ali Khan, Waheeda Rehman, Kiron Kher, Om Puri, Anupam Kher, Madhavan</t>
        </is>
      </c>
      <c r="F575" s="19" t="inlineStr">
        <is>
          <t>India</t>
        </is>
      </c>
      <c r="G575" s="19" t="inlineStr">
        <is>
          <t>2018-08-02</t>
        </is>
      </c>
      <c r="H575" s="19" t="n">
        <v>2006</v>
      </c>
      <c r="I575" s="19" t="inlineStr">
        <is>
          <t>TV-14</t>
        </is>
      </c>
      <c r="J575" s="19" t="inlineStr">
        <is>
          <t>159 min</t>
        </is>
      </c>
      <c r="K575" s="19" t="inlineStr">
        <is>
          <t>Dramas, International Movies</t>
        </is>
      </c>
      <c r="L575" s="19" t="inlineStr">
        <is>
          <t>An idealistic English filmmaker casts a group of student actors in her docudrama about India's revolution against British rule in the 1920s.</t>
        </is>
      </c>
      <c r="M575" s="19" t="n">
        <v>2018</v>
      </c>
      <c r="N575" s="19">
        <f>IF(AND(OR(YearFilter="All",$M575=YearFilter),OR(RatingFilter="All",$I575=RatingFilter),OR(TypeFilter="All",$B575=TypeFilter),OR(GenreFilter="All",COUNTIFS(tblGenre[show_id],$A575,tblGenre[Genre],GenreFilter)&gt;0)),1,0)</f>
        <v/>
      </c>
    </row>
    <row r="576" ht="15" customHeight="1" s="20">
      <c r="A576" s="19" t="inlineStr">
        <is>
          <t>s4734</t>
        </is>
      </c>
      <c r="B576" s="19" t="inlineStr">
        <is>
          <t>Movie</t>
        </is>
      </c>
      <c r="C576" s="19" t="inlineStr">
        <is>
          <t>Rowdy Rathore</t>
        </is>
      </c>
      <c r="D576" s="19" t="inlineStr">
        <is>
          <t>Prabhu Deva</t>
        </is>
      </c>
      <c r="E576" s="19" t="inlineStr">
        <is>
          <t>Akshay Kumar, Sonakshi Sinha, Nasser, Yashpal Sharma, Paresh Ganatra, Gurdip Kohli, Mushtaq Khan, Amit Kumar Tiwari</t>
        </is>
      </c>
      <c r="F576" s="19" t="inlineStr">
        <is>
          <t>India</t>
        </is>
      </c>
      <c r="G576" s="19" t="inlineStr">
        <is>
          <t>2018-08-02</t>
        </is>
      </c>
      <c r="H576" s="19" t="n">
        <v>2012</v>
      </c>
      <c r="I576" s="19" t="inlineStr">
        <is>
          <t>TV-14</t>
        </is>
      </c>
      <c r="J576" s="19" t="inlineStr">
        <is>
          <t>137 min</t>
        </is>
      </c>
      <c r="K576" s="19" t="inlineStr">
        <is>
          <t>Action &amp; Adventure, Comedies, International Movies</t>
        </is>
      </c>
      <c r="L576" s="19" t="inlineStr">
        <is>
          <t>A con man uncovers a deadly secret and must save his lady love, the little girl who insists she's his daughter and the small-town locals from the mob.</t>
        </is>
      </c>
      <c r="M576" s="19" t="n">
        <v>2018</v>
      </c>
      <c r="N576" s="19">
        <f>IF(AND(OR(YearFilter="All",$M576=YearFilter),OR(RatingFilter="All",$I576=RatingFilter),OR(TypeFilter="All",$B576=TypeFilter),OR(GenreFilter="All",COUNTIFS(tblGenre[show_id],$A576,tblGenre[Genre],GenreFilter)&gt;0)),1,0)</f>
        <v/>
      </c>
    </row>
    <row r="577" ht="15" customHeight="1" s="20">
      <c r="A577" s="19" t="inlineStr">
        <is>
          <t>s4735</t>
        </is>
      </c>
      <c r="B577" s="19" t="inlineStr">
        <is>
          <t>Movie</t>
        </is>
      </c>
      <c r="C577" s="19" t="inlineStr">
        <is>
          <t>Tamasha</t>
        </is>
      </c>
      <c r="D577" s="19" t="inlineStr">
        <is>
          <t>Imtiaz Ali</t>
        </is>
      </c>
      <c r="E577" s="19" t="inlineStr">
        <is>
          <t>Ranbir Kapoor, Deepika Padukone, Piyush Mishra, Javed Sheikh, Nikhil Bhagat, Faraaz Servaia</t>
        </is>
      </c>
      <c r="F577" s="19" t="inlineStr">
        <is>
          <t>India</t>
        </is>
      </c>
      <c r="G577" s="19" t="inlineStr">
        <is>
          <t>2018-08-02</t>
        </is>
      </c>
      <c r="H577" s="19" t="n">
        <v>2015</v>
      </c>
      <c r="I577" s="19" t="inlineStr">
        <is>
          <t>TV-14</t>
        </is>
      </c>
      <c r="J577" s="19" t="inlineStr">
        <is>
          <t>133 min</t>
        </is>
      </c>
      <c r="K577" s="19" t="inlineStr">
        <is>
          <t>Dramas, International Movies, Romantic Movies</t>
        </is>
      </c>
      <c r="L577" s="19" t="inlineStr">
        <is>
          <t>Meeting while on vacation, Ved and Tara sense a connection but vow to keep their real identities a secret. Years later, their paths cross again.</t>
        </is>
      </c>
      <c r="M577" s="19" t="n">
        <v>2018</v>
      </c>
      <c r="N577" s="19">
        <f>IF(AND(OR(YearFilter="All",$M577=YearFilter),OR(RatingFilter="All",$I577=RatingFilter),OR(TypeFilter="All",$B577=TypeFilter),OR(GenreFilter="All",COUNTIFS(tblGenre[show_id],$A577,tblGenre[Genre],GenreFilter)&gt;0)),1,0)</f>
        <v/>
      </c>
    </row>
    <row r="578" ht="15" customHeight="1" s="20">
      <c r="A578" s="19" t="inlineStr">
        <is>
          <t>s4736</t>
        </is>
      </c>
      <c r="B578" s="19" t="inlineStr">
        <is>
          <t>Movie</t>
        </is>
      </c>
      <c r="C578" s="19" t="inlineStr">
        <is>
          <t>Tere Naal Love Ho Gaya</t>
        </is>
      </c>
      <c r="D578" s="19" t="inlineStr">
        <is>
          <t>Mandeep Kumar</t>
        </is>
      </c>
      <c r="E578" s="19" t="inlineStr">
        <is>
          <t>Riteish Deshmukh, Genelia D'Souza, Tinnu Anand, Om Puri, Smita Jaykar, Chitrashi Rawat, Navin Prabhakar, Kartar Cheema</t>
        </is>
      </c>
      <c r="F578" s="19" t="inlineStr">
        <is>
          <t>India</t>
        </is>
      </c>
      <c r="G578" s="19" t="inlineStr">
        <is>
          <t>2018-08-02</t>
        </is>
      </c>
      <c r="H578" s="19" t="n">
        <v>2012</v>
      </c>
      <c r="I578" s="19" t="inlineStr">
        <is>
          <t>TV-14</t>
        </is>
      </c>
      <c r="J578" s="19" t="inlineStr">
        <is>
          <t>127 min</t>
        </is>
      </c>
      <c r="K578" s="19" t="inlineStr">
        <is>
          <t>Comedies, International Movies, Romantic Movies</t>
        </is>
      </c>
      <c r="L578" s="19" t="inlineStr">
        <is>
          <t>Mini isn't eager to wed the rich suitor who's been chosen for her, so she stages her own kidnapping and runs off with a man who works for her father.</t>
        </is>
      </c>
      <c r="M578" s="19" t="n">
        <v>2018</v>
      </c>
      <c r="N578" s="19">
        <f>IF(AND(OR(YearFilter="All",$M578=YearFilter),OR(RatingFilter="All",$I578=RatingFilter),OR(TypeFilter="All",$B578=TypeFilter),OR(GenreFilter="All",COUNTIFS(tblGenre[show_id],$A578,tblGenre[Genre],GenreFilter)&gt;0)),1,0)</f>
        <v/>
      </c>
    </row>
    <row r="579" ht="15" customHeight="1" s="20">
      <c r="A579" s="19" t="inlineStr">
        <is>
          <t>s4737</t>
        </is>
      </c>
      <c r="B579" s="19" t="inlineStr">
        <is>
          <t>Movie</t>
        </is>
      </c>
      <c r="C579" s="19" t="inlineStr">
        <is>
          <t>Thank You</t>
        </is>
      </c>
      <c r="D579" s="19" t="inlineStr">
        <is>
          <t>Anees Bazmee</t>
        </is>
      </c>
      <c r="E579" s="19" t="inlineStr">
        <is>
          <t>Akshay Kumar, Bobby Deol, Sonam Kapoor, Irrfan Khan, Sunil Shetty, Rimi Sen, Celina Jaitly</t>
        </is>
      </c>
      <c r="F579" s="19" t="inlineStr">
        <is>
          <t>India</t>
        </is>
      </c>
      <c r="G579" s="19" t="inlineStr">
        <is>
          <t>2018-08-02</t>
        </is>
      </c>
      <c r="H579" s="19" t="n">
        <v>2011</v>
      </c>
      <c r="I579" s="19" t="inlineStr">
        <is>
          <t>TV-14</t>
        </is>
      </c>
      <c r="J579" s="19" t="inlineStr">
        <is>
          <t>131 min</t>
        </is>
      </c>
      <c r="K579" s="19" t="inlineStr">
        <is>
          <t>Comedies, International Movies, Romantic Movies</t>
        </is>
      </c>
      <c r="L579" s="19" t="inlineStr">
        <is>
          <t>Three cheating husbands end up paying the price for their infidelities when their spouses hire a private detective – who falls for one of the wives.</t>
        </is>
      </c>
      <c r="M579" s="19" t="n">
        <v>2018</v>
      </c>
      <c r="N579" s="19">
        <f>IF(AND(OR(YearFilter="All",$M579=YearFilter),OR(RatingFilter="All",$I579=RatingFilter),OR(TypeFilter="All",$B579=TypeFilter),OR(GenreFilter="All",COUNTIFS(tblGenre[show_id],$A579,tblGenre[Genre],GenreFilter)&gt;0)),1,0)</f>
        <v/>
      </c>
    </row>
    <row r="580" ht="15" customHeight="1" s="20">
      <c r="A580" s="19" t="inlineStr">
        <is>
          <t>s4738</t>
        </is>
      </c>
      <c r="B580" s="19" t="inlineStr">
        <is>
          <t>Movie</t>
        </is>
      </c>
      <c r="C580" s="19" t="inlineStr">
        <is>
          <t>The Blue Umbrella</t>
        </is>
      </c>
      <c r="D580" s="19" t="inlineStr">
        <is>
          <t>Vishal Bhardwaj</t>
        </is>
      </c>
      <c r="E580" s="19" t="inlineStr">
        <is>
          <t>Pankaj Kapur, Shreya Sharma, Dolly Ahluwalia, Deepak Dobriyal, Rahul Kumar, Paramjit Singh Kakran, Piu Dutt, Samrat Mukherjee</t>
        </is>
      </c>
      <c r="F580" s="19" t="inlineStr">
        <is>
          <t>India</t>
        </is>
      </c>
      <c r="G580" s="19" t="inlineStr">
        <is>
          <t>2018-08-02</t>
        </is>
      </c>
      <c r="H580" s="19" t="n">
        <v>2005</v>
      </c>
      <c r="I580" s="19" t="inlineStr">
        <is>
          <t>TV-PG</t>
        </is>
      </c>
      <c r="J580" s="19" t="inlineStr">
        <is>
          <t>90 min</t>
        </is>
      </c>
      <c r="K580" s="19" t="inlineStr">
        <is>
          <t>Children &amp; Family Movies, Dramas, Independent Movies</t>
        </is>
      </c>
      <c r="L580" s="19" t="inlineStr">
        <is>
          <t>A charming allegory based on a novella by Ruskin Bond, this visually stunning film from India explores themes of greed, loneliness, longing and loss.</t>
        </is>
      </c>
      <c r="M580" s="19" t="n">
        <v>2018</v>
      </c>
      <c r="N580" s="19">
        <f>IF(AND(OR(YearFilter="All",$M580=YearFilter),OR(RatingFilter="All",$I580=RatingFilter),OR(TypeFilter="All",$B580=TypeFilter),OR(GenreFilter="All",COUNTIFS(tblGenre[show_id],$A580,tblGenre[Genre],GenreFilter)&gt;0)),1,0)</f>
        <v/>
      </c>
    </row>
    <row r="581" ht="15" customHeight="1" s="20">
      <c r="A581" s="19" t="inlineStr">
        <is>
          <t>s4756</t>
        </is>
      </c>
      <c r="B581" s="19" t="inlineStr">
        <is>
          <t>Movie</t>
        </is>
      </c>
      <c r="C581" s="19" t="inlineStr">
        <is>
          <t>Parmanu: The Story of Pokhran</t>
        </is>
      </c>
      <c r="D581" s="19" t="inlineStr">
        <is>
          <t>Abhishek Sharma</t>
        </is>
      </c>
      <c r="E581" s="19" t="inlineStr">
        <is>
          <t>John Abraham, Boman Irani, Diana Penty, Anuja Sathe, Yogendra Tikku, Aditya Hitkari, Vikas Kumar, Ajay Shankar, Darshan Pandya, Mark Benington</t>
        </is>
      </c>
      <c r="F581" s="19" t="inlineStr">
        <is>
          <t>India</t>
        </is>
      </c>
      <c r="G581" s="19" t="inlineStr">
        <is>
          <t>2018-07-25</t>
        </is>
      </c>
      <c r="H581" s="19" t="n">
        <v>2018</v>
      </c>
      <c r="I581" s="19" t="inlineStr">
        <is>
          <t>TV-PG</t>
        </is>
      </c>
      <c r="J581" s="19" t="inlineStr">
        <is>
          <t>124 min</t>
        </is>
      </c>
      <c r="K581" s="19" t="inlineStr">
        <is>
          <t>Dramas, International Movies</t>
        </is>
      </c>
      <c r="L581" s="19" t="inlineStr">
        <is>
          <t>A dedicated government official puts his career in jeopardy by insisting that India become a nuclear power, a goal that powerful forces resist.</t>
        </is>
      </c>
      <c r="M581" s="19" t="n">
        <v>2018</v>
      </c>
      <c r="N581" s="19">
        <f>IF(AND(OR(YearFilter="All",$M581=YearFilter),OR(RatingFilter="All",$I581=RatingFilter),OR(TypeFilter="All",$B581=TypeFilter),OR(GenreFilter="All",COUNTIFS(tblGenre[show_id],$A581,tblGenre[Genre],GenreFilter)&gt;0)),1,0)</f>
        <v/>
      </c>
    </row>
    <row r="582" ht="15" customHeight="1" s="20">
      <c r="A582" s="19" t="inlineStr">
        <is>
          <t>s4791</t>
        </is>
      </c>
      <c r="B582" s="19" t="inlineStr">
        <is>
          <t>Movie</t>
        </is>
      </c>
      <c r="C582" s="19" t="inlineStr">
        <is>
          <t>Anthony Kaun Hai?</t>
        </is>
      </c>
      <c r="D582" s="19" t="inlineStr">
        <is>
          <t>Raj Kaushal</t>
        </is>
      </c>
      <c r="E582" s="19" t="inlineStr">
        <is>
          <t>Sanjay Dutt, Arshad Warsi, Minissha Lamba, Raghuvir Yadav, Anusha Dhandekar, Gulshan Grover, Ravi Baswani</t>
        </is>
      </c>
      <c r="F582" s="19" t="inlineStr">
        <is>
          <t>India</t>
        </is>
      </c>
      <c r="G582" s="19" t="inlineStr">
        <is>
          <t>2018-07-01</t>
        </is>
      </c>
      <c r="H582" s="19" t="n">
        <v>2006</v>
      </c>
      <c r="I582" s="19" t="inlineStr">
        <is>
          <t>TV-14</t>
        </is>
      </c>
      <c r="J582" s="19" t="inlineStr">
        <is>
          <t>122 min</t>
        </is>
      </c>
      <c r="K582" s="19" t="inlineStr">
        <is>
          <t>Comedies, Dramas, International Movies</t>
        </is>
      </c>
      <c r="L582" s="19" t="inlineStr">
        <is>
          <t>A forger uses a fake identity in trying to retrieve stolen diamonds buried in a penitentiary, unaware a mob assassin is on the trail of his phony alias.</t>
        </is>
      </c>
      <c r="M582" s="19" t="n">
        <v>2018</v>
      </c>
      <c r="N582" s="19">
        <f>IF(AND(OR(YearFilter="All",$M582=YearFilter),OR(RatingFilter="All",$I582=RatingFilter),OR(TypeFilter="All",$B582=TypeFilter),OR(GenreFilter="All",COUNTIFS(tblGenre[show_id],$A582,tblGenre[Genre],GenreFilter)&gt;0)),1,0)</f>
        <v/>
      </c>
    </row>
    <row r="583" ht="15" customHeight="1" s="20">
      <c r="A583" s="19" t="inlineStr">
        <is>
          <t>s4793</t>
        </is>
      </c>
      <c r="B583" s="19" t="inlineStr">
        <is>
          <t>Movie</t>
        </is>
      </c>
      <c r="C583" s="19" t="inlineStr">
        <is>
          <t>Chalte Chalte</t>
        </is>
      </c>
      <c r="D583" s="19" t="inlineStr">
        <is>
          <t>Aziz Mirza</t>
        </is>
      </c>
      <c r="E583" s="19" t="inlineStr">
        <is>
          <t>Shah Rukh Khan, Rani Mukerji, Jas Arora, Satish Shah, Rajiv Verma, Lillete Dubey, Jayshree T., Johny Lever</t>
        </is>
      </c>
      <c r="F583" s="19" t="inlineStr">
        <is>
          <t>India</t>
        </is>
      </c>
      <c r="G583" s="19" t="inlineStr">
        <is>
          <t>2018-07-01</t>
        </is>
      </c>
      <c r="H583" s="19" t="n">
        <v>2003</v>
      </c>
      <c r="I583" s="19" t="inlineStr">
        <is>
          <t>TV-14</t>
        </is>
      </c>
      <c r="J583" s="19" t="inlineStr">
        <is>
          <t>166 min</t>
        </is>
      </c>
      <c r="K583" s="19" t="inlineStr">
        <is>
          <t>Dramas, International Movies, Romantic Movies</t>
        </is>
      </c>
      <c r="L583" s="19" t="inlineStr">
        <is>
          <t>Priya and Raj are polar opposites. Raj is brash and earthy, while Pirya is sophisticated and something of a perfectionist in all she does. They really are like oil and water, but nonetheless, they dare to fall in love.</t>
        </is>
      </c>
      <c r="M583" s="19" t="n">
        <v>2018</v>
      </c>
      <c r="N583" s="19">
        <f>IF(AND(OR(YearFilter="All",$M583=YearFilter),OR(RatingFilter="All",$I583=RatingFilter),OR(TypeFilter="All",$B583=TypeFilter),OR(GenreFilter="All",COUNTIFS(tblGenre[show_id],$A583,tblGenre[Genre],GenreFilter)&gt;0)),1,0)</f>
        <v/>
      </c>
    </row>
    <row r="584" ht="15" customHeight="1" s="20">
      <c r="A584" s="19" t="inlineStr">
        <is>
          <t>s4794</t>
        </is>
      </c>
      <c r="B584" s="19" t="inlineStr">
        <is>
          <t>Movie</t>
        </is>
      </c>
      <c r="C584" s="19" t="inlineStr">
        <is>
          <t>Deewana Main Deewana</t>
        </is>
      </c>
      <c r="D584" s="19" t="inlineStr">
        <is>
          <t>K.C. Bokadia</t>
        </is>
      </c>
      <c r="E584" s="19" t="inlineStr">
        <is>
          <t>Govinda, Priyanka Chopra, Kader Khan, Prem Chopra, Shakti Kapoor, Sharat Saxena, Himani Shivpuri, Johnny Lever</t>
        </is>
      </c>
      <c r="F584" s="19" t="inlineStr">
        <is>
          <t>India</t>
        </is>
      </c>
      <c r="G584" s="19" t="inlineStr">
        <is>
          <t>2018-07-01</t>
        </is>
      </c>
      <c r="H584" s="19" t="n">
        <v>2013</v>
      </c>
      <c r="I584" s="19" t="inlineStr">
        <is>
          <t>TV-14</t>
        </is>
      </c>
      <c r="J584" s="19" t="inlineStr">
        <is>
          <t>107 min</t>
        </is>
      </c>
      <c r="K584" s="19" t="inlineStr">
        <is>
          <t>Comedies, Dramas, International Movies</t>
        </is>
      </c>
      <c r="L584" s="19" t="inlineStr">
        <is>
          <t>A man's instant attraction to a woman becomes an obsession as he adopts a friend's identity and even commits murder in order to get closer to her.</t>
        </is>
      </c>
      <c r="M584" s="19" t="n">
        <v>2018</v>
      </c>
      <c r="N584" s="19">
        <f>IF(AND(OR(YearFilter="All",$M584=YearFilter),OR(RatingFilter="All",$I584=RatingFilter),OR(TypeFilter="All",$B584=TypeFilter),OR(GenreFilter="All",COUNTIFS(tblGenre[show_id],$A584,tblGenre[Genre],GenreFilter)&gt;0)),1,0)</f>
        <v/>
      </c>
    </row>
    <row r="585" ht="15" customHeight="1" s="20">
      <c r="A585" s="19" t="inlineStr">
        <is>
          <t>s4796</t>
        </is>
      </c>
      <c r="B585" s="19" t="inlineStr">
        <is>
          <t>Movie</t>
        </is>
      </c>
      <c r="C585" s="19" t="inlineStr">
        <is>
          <t>I Am Kalam</t>
        </is>
      </c>
      <c r="D585" s="19" t="inlineStr">
        <is>
          <t>Nila Madhab Panda</t>
        </is>
      </c>
      <c r="E585" s="19" t="inlineStr">
        <is>
          <t>Gulshan Grover, Harsh Mayar, Pitobash, Hussan Saad, Beatrice Ordeix, Sanjay Chauhan</t>
        </is>
      </c>
      <c r="F585" s="19" t="inlineStr">
        <is>
          <t>India</t>
        </is>
      </c>
      <c r="G585" s="19" t="inlineStr">
        <is>
          <t>2018-07-01</t>
        </is>
      </c>
      <c r="H585" s="19" t="n">
        <v>2010</v>
      </c>
      <c r="I585" s="19" t="inlineStr">
        <is>
          <t>TV-PG</t>
        </is>
      </c>
      <c r="J585" s="19" t="inlineStr">
        <is>
          <t>87 min</t>
        </is>
      </c>
      <c r="K585" s="19" t="inlineStr">
        <is>
          <t>Children &amp; Family Movies, Comedies, Dramas</t>
        </is>
      </c>
      <c r="L585" s="19" t="inlineStr">
        <is>
          <t>An intelligent boy born into poverty befriends the son of a once noble family and is inspired by the life of India's president to pursue an education.</t>
        </is>
      </c>
      <c r="M585" s="19" t="n">
        <v>2018</v>
      </c>
      <c r="N585" s="19">
        <f>IF(AND(OR(YearFilter="All",$M585=YearFilter),OR(RatingFilter="All",$I585=RatingFilter),OR(TypeFilter="All",$B585=TypeFilter),OR(GenreFilter="All",COUNTIFS(tblGenre[show_id],$A585,tblGenre[Genre],GenreFilter)&gt;0)),1,0)</f>
        <v/>
      </c>
    </row>
    <row r="586" ht="15" customHeight="1" s="20">
      <c r="A586" s="19" t="inlineStr">
        <is>
          <t>s4797</t>
        </is>
      </c>
      <c r="B586" s="19" t="inlineStr">
        <is>
          <t>Movie</t>
        </is>
      </c>
      <c r="C586" s="19" t="inlineStr">
        <is>
          <t>My Birthday Song</t>
        </is>
      </c>
      <c r="D586" s="19" t="inlineStr">
        <is>
          <t>Samir Soni</t>
        </is>
      </c>
      <c r="E586" s="19" t="inlineStr">
        <is>
          <t>Sanjay Suri, Nora Fatehi, Zenia Starr, Suparna Krishna, Elena Kazan</t>
        </is>
      </c>
      <c r="F586" s="19" t="inlineStr">
        <is>
          <t>India</t>
        </is>
      </c>
      <c r="G586" s="19" t="inlineStr">
        <is>
          <t>2018-07-01</t>
        </is>
      </c>
      <c r="H586" s="19" t="n">
        <v>2018</v>
      </c>
      <c r="I586" s="19" t="inlineStr">
        <is>
          <t>TV-14</t>
        </is>
      </c>
      <c r="J586" s="19" t="inlineStr">
        <is>
          <t>92 min</t>
        </is>
      </c>
      <c r="K586" s="19" t="inlineStr">
        <is>
          <t>Dramas, International Movies, Thrillers</t>
        </is>
      </c>
      <c r="L586" s="19" t="inlineStr">
        <is>
          <t>After a wild night of impulse and infidelity, advertising executive Rajiv Kaul must navigate the blurred lines between life, death, fact and fiction.</t>
        </is>
      </c>
      <c r="M586" s="19" t="n">
        <v>2018</v>
      </c>
      <c r="N586" s="19">
        <f>IF(AND(OR(YearFilter="All",$M586=YearFilter),OR(RatingFilter="All",$I586=RatingFilter),OR(TypeFilter="All",$B586=TypeFilter),OR(GenreFilter="All",COUNTIFS(tblGenre[show_id],$A586,tblGenre[Genre],GenreFilter)&gt;0)),1,0)</f>
        <v/>
      </c>
    </row>
    <row r="587" ht="15" customHeight="1" s="20">
      <c r="A587" s="19" t="inlineStr">
        <is>
          <t>s4798</t>
        </is>
      </c>
      <c r="B587" s="19" t="inlineStr">
        <is>
          <t>Movie</t>
        </is>
      </c>
      <c r="C587" s="19" t="inlineStr">
        <is>
          <t>Namastey London</t>
        </is>
      </c>
      <c r="D587" s="19" t="inlineStr">
        <is>
          <t>Vipul Amrutlal Shah</t>
        </is>
      </c>
      <c r="E587" s="19" t="inlineStr">
        <is>
          <t>Akshay Kumar, Katrina Kaif, Rishi Kapoor, Upen Patel, Javed Sheikh, Nina Wadia, Clive Standen, Tiffany Mulheron</t>
        </is>
      </c>
      <c r="F587" s="19" t="inlineStr">
        <is>
          <t>India</t>
        </is>
      </c>
      <c r="G587" s="19" t="inlineStr">
        <is>
          <t>2018-07-01</t>
        </is>
      </c>
      <c r="H587" s="19" t="n">
        <v>2007</v>
      </c>
      <c r="I587" s="19" t="inlineStr">
        <is>
          <t>TV-14</t>
        </is>
      </c>
      <c r="J587" s="19" t="inlineStr">
        <is>
          <t>130 min</t>
        </is>
      </c>
      <c r="K587" s="19" t="inlineStr">
        <is>
          <t>Comedies, Dramas, International Movies</t>
        </is>
      </c>
      <c r="L587" s="19" t="inlineStr">
        <is>
          <t>To her Indian parents' dismay, London-born Jasmeet "Jazz" Malhotra longs for everything Western, including her British boyfriend. On a family trip to India, her father arranges Jazz's nuptials to Arjun Ballu Singh, who's smitten with his new bride.</t>
        </is>
      </c>
      <c r="M587" s="19" t="n">
        <v>2018</v>
      </c>
      <c r="N587" s="19">
        <f>IF(AND(OR(YearFilter="All",$M587=YearFilter),OR(RatingFilter="All",$I587=RatingFilter),OR(TypeFilter="All",$B587=TypeFilter),OR(GenreFilter="All",COUNTIFS(tblGenre[show_id],$A587,tblGenre[Genre],GenreFilter)&gt;0)),1,0)</f>
        <v/>
      </c>
    </row>
    <row r="588" ht="15" customHeight="1" s="20">
      <c r="A588" s="19" t="inlineStr">
        <is>
          <t>s4801</t>
        </is>
      </c>
      <c r="B588" s="19" t="inlineStr">
        <is>
          <t>Movie</t>
        </is>
      </c>
      <c r="C588" s="19" t="inlineStr">
        <is>
          <t>Tum Milo Toh Sahi</t>
        </is>
      </c>
      <c r="D588" s="19" t="inlineStr">
        <is>
          <t>Kabir Sadanand</t>
        </is>
      </c>
      <c r="E588" s="19" t="inlineStr">
        <is>
          <t>Nana Patekar, Dimple Kapadia, Sunil Shetty, Vidya Malvade, Rehan Khan, Anjana Sukhani, Mohnish Bahl, Vrajesh Hirjee</t>
        </is>
      </c>
      <c r="F588" s="19" t="inlineStr">
        <is>
          <t>India</t>
        </is>
      </c>
      <c r="G588" s="19" t="inlineStr">
        <is>
          <t>2018-07-01</t>
        </is>
      </c>
      <c r="H588" s="19" t="n">
        <v>2010</v>
      </c>
      <c r="I588" s="19" t="inlineStr">
        <is>
          <t>TV-14</t>
        </is>
      </c>
      <c r="J588" s="19" t="inlineStr">
        <is>
          <t>128 min</t>
        </is>
      </c>
      <c r="K588" s="19" t="inlineStr">
        <is>
          <t>Comedies, Dramas, International Movies</t>
        </is>
      </c>
      <c r="L588" s="19" t="inlineStr">
        <is>
          <t>An astute but old-fashioned law clerk steps up to help the owner of a cafe in a legal battle that has both business and personal ramifications.</t>
        </is>
      </c>
      <c r="M588" s="19" t="n">
        <v>2018</v>
      </c>
      <c r="N588" s="19">
        <f>IF(AND(OR(YearFilter="All",$M588=YearFilter),OR(RatingFilter="All",$I588=RatingFilter),OR(TypeFilter="All",$B588=TypeFilter),OR(GenreFilter="All",COUNTIFS(tblGenre[show_id],$A588,tblGenre[Genre],GenreFilter)&gt;0)),1,0)</f>
        <v/>
      </c>
    </row>
    <row r="589" ht="15" customHeight="1" s="20">
      <c r="A589" s="19" t="inlineStr">
        <is>
          <t>s4803</t>
        </is>
      </c>
      <c r="B589" s="19" t="inlineStr">
        <is>
          <t>Movie</t>
        </is>
      </c>
      <c r="C589" s="19" t="inlineStr">
        <is>
          <t>Zoo</t>
        </is>
      </c>
      <c r="D589" s="19" t="inlineStr">
        <is>
          <t>Shlok Sharma</t>
        </is>
      </c>
      <c r="E589" s="19" t="inlineStr">
        <is>
          <t>Shashank Arora, Shweta Tripathi, Rahul Kumar, Gopal K. Singh, Yogesh Kurme, Prince Daniel</t>
        </is>
      </c>
      <c r="F589" s="19" t="inlineStr">
        <is>
          <t>India</t>
        </is>
      </c>
      <c r="G589" s="19" t="inlineStr">
        <is>
          <t>2018-07-01</t>
        </is>
      </c>
      <c r="H589" s="19" t="n">
        <v>2018</v>
      </c>
      <c r="I589" s="19" t="inlineStr">
        <is>
          <t>TV-MA</t>
        </is>
      </c>
      <c r="J589" s="19" t="inlineStr">
        <is>
          <t>94 min</t>
        </is>
      </c>
      <c r="K589" s="19" t="inlineStr">
        <is>
          <t>Dramas, Independent Movies, International Movies</t>
        </is>
      </c>
      <c r="L589" s="19" t="inlineStr">
        <is>
          <t>A drug dealer starts having doubts about his trade as his brother, his client, and two rappers from the slums each battle their own secret addictions.</t>
        </is>
      </c>
      <c r="M589" s="19" t="n">
        <v>2018</v>
      </c>
      <c r="N589" s="19">
        <f>IF(AND(OR(YearFilter="All",$M589=YearFilter),OR(RatingFilter="All",$I589=RatingFilter),OR(TypeFilter="All",$B589=TypeFilter),OR(GenreFilter="All",COUNTIFS(tblGenre[show_id],$A589,tblGenre[Genre],GenreFilter)&gt;0)),1,0)</f>
        <v/>
      </c>
    </row>
    <row r="590" ht="15" customHeight="1" s="20">
      <c r="A590" s="19" t="inlineStr">
        <is>
          <t>s4826</t>
        </is>
      </c>
      <c r="B590" s="19" t="inlineStr">
        <is>
          <t>Movie</t>
        </is>
      </c>
      <c r="C590" s="19" t="inlineStr">
        <is>
          <t>Lust Stories</t>
        </is>
      </c>
      <c r="D590" s="19" t="inlineStr">
        <is>
          <t>Zoya Akhtar, Karan Johar, Anurag Kashyap, Dibakar Banerjee</t>
        </is>
      </c>
      <c r="E590" s="19" t="inlineStr">
        <is>
          <t>Vicky Kaushal, Bhumi Pednekar, Radhika Apte, Neha Dhupia, Manisha Koirala, Akash Thosar, Randeep Jha, Neil Bhoopalam, Jaideep Ahlawat, Sanjay Kapoor, Kiara Advani</t>
        </is>
      </c>
      <c r="F590" s="19" t="inlineStr">
        <is>
          <t>India</t>
        </is>
      </c>
      <c r="G590" s="19" t="inlineStr">
        <is>
          <t>2018-06-15</t>
        </is>
      </c>
      <c r="H590" s="19" t="n">
        <v>2018</v>
      </c>
      <c r="I590" s="19" t="inlineStr">
        <is>
          <t>TV-MA</t>
        </is>
      </c>
      <c r="J590" s="19" t="inlineStr">
        <is>
          <t>121 min</t>
        </is>
      </c>
      <c r="K590" s="19" t="inlineStr">
        <is>
          <t>Comedies, Dramas, International Movies</t>
        </is>
      </c>
      <c r="L590" s="19" t="inlineStr">
        <is>
          <t>In the companion to 2013's "Bombay Talkies," four short films by four of India's biggest directors explore love, sex and relationships in modern India.</t>
        </is>
      </c>
      <c r="M590" s="19" t="n">
        <v>2018</v>
      </c>
      <c r="N590" s="19">
        <f>IF(AND(OR(YearFilter="All",$M590=YearFilter),OR(RatingFilter="All",$I590=RatingFilter),OR(TypeFilter="All",$B590=TypeFilter),OR(GenreFilter="All",COUNTIFS(tblGenre[show_id],$A590,tblGenre[Genre],GenreFilter)&gt;0)),1,0)</f>
        <v/>
      </c>
    </row>
    <row r="591" ht="15" customHeight="1" s="20">
      <c r="A591" s="19" t="inlineStr">
        <is>
          <t>s4840</t>
        </is>
      </c>
      <c r="B591" s="19" t="inlineStr">
        <is>
          <t>Movie</t>
        </is>
      </c>
      <c r="C591" s="19" t="inlineStr">
        <is>
          <t>B.A. Pass 2</t>
        </is>
      </c>
      <c r="D591" s="19" t="inlineStr">
        <is>
          <t>Shadab Khan</t>
        </is>
      </c>
      <c r="E591" s="19" t="inlineStr">
        <is>
          <t>Kritika Sachdeva, Sasho, Sanghmitra Hitaishi, Indraneil Sengupta, Saurabh Dubey, Shubhangi Latkar, Sukhbir Kaur Lamba, Arav Chowdharry</t>
        </is>
      </c>
      <c r="F591" s="19" t="inlineStr">
        <is>
          <t>India</t>
        </is>
      </c>
      <c r="G591" s="19" t="inlineStr">
        <is>
          <t>2018-06-01</t>
        </is>
      </c>
      <c r="H591" s="19" t="n">
        <v>2017</v>
      </c>
      <c r="I591" s="19" t="inlineStr">
        <is>
          <t>TV-14</t>
        </is>
      </c>
      <c r="J591" s="19" t="inlineStr">
        <is>
          <t>126 min</t>
        </is>
      </c>
      <c r="K591" s="19" t="inlineStr">
        <is>
          <t>Dramas, International Movies</t>
        </is>
      </c>
      <c r="L591" s="19" t="inlineStr">
        <is>
          <t>A young woman eager to avoid an arranged marriage moves to Mumbai, where she learns hard truths about show business, life and love.</t>
        </is>
      </c>
      <c r="M591" s="19" t="n">
        <v>2018</v>
      </c>
      <c r="N591" s="19">
        <f>IF(AND(OR(YearFilter="All",$M591=YearFilter),OR(RatingFilter="All",$I591=RatingFilter),OR(TypeFilter="All",$B591=TypeFilter),OR(GenreFilter="All",COUNTIFS(tblGenre[show_id],$A591,tblGenre[Genre],GenreFilter)&gt;0)),1,0)</f>
        <v/>
      </c>
    </row>
    <row r="592" ht="15" customHeight="1" s="20">
      <c r="A592" s="19" t="inlineStr">
        <is>
          <t>s4861</t>
        </is>
      </c>
      <c r="B592" s="19" t="inlineStr">
        <is>
          <t>Movie</t>
        </is>
      </c>
      <c r="C592" s="19" t="inlineStr">
        <is>
          <t>Aiyaary</t>
        </is>
      </c>
      <c r="D592" s="19" t="inlineStr">
        <is>
          <t>Neeraj Pandey</t>
        </is>
      </c>
      <c r="E592" s="19" t="inlineStr">
        <is>
          <t>Sidharth Malhotra, Manoj Bajpayee, Rakul Preet Singh, Pooja Chopra, Adil Hussain, Kumud Mishra, Naseeruddin Shah, Anupam Kher, Vikram Gokhale, Juhi Babbar</t>
        </is>
      </c>
      <c r="F592" s="19" t="inlineStr">
        <is>
          <t>India</t>
        </is>
      </c>
      <c r="G592" s="19" t="inlineStr">
        <is>
          <t>2018-05-15</t>
        </is>
      </c>
      <c r="H592" s="19" t="n">
        <v>2018</v>
      </c>
      <c r="I592" s="19" t="inlineStr">
        <is>
          <t>TV-MA</t>
        </is>
      </c>
      <c r="J592" s="19" t="inlineStr">
        <is>
          <t>158 min</t>
        </is>
      </c>
      <c r="K592" s="19" t="inlineStr">
        <is>
          <t>Action &amp; Adventure, Dramas, International Movies</t>
        </is>
      </c>
      <c r="L592" s="19" t="inlineStr">
        <is>
          <t>When his protégé goes rogue and poses a grave threat to the government he serves, a veteran officer of the Indian Army tries to stop him at all costs.</t>
        </is>
      </c>
      <c r="M592" s="19" t="n">
        <v>2018</v>
      </c>
      <c r="N592" s="19">
        <f>IF(AND(OR(YearFilter="All",$M592=YearFilter),OR(RatingFilter="All",$I592=RatingFilter),OR(TypeFilter="All",$B592=TypeFilter),OR(GenreFilter="All",COUNTIFS(tblGenre[show_id],$A592,tblGenre[Genre],GenreFilter)&gt;0)),1,0)</f>
        <v/>
      </c>
    </row>
    <row r="593" ht="15" customHeight="1" s="20">
      <c r="A593" s="19" t="inlineStr">
        <is>
          <t>s4886</t>
        </is>
      </c>
      <c r="B593" s="19" t="inlineStr">
        <is>
          <t>Movie</t>
        </is>
      </c>
      <c r="C593" s="19" t="inlineStr">
        <is>
          <t>Ajji</t>
        </is>
      </c>
      <c r="D593" s="19" t="inlineStr">
        <is>
          <t>Devashish Makhija</t>
        </is>
      </c>
      <c r="E593" s="19" t="inlineStr">
        <is>
          <t>Sushama Deshpande, Abhishek Banerjee, Smita Tambe, Sharvani Suryavanshi, Vikas Kumar, Sadiya Siddiqui, Sudhir Pandey, Manuj Sharma</t>
        </is>
      </c>
      <c r="F593" s="19" t="inlineStr">
        <is>
          <t>India</t>
        </is>
      </c>
      <c r="G593" s="19" t="inlineStr">
        <is>
          <t>2018-05-01</t>
        </is>
      </c>
      <c r="H593" s="19" t="n">
        <v>2017</v>
      </c>
      <c r="I593" s="19" t="inlineStr">
        <is>
          <t>TV-MA</t>
        </is>
      </c>
      <c r="J593" s="19" t="inlineStr">
        <is>
          <t>105 min</t>
        </is>
      </c>
      <c r="K593" s="19" t="inlineStr">
        <is>
          <t>Dramas, International Movies</t>
        </is>
      </c>
      <c r="L593" s="19" t="inlineStr">
        <is>
          <t>When her small granddaughter is sexually assaulted by a powerful man and no justice is served, a poor, frail old woman plots her violent revenge.</t>
        </is>
      </c>
      <c r="M593" s="19" t="n">
        <v>2018</v>
      </c>
      <c r="N593" s="19">
        <f>IF(AND(OR(YearFilter="All",$M593=YearFilter),OR(RatingFilter="All",$I593=RatingFilter),OR(TypeFilter="All",$B593=TypeFilter),OR(GenreFilter="All",COUNTIFS(tblGenre[show_id],$A593,tblGenre[Genre],GenreFilter)&gt;0)),1,0)</f>
        <v/>
      </c>
    </row>
    <row r="594" ht="15" customHeight="1" s="20">
      <c r="A594" s="19" t="inlineStr">
        <is>
          <t>s4887</t>
        </is>
      </c>
      <c r="B594" s="19" t="inlineStr">
        <is>
          <t>Movie</t>
        </is>
      </c>
      <c r="C594" s="19" t="inlineStr">
        <is>
          <t>CIA: Comrade in America</t>
        </is>
      </c>
      <c r="D594" s="19" t="inlineStr">
        <is>
          <t>Amal Neerad</t>
        </is>
      </c>
      <c r="E594" s="19" t="inlineStr">
        <is>
          <t>Dulquer Salmaan, Karthika Muraleedharan, Siddique, Soubin Shahir, Dileesh Pothan, John Vijay, Chandini Sreedharan, Jinu Joseph, Sujith Shankar, Alencier Ley Lopez</t>
        </is>
      </c>
      <c r="F594" s="19" t="inlineStr">
        <is>
          <t>India</t>
        </is>
      </c>
      <c r="G594" s="19" t="inlineStr">
        <is>
          <t>2018-05-01</t>
        </is>
      </c>
      <c r="H594" s="19" t="n">
        <v>2017</v>
      </c>
      <c r="I594" s="19" t="inlineStr">
        <is>
          <t>TV-14</t>
        </is>
      </c>
      <c r="J594" s="19" t="inlineStr">
        <is>
          <t>130 min</t>
        </is>
      </c>
      <c r="K594" s="19" t="inlineStr">
        <is>
          <t>Action &amp; Adventure, Dramas, Independent Movies</t>
        </is>
      </c>
      <c r="L594" s="19" t="inlineStr">
        <is>
          <t>A young man in Kerala has two weeks to stop the woman he loves from a fixed marriage in the U.S., but he doesn't have the papers to get there.</t>
        </is>
      </c>
      <c r="M594" s="19" t="n">
        <v>2018</v>
      </c>
      <c r="N594" s="19">
        <f>IF(AND(OR(YearFilter="All",$M594=YearFilter),OR(RatingFilter="All",$I594=RatingFilter),OR(TypeFilter="All",$B594=TypeFilter),OR(GenreFilter="All",COUNTIFS(tblGenre[show_id],$A594,tblGenre[Genre],GenreFilter)&gt;0)),1,0)</f>
        <v/>
      </c>
    </row>
    <row r="595" ht="15" customHeight="1" s="20">
      <c r="A595" s="19" t="inlineStr">
        <is>
          <t>s4900</t>
        </is>
      </c>
      <c r="B595" s="19" t="inlineStr">
        <is>
          <t>Movie</t>
        </is>
      </c>
      <c r="C595" s="19" t="inlineStr">
        <is>
          <t>Sometimes</t>
        </is>
      </c>
      <c r="D595" s="19" t="inlineStr">
        <is>
          <t>Priyadarshan</t>
        </is>
      </c>
      <c r="E595" s="19" t="inlineStr">
        <is>
          <t>Prakash Raj, Shreya Reddy, Ashok Selvan</t>
        </is>
      </c>
      <c r="F595" s="19" t="inlineStr">
        <is>
          <t>India</t>
        </is>
      </c>
      <c r="G595" s="19" t="inlineStr">
        <is>
          <t>2018-05-01</t>
        </is>
      </c>
      <c r="H595" s="19" t="n">
        <v>2016</v>
      </c>
      <c r="I595" s="19" t="inlineStr">
        <is>
          <t>TV-14</t>
        </is>
      </c>
      <c r="J595" s="19" t="inlineStr">
        <is>
          <t>101 min</t>
        </is>
      </c>
      <c r="K595" s="19" t="inlineStr">
        <is>
          <t>Dramas, International Movies</t>
        </is>
      </c>
      <c r="L595" s="19" t="inlineStr">
        <is>
          <t>Seven strangers anxiously waiting for their HIV test results decide to bribe the clinic receptionist to get them early, learning one is positive.</t>
        </is>
      </c>
      <c r="M595" s="19" t="n">
        <v>2018</v>
      </c>
      <c r="N595" s="19">
        <f>IF(AND(OR(YearFilter="All",$M595=YearFilter),OR(RatingFilter="All",$I595=RatingFilter),OR(TypeFilter="All",$B595=TypeFilter),OR(GenreFilter="All",COUNTIFS(tblGenre[show_id],$A595,tblGenre[Genre],GenreFilter)&gt;0)),1,0)</f>
        <v/>
      </c>
    </row>
    <row r="596" ht="15" customHeight="1" s="20">
      <c r="A596" s="19" t="inlineStr">
        <is>
          <t>s4905</t>
        </is>
      </c>
      <c r="B596" s="19" t="inlineStr">
        <is>
          <t>Movie</t>
        </is>
      </c>
      <c r="C596" s="19" t="inlineStr">
        <is>
          <t>Running Shaadi</t>
        </is>
      </c>
      <c r="D596" s="19" t="inlineStr">
        <is>
          <t>Amit Roy</t>
        </is>
      </c>
      <c r="E596" s="19" t="inlineStr">
        <is>
          <t>Amit Sadh, Tapsee Pannu, Arsh Bajwa, Brijendra Kala, Mahavir Bhullar, Pankaj Jha, Neeta Mohindra</t>
        </is>
      </c>
      <c r="F596" s="19" t="inlineStr">
        <is>
          <t>India</t>
        </is>
      </c>
      <c r="G596" s="19" t="inlineStr">
        <is>
          <t>2018-04-30</t>
        </is>
      </c>
      <c r="H596" s="19" t="n">
        <v>2017</v>
      </c>
      <c r="I596" s="19" t="inlineStr">
        <is>
          <t>TV-14</t>
        </is>
      </c>
      <c r="J596" s="19" t="inlineStr">
        <is>
          <t>115 min</t>
        </is>
      </c>
      <c r="K596" s="19" t="inlineStr">
        <is>
          <t>Comedies, International Movies, Romantic Movies</t>
        </is>
      </c>
      <c r="L596" s="19" t="inlineStr">
        <is>
          <t>A Bihari migrant runs a successful service to help couples elope, until the daughter of his former boss stirs the pot.</t>
        </is>
      </c>
      <c r="M596" s="19" t="n">
        <v>2018</v>
      </c>
      <c r="N596" s="19">
        <f>IF(AND(OR(YearFilter="All",$M596=YearFilter),OR(RatingFilter="All",$I596=RatingFilter),OR(TypeFilter="All",$B596=TypeFilter),OR(GenreFilter="All",COUNTIFS(tblGenre[show_id],$A596,tblGenre[Genre],GenreFilter)&gt;0)),1,0)</f>
        <v/>
      </c>
    </row>
    <row r="597" ht="15" customHeight="1" s="20">
      <c r="A597" s="19" t="inlineStr">
        <is>
          <t>s4946</t>
        </is>
      </c>
      <c r="B597" s="19" t="inlineStr">
        <is>
          <t>Movie</t>
        </is>
      </c>
      <c r="C597" s="19" t="inlineStr">
        <is>
          <t>Ittefaq</t>
        </is>
      </c>
      <c r="D597" s="19" t="inlineStr">
        <is>
          <t>Abhay Chopra</t>
        </is>
      </c>
      <c r="E597" s="19" t="inlineStr">
        <is>
          <t>Sidharth Malhotra, Sonakshi Sinha, Akshaye Khanna</t>
        </is>
      </c>
      <c r="F597" s="19" t="inlineStr">
        <is>
          <t>India</t>
        </is>
      </c>
      <c r="G597" s="19" t="inlineStr">
        <is>
          <t>2018-04-03</t>
        </is>
      </c>
      <c r="H597" s="19" t="n">
        <v>2017</v>
      </c>
      <c r="I597" s="19" t="inlineStr">
        <is>
          <t>TV-MA</t>
        </is>
      </c>
      <c r="J597" s="19" t="inlineStr">
        <is>
          <t>105 min</t>
        </is>
      </c>
      <c r="K597" s="19" t="inlineStr">
        <is>
          <t>Dramas, International Movies, Thrillers</t>
        </is>
      </c>
      <c r="L597" s="19" t="inlineStr">
        <is>
          <t>A homemaker and a writer are prime suspects – and the only witnesses – in a double murder, and it’s up to one detective to uncover the elusive truth.</t>
        </is>
      </c>
      <c r="M597" s="19" t="n">
        <v>2018</v>
      </c>
      <c r="N597" s="19">
        <f>IF(AND(OR(YearFilter="All",$M597=YearFilter),OR(RatingFilter="All",$I597=RatingFilter),OR(TypeFilter="All",$B597=TypeFilter),OR(GenreFilter="All",COUNTIFS(tblGenre[show_id],$A597,tblGenre[Genre],GenreFilter)&gt;0)),1,0)</f>
        <v/>
      </c>
    </row>
    <row r="598" ht="15" customHeight="1" s="20">
      <c r="A598" s="19" t="inlineStr">
        <is>
          <t>s4949</t>
        </is>
      </c>
      <c r="B598" s="19" t="inlineStr">
        <is>
          <t>Movie</t>
        </is>
      </c>
      <c r="C598" s="19" t="inlineStr">
        <is>
          <t>Billu</t>
        </is>
      </c>
      <c r="D598" s="19" t="inlineStr">
        <is>
          <t>Priyadarshan</t>
        </is>
      </c>
      <c r="E598" s="19" t="inlineStr">
        <is>
          <t>Irrfan Khan, Shah Rukh Khan, Lara Dutta, Rajpal Yadav, Om Puri, Asrani, Manoj Joshi</t>
        </is>
      </c>
      <c r="F598" s="19" t="inlineStr">
        <is>
          <t>India</t>
        </is>
      </c>
      <c r="G598" s="19" t="inlineStr">
        <is>
          <t>2018-04-01</t>
        </is>
      </c>
      <c r="H598" s="19" t="n">
        <v>2009</v>
      </c>
      <c r="I598" s="19" t="inlineStr">
        <is>
          <t>TV-PG</t>
        </is>
      </c>
      <c r="J598" s="19" t="inlineStr">
        <is>
          <t>132 min</t>
        </is>
      </c>
      <c r="K598" s="19" t="inlineStr">
        <is>
          <t>Dramas, International Movies</t>
        </is>
      </c>
      <c r="L598" s="19" t="inlineStr">
        <is>
          <t>An Indian village is abuzz with news that a major movie star is coming to town – even more so because the town barber went to school with him. But as the day of the actor's visit approaches, the humble barber begins to worry he won't be recognized.</t>
        </is>
      </c>
      <c r="M598" s="19" t="n">
        <v>2018</v>
      </c>
      <c r="N598" s="19">
        <f>IF(AND(OR(YearFilter="All",$M598=YearFilter),OR(RatingFilter="All",$I598=RatingFilter),OR(TypeFilter="All",$B598=TypeFilter),OR(GenreFilter="All",COUNTIFS(tblGenre[show_id],$A598,tblGenre[Genre],GenreFilter)&gt;0)),1,0)</f>
        <v/>
      </c>
    </row>
    <row r="599" ht="15" customHeight="1" s="20">
      <c r="A599" s="19" t="inlineStr">
        <is>
          <t>s4953</t>
        </is>
      </c>
      <c r="B599" s="19" t="inlineStr">
        <is>
          <t>Movie</t>
        </is>
      </c>
      <c r="C599" s="19" t="inlineStr">
        <is>
          <t>Main Hoon Na</t>
        </is>
      </c>
      <c r="D599" s="19" t="inlineStr">
        <is>
          <t>Farah Khan</t>
        </is>
      </c>
      <c r="E599" s="19" t="inlineStr">
        <is>
          <t>Shah Rukh Khan, Sunil Shetty, Sushmita Sen, Zayed Khan, Amrita Rao, Kiron Kher, Boman Irani, Bindu, Naseeruddin Shah, Kabir Bedi</t>
        </is>
      </c>
      <c r="F599" s="19" t="inlineStr">
        <is>
          <t>India</t>
        </is>
      </c>
      <c r="G599" s="19" t="inlineStr">
        <is>
          <t>2018-04-01</t>
        </is>
      </c>
      <c r="H599" s="19" t="n">
        <v>2004</v>
      </c>
      <c r="I599" s="19" t="inlineStr">
        <is>
          <t>TV-14</t>
        </is>
      </c>
      <c r="J599" s="19" t="inlineStr">
        <is>
          <t>171 min</t>
        </is>
      </c>
      <c r="K599" s="19" t="inlineStr">
        <is>
          <t>Action &amp; Adventure, Comedies, Dramas</t>
        </is>
      </c>
      <c r="L599" s="19" t="inlineStr">
        <is>
          <t>Major Ram Prasad Sharma yearns to see project Mission Milaap come to fruition and usher in an era of peace between two warring countries. But the evil Raghavan will do anything to stop the peace process.</t>
        </is>
      </c>
      <c r="M599" s="19" t="n">
        <v>2018</v>
      </c>
      <c r="N599" s="19">
        <f>IF(AND(OR(YearFilter="All",$M599=YearFilter),OR(RatingFilter="All",$I599=RatingFilter),OR(TypeFilter="All",$B599=TypeFilter),OR(GenreFilter="All",COUNTIFS(tblGenre[show_id],$A599,tblGenre[Genre],GenreFilter)&gt;0)),1,0)</f>
        <v/>
      </c>
    </row>
    <row r="600" ht="15" customHeight="1" s="20">
      <c r="A600" s="19" t="inlineStr">
        <is>
          <t>s4954</t>
        </is>
      </c>
      <c r="B600" s="19" t="inlineStr">
        <is>
          <t>Movie</t>
        </is>
      </c>
      <c r="C600" s="19" t="inlineStr">
        <is>
          <t>Metro</t>
        </is>
      </c>
      <c r="D600" s="19" t="inlineStr">
        <is>
          <t>Ananda Krishnan</t>
        </is>
      </c>
      <c r="E600" s="19" t="inlineStr">
        <is>
          <t>Yogi Babu, Bobby Simha, Shirish</t>
        </is>
      </c>
      <c r="F600" s="19" t="inlineStr">
        <is>
          <t>India</t>
        </is>
      </c>
      <c r="G600" s="19" t="inlineStr">
        <is>
          <t>2018-04-01</t>
        </is>
      </c>
      <c r="H600" s="19" t="n">
        <v>2016</v>
      </c>
      <c r="I600" s="19" t="inlineStr">
        <is>
          <t>TV-14</t>
        </is>
      </c>
      <c r="J600" s="19" t="inlineStr">
        <is>
          <t>116 min</t>
        </is>
      </c>
      <c r="K600" s="19" t="inlineStr">
        <is>
          <t>Dramas, International Movies, Thrillers</t>
        </is>
      </c>
      <c r="L600" s="19" t="inlineStr">
        <is>
          <t>Disgusted by the gold-chain snatchers in his home city of Chennai, a man vows to combat the criminal menace by taking the law into his own hands.</t>
        </is>
      </c>
      <c r="M600" s="19" t="n">
        <v>2018</v>
      </c>
      <c r="N600" s="19">
        <f>IF(AND(OR(YearFilter="All",$M600=YearFilter),OR(RatingFilter="All",$I600=RatingFilter),OR(TypeFilter="All",$B600=TypeFilter),OR(GenreFilter="All",COUNTIFS(tblGenre[show_id],$A600,tblGenre[Genre],GenreFilter)&gt;0)),1,0)</f>
        <v/>
      </c>
    </row>
    <row r="601" ht="15" customHeight="1" s="20">
      <c r="A601" s="19" t="inlineStr">
        <is>
          <t>s4955</t>
        </is>
      </c>
      <c r="B601" s="19" t="inlineStr">
        <is>
          <t>Movie</t>
        </is>
      </c>
      <c r="C601" s="19" t="inlineStr">
        <is>
          <t>Om Shanti Om</t>
        </is>
      </c>
      <c r="D601" s="19" t="inlineStr">
        <is>
          <t>Farah Khan</t>
        </is>
      </c>
      <c r="E601" s="19" t="inlineStr">
        <is>
          <t>Shah Rukh Khan, Deepika Padukone, Shreyas Talpade, Arjun Rampal, Kirron Kher, Javed Sheikh</t>
        </is>
      </c>
      <c r="F601" s="19" t="inlineStr">
        <is>
          <t>India</t>
        </is>
      </c>
      <c r="G601" s="19" t="inlineStr">
        <is>
          <t>2018-04-01</t>
        </is>
      </c>
      <c r="H601" s="19" t="n">
        <v>2007</v>
      </c>
      <c r="I601" s="19" t="inlineStr">
        <is>
          <t>TV-14</t>
        </is>
      </c>
      <c r="J601" s="19" t="inlineStr">
        <is>
          <t>169 min</t>
        </is>
      </c>
      <c r="K601" s="19" t="inlineStr">
        <is>
          <t>Comedies, Dramas, International Movies</t>
        </is>
      </c>
      <c r="L601" s="19" t="inlineStr">
        <is>
          <t>Reincarnated 30 years after being killed in a suspicious on-set fire, a small-time actor is determined to punish the person who ignited the blaze.</t>
        </is>
      </c>
      <c r="M601" s="19" t="n">
        <v>2018</v>
      </c>
      <c r="N601" s="19">
        <f>IF(AND(OR(YearFilter="All",$M601=YearFilter),OR(RatingFilter="All",$I601=RatingFilter),OR(TypeFilter="All",$B601=TypeFilter),OR(GenreFilter="All",COUNTIFS(tblGenre[show_id],$A601,tblGenre[Genre],GenreFilter)&gt;0)),1,0)</f>
        <v/>
      </c>
    </row>
    <row r="602" ht="15" customHeight="1" s="20">
      <c r="A602" s="19" t="inlineStr">
        <is>
          <t>s4956</t>
        </is>
      </c>
      <c r="B602" s="19" t="inlineStr">
        <is>
          <t>Movie</t>
        </is>
      </c>
      <c r="C602" s="19" t="inlineStr">
        <is>
          <t>Paheli</t>
        </is>
      </c>
      <c r="D602" s="19" t="inlineStr">
        <is>
          <t>Amol Palekar</t>
        </is>
      </c>
      <c r="E602" s="19" t="inlineStr">
        <is>
          <t>Shah Rukh Khan, Rani Mukerji, Anupam Kher, Dilip Prabhavalkar, Amitabh Bachchan, Juhi Chawla, Nina Kulkarni, Rajpal Yadav</t>
        </is>
      </c>
      <c r="F602" s="19" t="inlineStr">
        <is>
          <t>India</t>
        </is>
      </c>
      <c r="G602" s="19" t="inlineStr">
        <is>
          <t>2018-04-01</t>
        </is>
      </c>
      <c r="H602" s="19" t="n">
        <v>2005</v>
      </c>
      <c r="I602" s="19" t="inlineStr">
        <is>
          <t>TV-PG</t>
        </is>
      </c>
      <c r="J602" s="19" t="inlineStr">
        <is>
          <t>134 min</t>
        </is>
      </c>
      <c r="K602" s="19" t="inlineStr">
        <is>
          <t>Dramas, International Movies, Romantic Movies</t>
        </is>
      </c>
      <c r="L602" s="19" t="inlineStr">
        <is>
          <t>Traditional Indian folklore comes alive in this charming film based on a story by Statwart Vijaydan Detha.</t>
        </is>
      </c>
      <c r="M602" s="19" t="n">
        <v>2018</v>
      </c>
      <c r="N602" s="19">
        <f>IF(AND(OR(YearFilter="All",$M602=YearFilter),OR(RatingFilter="All",$I602=RatingFilter),OR(TypeFilter="All",$B602=TypeFilter),OR(GenreFilter="All",COUNTIFS(tblGenre[show_id],$A602,tblGenre[Genre],GenreFilter)&gt;0)),1,0)</f>
        <v/>
      </c>
    </row>
    <row r="603" ht="15" customHeight="1" s="20">
      <c r="A603" s="19" t="inlineStr">
        <is>
          <t>s4957</t>
        </is>
      </c>
      <c r="B603" s="19" t="inlineStr">
        <is>
          <t>Movie</t>
        </is>
      </c>
      <c r="C603" s="19" t="inlineStr">
        <is>
          <t>Phir Bhi Dil Hai Hindustani</t>
        </is>
      </c>
      <c r="D603" s="19" t="inlineStr">
        <is>
          <t>Aziz Mirza</t>
        </is>
      </c>
      <c r="E603" s="19" t="inlineStr">
        <is>
          <t>Shah Rukh Khan, Juhi Chawla, Paresh Rawal, Satish Shah, Dilip Tahil, Govind Namdeo, Smita Jaykar, Shakti Kapoor, Johnny Lever</t>
        </is>
      </c>
      <c r="F603" s="19" t="inlineStr">
        <is>
          <t>India</t>
        </is>
      </c>
      <c r="G603" s="19" t="inlineStr">
        <is>
          <t>2018-04-01</t>
        </is>
      </c>
      <c r="H603" s="19" t="n">
        <v>2000</v>
      </c>
      <c r="I603" s="19" t="inlineStr">
        <is>
          <t>TV-14</t>
        </is>
      </c>
      <c r="J603" s="19" t="inlineStr">
        <is>
          <t>159 min</t>
        </is>
      </c>
      <c r="K603" s="19" t="inlineStr">
        <is>
          <t>Comedies, Dramas, International Movies</t>
        </is>
      </c>
      <c r="L603" s="19" t="inlineStr">
        <is>
          <t>In this Bollywood entertainment, two journalists, Ajay and Ria, work for rival TV stations and compete heavily to mask their feelings for each other.</t>
        </is>
      </c>
      <c r="M603" s="19" t="n">
        <v>2018</v>
      </c>
      <c r="N603" s="19">
        <f>IF(AND(OR(YearFilter="All",$M603=YearFilter),OR(RatingFilter="All",$I603=RatingFilter),OR(TypeFilter="All",$B603=TypeFilter),OR(GenreFilter="All",COUNTIFS(tblGenre[show_id],$A603,tblGenre[Genre],GenreFilter)&gt;0)),1,0)</f>
        <v/>
      </c>
    </row>
    <row r="604" ht="15" customHeight="1" s="20">
      <c r="A604" s="19" t="inlineStr">
        <is>
          <t>s4976</t>
        </is>
      </c>
      <c r="B604" s="19" t="inlineStr">
        <is>
          <t>Movie</t>
        </is>
      </c>
      <c r="C604" s="19" t="inlineStr">
        <is>
          <t>Secret Superstar</t>
        </is>
      </c>
      <c r="D604" s="19" t="inlineStr">
        <is>
          <t>Advait Chandan</t>
        </is>
      </c>
      <c r="E604" s="19" t="inlineStr">
        <is>
          <t>Zaira Wasim, Meher Vij, Raj Arjun, Aamir Khan, Tirth Sharma</t>
        </is>
      </c>
      <c r="F604" s="19" t="inlineStr">
        <is>
          <t>India</t>
        </is>
      </c>
      <c r="G604" s="19" t="inlineStr">
        <is>
          <t>2018-03-23</t>
        </is>
      </c>
      <c r="H604" s="19" t="n">
        <v>2017</v>
      </c>
      <c r="I604" s="19" t="inlineStr">
        <is>
          <t>TV-14</t>
        </is>
      </c>
      <c r="J604" s="19" t="inlineStr">
        <is>
          <t>150 min</t>
        </is>
      </c>
      <c r="K604" s="19" t="inlineStr">
        <is>
          <t>Dramas, International Movies, Music &amp; Musicals</t>
        </is>
      </c>
      <c r="L604" s="19" t="inlineStr">
        <is>
          <t>A talented teenage singer-songwriter living amid domestic abuse becomes a YouTube sensation after a video in which she hides her identity goes viral.</t>
        </is>
      </c>
      <c r="M604" s="19" t="n">
        <v>2018</v>
      </c>
      <c r="N604" s="19">
        <f>IF(AND(OR(YearFilter="All",$M604=YearFilter),OR(RatingFilter="All",$I604=RatingFilter),OR(TypeFilter="All",$B604=TypeFilter),OR(GenreFilter="All",COUNTIFS(tblGenre[show_id],$A604,tblGenre[Genre],GenreFilter)&gt;0)),1,0)</f>
        <v/>
      </c>
    </row>
    <row r="605" ht="15" customHeight="1" s="20">
      <c r="A605" s="19" t="inlineStr">
        <is>
          <t>s4996</t>
        </is>
      </c>
      <c r="B605" s="19" t="inlineStr">
        <is>
          <t>Movie</t>
        </is>
      </c>
      <c r="C605" s="19" t="inlineStr">
        <is>
          <t>Ladies First</t>
        </is>
      </c>
      <c r="D605" s="19" t="inlineStr">
        <is>
          <t>Uraaz Bahl</t>
        </is>
      </c>
      <c r="F605" s="19" t="inlineStr">
        <is>
          <t>India</t>
        </is>
      </c>
      <c r="G605" s="19" t="inlineStr">
        <is>
          <t>2018-03-08</t>
        </is>
      </c>
      <c r="H605" s="19" t="n">
        <v>2018</v>
      </c>
      <c r="I605" s="19" t="inlineStr">
        <is>
          <t>TV-G</t>
        </is>
      </c>
      <c r="J605" s="19" t="inlineStr">
        <is>
          <t>40 min</t>
        </is>
      </c>
      <c r="K605" s="19" t="inlineStr">
        <is>
          <t>Documentaries, International Movies, Sports Movies</t>
        </is>
      </c>
      <c r="L605" s="19" t="inlineStr">
        <is>
          <t>Born amid poverty and limited women's rights in the village of Ratu, India, Deepika Kumari rose to become the No.1 female archer in the world at 18.</t>
        </is>
      </c>
      <c r="M605" s="19" t="n">
        <v>2018</v>
      </c>
      <c r="N605" s="19">
        <f>IF(AND(OR(YearFilter="All",$M605=YearFilter),OR(RatingFilter="All",$I605=RatingFilter),OR(TypeFilter="All",$B605=TypeFilter),OR(GenreFilter="All",COUNTIFS(tblGenre[show_id],$A605,tblGenre[Genre],GenreFilter)&gt;0)),1,0)</f>
        <v/>
      </c>
    </row>
    <row r="606" ht="15" customHeight="1" s="20">
      <c r="A606" s="19" t="inlineStr">
        <is>
          <t>s5008</t>
        </is>
      </c>
      <c r="B606" s="19" t="inlineStr">
        <is>
          <t>Movie</t>
        </is>
      </c>
      <c r="C606" s="19" t="inlineStr">
        <is>
          <t>Dil Se</t>
        </is>
      </c>
      <c r="D606" s="19" t="inlineStr">
        <is>
          <t>Mani Ratnam</t>
        </is>
      </c>
      <c r="E606" s="19" t="inlineStr">
        <is>
          <t>Shah Rukh Khan, Manisha Koirala, Preity Zinta, Raghuvir Yadav, Zohra Sehgal, Sabyasachi Chakraborty, Piyush Mishra, Krishnakant, Aditya Srivastava</t>
        </is>
      </c>
      <c r="F606" s="19" t="inlineStr">
        <is>
          <t>India</t>
        </is>
      </c>
      <c r="G606" s="19" t="inlineStr">
        <is>
          <t>2018-03-01</t>
        </is>
      </c>
      <c r="H606" s="19" t="n">
        <v>1998</v>
      </c>
      <c r="I606" s="19" t="inlineStr">
        <is>
          <t>TV-14</t>
        </is>
      </c>
      <c r="J606" s="19" t="inlineStr">
        <is>
          <t>166 min</t>
        </is>
      </c>
      <c r="K606" s="19" t="inlineStr">
        <is>
          <t>Dramas, International Movies, Romantic Movies</t>
        </is>
      </c>
      <c r="L606" s="19" t="inlineStr">
        <is>
          <t>A radio broadcaster's intense attraction to a mysterious woman opens the door to a tidal wave of powerful emotions and desires.</t>
        </is>
      </c>
      <c r="M606" s="19" t="n">
        <v>2018</v>
      </c>
      <c r="N606" s="19">
        <f>IF(AND(OR(YearFilter="All",$M606=YearFilter),OR(RatingFilter="All",$I606=RatingFilter),OR(TypeFilter="All",$B606=TypeFilter),OR(GenreFilter="All",COUNTIFS(tblGenre[show_id],$A606,tblGenre[Genre],GenreFilter)&gt;0)),1,0)</f>
        <v/>
      </c>
    </row>
    <row r="607" ht="15" customHeight="1" s="20">
      <c r="A607" s="19" t="inlineStr">
        <is>
          <t>s5009</t>
        </is>
      </c>
      <c r="B607" s="19" t="inlineStr">
        <is>
          <t>Movie</t>
        </is>
      </c>
      <c r="C607" s="19" t="inlineStr">
        <is>
          <t>Guru</t>
        </is>
      </c>
      <c r="D607" s="19" t="inlineStr">
        <is>
          <t>Mani Ratnam</t>
        </is>
      </c>
      <c r="E607" s="19" t="inlineStr">
        <is>
          <t>Abhishek Bachchan, Mithun Chakraborty, Aishwarya Rai Bachchan, Madhavan, Vidya Balan, Roshan Seth, Arya Babbar, Sachin Khedekar, Dhritiman Chatterjee, Manoj Joshi</t>
        </is>
      </c>
      <c r="F607" s="19" t="inlineStr">
        <is>
          <t>India</t>
        </is>
      </c>
      <c r="G607" s="19" t="inlineStr">
        <is>
          <t>2018-03-01</t>
        </is>
      </c>
      <c r="H607" s="19" t="n">
        <v>2007</v>
      </c>
      <c r="I607" s="19" t="inlineStr">
        <is>
          <t>TV-PG</t>
        </is>
      </c>
      <c r="J607" s="19" t="inlineStr">
        <is>
          <t>155 min</t>
        </is>
      </c>
      <c r="K607" s="19" t="inlineStr">
        <is>
          <t>Dramas, International Movies</t>
        </is>
      </c>
      <c r="L607" s="19" t="inlineStr">
        <is>
          <t>Ambitious Gurukant Desai ignores his father's advice and leaves his village to find success in Turkey.</t>
        </is>
      </c>
      <c r="M607" s="19" t="n">
        <v>2018</v>
      </c>
      <c r="N607" s="19">
        <f>IF(AND(OR(YearFilter="All",$M607=YearFilter),OR(RatingFilter="All",$I607=RatingFilter),OR(TypeFilter="All",$B607=TypeFilter),OR(GenreFilter="All",COUNTIFS(tblGenre[show_id],$A607,tblGenre[Genre],GenreFilter)&gt;0)),1,0)</f>
        <v/>
      </c>
    </row>
    <row r="608" ht="15" customHeight="1" s="20">
      <c r="A608" s="19" t="inlineStr">
        <is>
          <t>s5010</t>
        </is>
      </c>
      <c r="B608" s="19" t="inlineStr">
        <is>
          <t>Movie</t>
        </is>
      </c>
      <c r="C608" s="19" t="inlineStr">
        <is>
          <t>Judwaa 2</t>
        </is>
      </c>
      <c r="D608" s="19" t="inlineStr">
        <is>
          <t>David Dhawan</t>
        </is>
      </c>
      <c r="E608" s="19" t="inlineStr">
        <is>
          <t>Varun Dhawan, Jacqueline Fernandez, Tapsee Pannu, Rajpal Yadav, Sachin Khedekar, Anupam Kher, Zakir Hussain, Pavan Malhotra</t>
        </is>
      </c>
      <c r="F608" s="19" t="inlineStr">
        <is>
          <t>India</t>
        </is>
      </c>
      <c r="G608" s="19" t="inlineStr">
        <is>
          <t>2018-03-01</t>
        </is>
      </c>
      <c r="H608" s="19" t="n">
        <v>2017</v>
      </c>
      <c r="I608" s="19" t="inlineStr">
        <is>
          <t>TV-14</t>
        </is>
      </c>
      <c r="J608" s="19" t="inlineStr">
        <is>
          <t>145 min</t>
        </is>
      </c>
      <c r="K608" s="19" t="inlineStr">
        <is>
          <t>Action &amp; Adventure, Comedies, International Movies</t>
        </is>
      </c>
      <c r="L608" s="19" t="inlineStr">
        <is>
          <t>Separated at birth, twins Raja and Prem couldn't be more different. But when fate puts them both in London, they start being mistaken for each other.</t>
        </is>
      </c>
      <c r="M608" s="19" t="n">
        <v>2018</v>
      </c>
      <c r="N608" s="19">
        <f>IF(AND(OR(YearFilter="All",$M608=YearFilter),OR(RatingFilter="All",$I608=RatingFilter),OR(TypeFilter="All",$B608=TypeFilter),OR(GenreFilter="All",COUNTIFS(tblGenre[show_id],$A608,tblGenre[Genre],GenreFilter)&gt;0)),1,0)</f>
        <v/>
      </c>
    </row>
    <row r="609" ht="15" customHeight="1" s="20">
      <c r="A609" s="19" t="inlineStr">
        <is>
          <t>s5013</t>
        </is>
      </c>
      <c r="B609" s="19" t="inlineStr">
        <is>
          <t>Movie</t>
        </is>
      </c>
      <c r="C609" s="19" t="inlineStr">
        <is>
          <t>Shubh Aarambh</t>
        </is>
      </c>
      <c r="D609" s="19" t="inlineStr">
        <is>
          <t>Amit Barot</t>
        </is>
      </c>
      <c r="E609" s="19" t="inlineStr">
        <is>
          <t>Harsh Chhaya, Prachi Shah, Bharat Chawda, Deeksha Joshi, Aarjav Trivedi, Prashant Barot, Harsha Bhavsar</t>
        </is>
      </c>
      <c r="F609" s="19" t="inlineStr">
        <is>
          <t>India</t>
        </is>
      </c>
      <c r="G609" s="19" t="inlineStr">
        <is>
          <t>2018-03-01</t>
        </is>
      </c>
      <c r="H609" s="19" t="n">
        <v>2017</v>
      </c>
      <c r="I609" s="19" t="inlineStr">
        <is>
          <t>TV-PG</t>
        </is>
      </c>
      <c r="J609" s="19" t="inlineStr">
        <is>
          <t>127 min</t>
        </is>
      </c>
      <c r="K609" s="19" t="inlineStr">
        <is>
          <t>Dramas, International Movies, Romantic Movies</t>
        </is>
      </c>
      <c r="L609" s="19" t="inlineStr">
        <is>
          <t>As her own wedding looms on the horizon, a marriage counselor strives to save her future in-laws' crumbling relationship.</t>
        </is>
      </c>
      <c r="M609" s="19" t="n">
        <v>2018</v>
      </c>
      <c r="N609" s="19">
        <f>IF(AND(OR(YearFilter="All",$M609=YearFilter),OR(RatingFilter="All",$I609=RatingFilter),OR(TypeFilter="All",$B609=TypeFilter),OR(GenreFilter="All",COUNTIFS(tblGenre[show_id],$A609,tblGenre[Genre],GenreFilter)&gt;0)),1,0)</f>
        <v/>
      </c>
    </row>
    <row r="610" ht="15" customHeight="1" s="20">
      <c r="A610" s="19" t="inlineStr">
        <is>
          <t>s5015</t>
        </is>
      </c>
      <c r="B610" s="19" t="inlineStr">
        <is>
          <t>Movie</t>
        </is>
      </c>
      <c r="C610" s="19" t="inlineStr">
        <is>
          <t>Swades</t>
        </is>
      </c>
      <c r="D610" s="19" t="inlineStr">
        <is>
          <t>Ashutosh Gowariker</t>
        </is>
      </c>
      <c r="E610" s="19" t="inlineStr">
        <is>
          <t>Shah Rukh Khan, Gayatri Joshi, Kishori Balal, Smith Seth, Lekh Tandon, Rajesh Vivek, Daya Shankar Pandey, Farrukh Jaffar</t>
        </is>
      </c>
      <c r="F610" s="19" t="inlineStr">
        <is>
          <t>India</t>
        </is>
      </c>
      <c r="G610" s="19" t="inlineStr">
        <is>
          <t>2018-03-01</t>
        </is>
      </c>
      <c r="H610" s="19" t="n">
        <v>2004</v>
      </c>
      <c r="I610" s="19" t="inlineStr">
        <is>
          <t>TV-PG</t>
        </is>
      </c>
      <c r="J610" s="19" t="inlineStr">
        <is>
          <t>185 min</t>
        </is>
      </c>
      <c r="K610" s="19" t="inlineStr">
        <is>
          <t>Dramas, International Movies</t>
        </is>
      </c>
      <c r="L610" s="19" t="inlineStr">
        <is>
          <t>An Americanized NASA scientist returns to his native India on a business trip and searches for the nanny who helped raise him.</t>
        </is>
      </c>
      <c r="M610" s="19" t="n">
        <v>2018</v>
      </c>
      <c r="N610" s="19">
        <f>IF(AND(OR(YearFilter="All",$M610=YearFilter),OR(RatingFilter="All",$I610=RatingFilter),OR(TypeFilter="All",$B610=TypeFilter),OR(GenreFilter="All",COUNTIFS(tblGenre[show_id],$A610,tblGenre[Genre],GenreFilter)&gt;0)),1,0)</f>
        <v/>
      </c>
    </row>
    <row r="611" ht="15" customHeight="1" s="20">
      <c r="A611" s="19" t="inlineStr">
        <is>
          <t>s5021</t>
        </is>
      </c>
      <c r="B611" s="19" t="inlineStr">
        <is>
          <t>Movie</t>
        </is>
      </c>
      <c r="C611" s="19" t="inlineStr">
        <is>
          <t>Tu Hai Mera Sunday</t>
        </is>
      </c>
      <c r="D611" s="19" t="inlineStr">
        <is>
          <t>Milind Dhaimade</t>
        </is>
      </c>
      <c r="E611" s="19" t="inlineStr">
        <is>
          <t>Barun Sobti, Shahana Goswami, Vishal Malhotra, Avinash Tiwary, Rasika Dugal, Maanvi Gagroo, Nakul Bhalla, Jay Upadhyay</t>
        </is>
      </c>
      <c r="F611" s="19" t="inlineStr">
        <is>
          <t>India</t>
        </is>
      </c>
      <c r="G611" s="19" t="inlineStr">
        <is>
          <t>2018-03-01</t>
        </is>
      </c>
      <c r="H611" s="19" t="n">
        <v>2016</v>
      </c>
      <c r="I611" s="19" t="inlineStr">
        <is>
          <t>TV-14</t>
        </is>
      </c>
      <c r="J611" s="19" t="inlineStr">
        <is>
          <t>125 min</t>
        </is>
      </c>
      <c r="K611" s="19" t="inlineStr">
        <is>
          <t>Comedies, Independent Movies, International Movies</t>
        </is>
      </c>
      <c r="L611" s="19" t="inlineStr">
        <is>
          <t>When their Sunday soccer game on the beach is canceled, five friends set out to find another place to play in the noisy, crowded city of Mumbai.</t>
        </is>
      </c>
      <c r="M611" s="19" t="n">
        <v>2018</v>
      </c>
      <c r="N611" s="19">
        <f>IF(AND(OR(YearFilter="All",$M611=YearFilter),OR(RatingFilter="All",$I611=RatingFilter),OR(TypeFilter="All",$B611=TypeFilter),OR(GenreFilter="All",COUNTIFS(tblGenre[show_id],$A611,tblGenre[Genre],GenreFilter)&gt;0)),1,0)</f>
        <v/>
      </c>
    </row>
    <row r="612" ht="15" customHeight="1" s="20">
      <c r="A612" s="19" t="inlineStr">
        <is>
          <t>s5022</t>
        </is>
      </c>
      <c r="B612" s="19" t="inlineStr">
        <is>
          <t>Movie</t>
        </is>
      </c>
      <c r="C612" s="19" t="inlineStr">
        <is>
          <t>Yuva</t>
        </is>
      </c>
      <c r="D612" s="19" t="inlineStr">
        <is>
          <t>Mani Ratnam</t>
        </is>
      </c>
      <c r="E612" s="19" t="inlineStr">
        <is>
          <t>Ajay Devgn, Abhishek Bachchan, Vivek Oberoi, Esha Deol, Kareena Kapoor, Rani Mukerji, Loveleen Mishra, Anant Nag, Om Puri, Vijay Raaz, Sonu Sood</t>
        </is>
      </c>
      <c r="F612" s="19" t="inlineStr">
        <is>
          <t>India</t>
        </is>
      </c>
      <c r="G612" s="19" t="inlineStr">
        <is>
          <t>2018-03-01</t>
        </is>
      </c>
      <c r="H612" s="19" t="n">
        <v>2004</v>
      </c>
      <c r="I612" s="19" t="inlineStr">
        <is>
          <t>TV-14</t>
        </is>
      </c>
      <c r="J612" s="19" t="inlineStr">
        <is>
          <t>160 min</t>
        </is>
      </c>
      <c r="K612" s="19" t="inlineStr">
        <is>
          <t>Dramas, International Movies</t>
        </is>
      </c>
      <c r="L612" s="19" t="inlineStr">
        <is>
          <t>An accident on a bridge ties together three young men from different social classes, sparking a course of events that will forever alter their lives.</t>
        </is>
      </c>
      <c r="M612" s="19" t="n">
        <v>2018</v>
      </c>
      <c r="N612" s="19">
        <f>IF(AND(OR(YearFilter="All",$M612=YearFilter),OR(RatingFilter="All",$I612=RatingFilter),OR(TypeFilter="All",$B612=TypeFilter),OR(GenreFilter="All",COUNTIFS(tblGenre[show_id],$A612,tblGenre[Genre],GenreFilter)&gt;0)),1,0)</f>
        <v/>
      </c>
    </row>
    <row r="613" ht="15" customHeight="1" s="20">
      <c r="A613" s="19" t="inlineStr">
        <is>
          <t>s5041</t>
        </is>
      </c>
      <c r="B613" s="19" t="inlineStr">
        <is>
          <t>Movie</t>
        </is>
      </c>
      <c r="C613" s="19" t="inlineStr">
        <is>
          <t>Love Per Square Foot</t>
        </is>
      </c>
      <c r="D613" s="19" t="inlineStr">
        <is>
          <t>Anand Tiwari</t>
        </is>
      </c>
      <c r="E613" s="19" t="inlineStr">
        <is>
          <t>Vicky Kaushal, Angira Dhar, Alankrita Sahai, Raghuvir Yadav, Ratna Pathak Shah, Supriya Pathak</t>
        </is>
      </c>
      <c r="F613" s="19" t="inlineStr">
        <is>
          <t>India</t>
        </is>
      </c>
      <c r="G613" s="19" t="inlineStr">
        <is>
          <t>2018-02-14</t>
        </is>
      </c>
      <c r="H613" s="19" t="n">
        <v>2018</v>
      </c>
      <c r="I613" s="19" t="inlineStr">
        <is>
          <t>TV-14</t>
        </is>
      </c>
      <c r="J613" s="19" t="inlineStr">
        <is>
          <t>133 min</t>
        </is>
      </c>
      <c r="K613" s="19" t="inlineStr">
        <is>
          <t>Comedies, International Movies, Romantic Movies</t>
        </is>
      </c>
      <c r="L613" s="19" t="inlineStr">
        <is>
          <t>Individually, bank employees Sanjay and Karina don't earn enough to be able to buy a home, so they decide to enter into a marriage of convenience.</t>
        </is>
      </c>
      <c r="M613" s="19" t="n">
        <v>2018</v>
      </c>
      <c r="N613" s="19">
        <f>IF(AND(OR(YearFilter="All",$M613=YearFilter),OR(RatingFilter="All",$I613=RatingFilter),OR(TypeFilter="All",$B613=TypeFilter),OR(GenreFilter="All",COUNTIFS(tblGenre[show_id],$A613,tblGenre[Genre],GenreFilter)&gt;0)),1,0)</f>
        <v/>
      </c>
    </row>
    <row r="614" ht="15" customHeight="1" s="20">
      <c r="A614" s="19" t="inlineStr">
        <is>
          <t>s5080</t>
        </is>
      </c>
      <c r="B614" s="19" t="inlineStr">
        <is>
          <t>Movie</t>
        </is>
      </c>
      <c r="C614" s="19" t="inlineStr">
        <is>
          <t>Alibaba Aur 40 Chor</t>
        </is>
      </c>
      <c r="D614" s="19" t="inlineStr">
        <is>
          <t>Latif Faiziyev, Umesh Mehra</t>
        </is>
      </c>
      <c r="E614" s="19" t="inlineStr">
        <is>
          <t>Dharmendra, Hema Malini, Zeenat Aman, Rolan Bykov, Prem Chopra, Yakub Akhmedov, Madan Puri, Sofiko Chiaureli</t>
        </is>
      </c>
      <c r="F614" s="19" t="inlineStr">
        <is>
          <t>Soviet Union, India</t>
        </is>
      </c>
      <c r="G614" s="19" t="inlineStr">
        <is>
          <t>2018-01-15</t>
        </is>
      </c>
      <c r="H614" s="19" t="n">
        <v>1980</v>
      </c>
      <c r="I614" s="19" t="inlineStr">
        <is>
          <t>TV-14</t>
        </is>
      </c>
      <c r="J614" s="19" t="inlineStr">
        <is>
          <t>147 min</t>
        </is>
      </c>
      <c r="K614" s="19" t="inlineStr">
        <is>
          <t>Action &amp; Adventure, International Movies, Sci-Fi &amp; Fantasy</t>
        </is>
      </c>
      <c r="L614" s="19" t="inlineStr">
        <is>
          <t>A simple village man is thrown into a web of political intrigue after he takes on a powerful and ruthless gang of bandits.</t>
        </is>
      </c>
      <c r="M614" s="19" t="n">
        <v>2018</v>
      </c>
      <c r="N614" s="19">
        <f>IF(AND(OR(YearFilter="All",$M614=YearFilter),OR(RatingFilter="All",$I614=RatingFilter),OR(TypeFilter="All",$B614=TypeFilter),OR(GenreFilter="All",COUNTIFS(tblGenre[show_id],$A614,tblGenre[Genre],GenreFilter)&gt;0)),1,0)</f>
        <v/>
      </c>
    </row>
    <row r="615" ht="15" customHeight="1" s="20">
      <c r="A615" s="19" t="inlineStr">
        <is>
          <t>s5081</t>
        </is>
      </c>
      <c r="B615" s="19" t="inlineStr">
        <is>
          <t>Movie</t>
        </is>
      </c>
      <c r="C615" s="19" t="inlineStr">
        <is>
          <t>Pyar Ke Do Pal</t>
        </is>
      </c>
      <c r="D615" s="19" t="inlineStr">
        <is>
          <t>Rajiv Mehra</t>
        </is>
      </c>
      <c r="E615" s="19" t="inlineStr">
        <is>
          <t>Mithun Chakraborty, Jayapradha, Simple Kapadia, Krishan Dhawan, Jagdeep, Bindu, Satyendra Kapoor, Shubha Khote, Amrit Pal, Lalita Pawar</t>
        </is>
      </c>
      <c r="F615" s="19" t="inlineStr">
        <is>
          <t>India</t>
        </is>
      </c>
      <c r="G615" s="19" t="inlineStr">
        <is>
          <t>2018-01-15</t>
        </is>
      </c>
      <c r="H615" s="19" t="n">
        <v>1986</v>
      </c>
      <c r="I615" s="19" t="inlineStr">
        <is>
          <t>TV-14</t>
        </is>
      </c>
      <c r="J615" s="19" t="inlineStr">
        <is>
          <t>153 min</t>
        </is>
      </c>
      <c r="K615" s="19" t="inlineStr">
        <is>
          <t>Dramas, International Movies, Music &amp; Musicals</t>
        </is>
      </c>
      <c r="L615" s="19" t="inlineStr">
        <is>
          <t>Twins separated by a court order meet at camp and decide to reunite their parents, unaware of the dark secret that drove them apart years before.</t>
        </is>
      </c>
      <c r="M615" s="19" t="n">
        <v>2018</v>
      </c>
      <c r="N615" s="19">
        <f>IF(AND(OR(YearFilter="All",$M615=YearFilter),OR(RatingFilter="All",$I615=RatingFilter),OR(TypeFilter="All",$B615=TypeFilter),OR(GenreFilter="All",COUNTIFS(tblGenre[show_id],$A615,tblGenre[Genre],GenreFilter)&gt;0)),1,0)</f>
        <v/>
      </c>
    </row>
    <row r="616" ht="15" customHeight="1" s="20">
      <c r="A616" s="19" t="inlineStr">
        <is>
          <t>s5089</t>
        </is>
      </c>
      <c r="B616" s="19" t="inlineStr">
        <is>
          <t>Movie</t>
        </is>
      </c>
      <c r="C616" s="19" t="inlineStr">
        <is>
          <t>The House Next Door</t>
        </is>
      </c>
      <c r="D616" s="19" t="inlineStr">
        <is>
          <t>Milind Rau</t>
        </is>
      </c>
      <c r="E616" s="19" t="inlineStr">
        <is>
          <t>Siddharth, Andrea Jeremiah, Anisha Victor, Atul Kulkarni, Suresh, Prakash Belawadi</t>
        </is>
      </c>
      <c r="F616" s="19" t="inlineStr">
        <is>
          <t>India</t>
        </is>
      </c>
      <c r="G616" s="19" t="inlineStr">
        <is>
          <t>2018-01-09</t>
        </is>
      </c>
      <c r="H616" s="19" t="n">
        <v>2017</v>
      </c>
      <c r="I616" s="19" t="inlineStr">
        <is>
          <t>TV-MA</t>
        </is>
      </c>
      <c r="J616" s="19" t="inlineStr">
        <is>
          <t>135 min</t>
        </is>
      </c>
      <c r="K616" s="19" t="inlineStr">
        <is>
          <t>Horror Movies, International Movies, Thrillers</t>
        </is>
      </c>
      <c r="L616" s="19" t="inlineStr">
        <is>
          <t>In this Hindi version of "Aval," a young couple's relationship is shaken to its core when a mysterious and troubled family moves into the neighborhood.</t>
        </is>
      </c>
      <c r="M616" s="19" t="n">
        <v>2018</v>
      </c>
      <c r="N616" s="19">
        <f>IF(AND(OR(YearFilter="All",$M616=YearFilter),OR(RatingFilter="All",$I616=RatingFilter),OR(TypeFilter="All",$B616=TypeFilter),OR(GenreFilter="All",COUNTIFS(tblGenre[show_id],$A616,tblGenre[Genre],GenreFilter)&gt;0)),1,0)</f>
        <v/>
      </c>
    </row>
    <row r="617" ht="15" customHeight="1" s="20">
      <c r="A617" s="19" t="inlineStr">
        <is>
          <t>s5123</t>
        </is>
      </c>
      <c r="B617" s="19" t="inlineStr">
        <is>
          <t>Movie</t>
        </is>
      </c>
      <c r="C617" s="19" t="inlineStr">
        <is>
          <t>Muramba</t>
        </is>
      </c>
      <c r="D617" s="19" t="inlineStr">
        <is>
          <t>Varun Narvekar</t>
        </is>
      </c>
      <c r="E617" s="19" t="inlineStr">
        <is>
          <t>Mithila Palkar, Amey Wagh, Sachin Khedekar, Chinmayi Sumit</t>
        </is>
      </c>
      <c r="F617" s="19" t="inlineStr">
        <is>
          <t>India</t>
        </is>
      </c>
      <c r="G617" s="19" t="inlineStr">
        <is>
          <t>2017-12-15</t>
        </is>
      </c>
      <c r="H617" s="19" t="n">
        <v>2017</v>
      </c>
      <c r="I617" s="19" t="inlineStr">
        <is>
          <t>TV-MA</t>
        </is>
      </c>
      <c r="J617" s="19" t="inlineStr">
        <is>
          <t>128 min</t>
        </is>
      </c>
      <c r="K617" s="19" t="inlineStr">
        <is>
          <t>Comedies, Dramas, International Movies</t>
        </is>
      </c>
      <c r="L617" s="19" t="inlineStr">
        <is>
          <t>A young man and his parents ponder the reasons behind the recent breakdown of a relationship he was in – and the possibility of reconciliation.</t>
        </is>
      </c>
      <c r="M617" s="19" t="n">
        <v>2017</v>
      </c>
      <c r="N617" s="19">
        <f>IF(AND(OR(YearFilter="All",$M617=YearFilter),OR(RatingFilter="All",$I617=RatingFilter),OR(TypeFilter="All",$B617=TypeFilter),OR(GenreFilter="All",COUNTIFS(tblGenre[show_id],$A617,tblGenre[Genre],GenreFilter)&gt;0)),1,0)</f>
        <v/>
      </c>
    </row>
    <row r="618" ht="15" customHeight="1" s="20">
      <c r="A618" s="19" t="inlineStr">
        <is>
          <t>s5131</t>
        </is>
      </c>
      <c r="B618" s="19" t="inlineStr">
        <is>
          <t>Movie</t>
        </is>
      </c>
      <c r="C618" s="19" t="inlineStr">
        <is>
          <t>Jaal</t>
        </is>
      </c>
      <c r="D618" s="19" t="inlineStr">
        <is>
          <t>Umesh Mehra</t>
        </is>
      </c>
      <c r="E618" s="19" t="inlineStr">
        <is>
          <t>Jeetendra, Mithun Chakraborty, Rekha, Mandakini, Moon Moon Sen, Vinod Mehra, Tanuja, Amrit Pal</t>
        </is>
      </c>
      <c r="F618" s="19" t="inlineStr">
        <is>
          <t>India</t>
        </is>
      </c>
      <c r="G618" s="19" t="inlineStr">
        <is>
          <t>2017-12-08</t>
        </is>
      </c>
      <c r="H618" s="19" t="n">
        <v>1986</v>
      </c>
      <c r="I618" s="19" t="inlineStr">
        <is>
          <t>TV-14</t>
        </is>
      </c>
      <c r="J618" s="19" t="inlineStr">
        <is>
          <t>162 min</t>
        </is>
      </c>
      <c r="K618" s="19" t="inlineStr">
        <is>
          <t>Action &amp; Adventure, International Movies</t>
        </is>
      </c>
      <c r="L618" s="19" t="inlineStr">
        <is>
          <t>When a mysterious woman hires Shankar to spy on a family, he must determine how his own father's abandonment figures into the situation.</t>
        </is>
      </c>
      <c r="M618" s="19" t="n">
        <v>2017</v>
      </c>
      <c r="N618" s="19">
        <f>IF(AND(OR(YearFilter="All",$M618=YearFilter),OR(RatingFilter="All",$I618=RatingFilter),OR(TypeFilter="All",$B618=TypeFilter),OR(GenreFilter="All",COUNTIFS(tblGenre[show_id],$A618,tblGenre[Genre],GenreFilter)&gt;0)),1,0)</f>
        <v/>
      </c>
    </row>
    <row r="619" ht="15" customHeight="1" s="20">
      <c r="A619" s="19" t="inlineStr">
        <is>
          <t>s5132</t>
        </is>
      </c>
      <c r="B619" s="19" t="inlineStr">
        <is>
          <t>Movie</t>
        </is>
      </c>
      <c r="C619" s="19" t="inlineStr">
        <is>
          <t>Shikari</t>
        </is>
      </c>
      <c r="D619" s="19" t="inlineStr">
        <is>
          <t>Latif Faiziyev, Umesh Mehra</t>
        </is>
      </c>
      <c r="E619" s="19" t="inlineStr">
        <is>
          <t>Mithun Chakraborty, Naseeruddin Shah, Irina Kushnareva, Varsha Usgaonkar, Gulshan Grover, Anjana Mumtaz, Amrish Puri, Amrit Pal, Achyut Potdar, Lilliput</t>
        </is>
      </c>
      <c r="F619" s="19" t="inlineStr">
        <is>
          <t>India, Soviet Union</t>
        </is>
      </c>
      <c r="G619" s="19" t="inlineStr">
        <is>
          <t>2017-12-08</t>
        </is>
      </c>
      <c r="H619" s="19" t="n">
        <v>1991</v>
      </c>
      <c r="I619" s="19" t="inlineStr">
        <is>
          <t>TV-14</t>
        </is>
      </c>
      <c r="J619" s="19" t="inlineStr">
        <is>
          <t>163 min</t>
        </is>
      </c>
      <c r="K619" s="19" t="inlineStr">
        <is>
          <t>Dramas, International Movies, Music &amp; Musicals</t>
        </is>
      </c>
      <c r="L619" s="19" t="inlineStr">
        <is>
          <t>When Shankar, who performs on the road with partner Chanchal and elephant Appu, falls for a Russian circus performer, jealousies and conflicts arise.</t>
        </is>
      </c>
      <c r="M619" s="19" t="n">
        <v>2017</v>
      </c>
      <c r="N619" s="19">
        <f>IF(AND(OR(YearFilter="All",$M619=YearFilter),OR(RatingFilter="All",$I619=RatingFilter),OR(TypeFilter="All",$B619=TypeFilter),OR(GenreFilter="All",COUNTIFS(tblGenre[show_id],$A619,tblGenre[Genre],GenreFilter)&gt;0)),1,0)</f>
        <v/>
      </c>
    </row>
    <row r="620" ht="15" customHeight="1" s="20">
      <c r="A620" s="19" t="inlineStr">
        <is>
          <t>s5136</t>
        </is>
      </c>
      <c r="B620" s="19" t="inlineStr">
        <is>
          <t>Movie</t>
        </is>
      </c>
      <c r="C620" s="19" t="inlineStr">
        <is>
          <t>Jab Harry Met Sejal</t>
        </is>
      </c>
      <c r="D620" s="19" t="inlineStr">
        <is>
          <t>Imtiaz Ali</t>
        </is>
      </c>
      <c r="E620" s="19" t="inlineStr">
        <is>
          <t>Shah Rukh Khan, Anushka Sharma, Aru Krishansh Verma, Chandan Roy Sanyal, Evelyn Sharma, Kavi Shastri, Barbora Mudrochova, Paula Donner, Denis Dorokhov, Martavious Gayles</t>
        </is>
      </c>
      <c r="F620" s="19" t="inlineStr">
        <is>
          <t>India</t>
        </is>
      </c>
      <c r="G620" s="19" t="inlineStr">
        <is>
          <t>2017-12-02</t>
        </is>
      </c>
      <c r="H620" s="19" t="n">
        <v>2017</v>
      </c>
      <c r="I620" s="19" t="inlineStr">
        <is>
          <t>TV-MA</t>
        </is>
      </c>
      <c r="J620" s="19" t="inlineStr">
        <is>
          <t>142 min</t>
        </is>
      </c>
      <c r="K620" s="19" t="inlineStr">
        <is>
          <t>Comedies, International Movies, Romantic Movies</t>
        </is>
      </c>
      <c r="L620" s="19" t="inlineStr">
        <is>
          <t>A philandering tour guide in Europe begins to develop feelings for one of his clients while helping her search for her lost engagement ring.</t>
        </is>
      </c>
      <c r="M620" s="19" t="n">
        <v>2017</v>
      </c>
      <c r="N620" s="19">
        <f>IF(AND(OR(YearFilter="All",$M620=YearFilter),OR(RatingFilter="All",$I620=RatingFilter),OR(TypeFilter="All",$B620=TypeFilter),OR(GenreFilter="All",COUNTIFS(tblGenre[show_id],$A620,tblGenre[Genre],GenreFilter)&gt;0)),1,0)</f>
        <v/>
      </c>
    </row>
    <row r="621" ht="15" customHeight="1" s="20">
      <c r="A621" s="19" t="inlineStr">
        <is>
          <t>s5143</t>
        </is>
      </c>
      <c r="B621" s="19" t="inlineStr">
        <is>
          <t>Movie</t>
        </is>
      </c>
      <c r="C621" s="19" t="inlineStr">
        <is>
          <t>Monster Island</t>
        </is>
      </c>
      <c r="D621" s="19" t="inlineStr">
        <is>
          <t>Leopoldo Aguilar</t>
        </is>
      </c>
      <c r="E621" s="19" t="inlineStr">
        <is>
          <t>Joey Camen, Fiona Hardingham, Johnny Rose, Katie Leigh, Roger L. Jackson, Wally Wingert, Phillip Vasquez</t>
        </is>
      </c>
      <c r="F621" s="19" t="inlineStr">
        <is>
          <t>India, Mexico</t>
        </is>
      </c>
      <c r="G621" s="19" t="inlineStr">
        <is>
          <t>2017-12-01</t>
        </is>
      </c>
      <c r="H621" s="19" t="n">
        <v>2017</v>
      </c>
      <c r="I621" s="19" t="inlineStr">
        <is>
          <t>TV-Y7</t>
        </is>
      </c>
      <c r="J621" s="19" t="inlineStr">
        <is>
          <t>81 min</t>
        </is>
      </c>
      <c r="K621" s="19" t="inlineStr">
        <is>
          <t>Children &amp; Family Movies</t>
        </is>
      </c>
      <c r="L621" s="19" t="inlineStr">
        <is>
          <t>When a teenager discovers he's not really human, he ventures out to a remote island to explore his roots and confronts a series of wild challenges.</t>
        </is>
      </c>
      <c r="M621" s="19" t="n">
        <v>2017</v>
      </c>
      <c r="N621" s="19">
        <f>IF(AND(OR(YearFilter="All",$M621=YearFilter),OR(RatingFilter="All",$I621=RatingFilter),OR(TypeFilter="All",$B621=TypeFilter),OR(GenreFilter="All",COUNTIFS(tblGenre[show_id],$A621,tblGenre[Genre],GenreFilter)&gt;0)),1,0)</f>
        <v/>
      </c>
    </row>
    <row r="622" ht="15" customHeight="1" s="20">
      <c r="A622" s="19" t="inlineStr">
        <is>
          <t>s5152</t>
        </is>
      </c>
      <c r="B622" s="19" t="inlineStr">
        <is>
          <t>Movie</t>
        </is>
      </c>
      <c r="C622" s="19" t="inlineStr">
        <is>
          <t>Poster Boys</t>
        </is>
      </c>
      <c r="D622" s="19" t="inlineStr">
        <is>
          <t>Shreyas Talpade</t>
        </is>
      </c>
      <c r="E622" s="19" t="inlineStr">
        <is>
          <t>Sunny Deol, Bobby Deol, Shreyas Talpade, Sonali Kulkarni, Tripti Dimri, Samiksha Bhatnagar, Lovely Singh, Purnima Varma</t>
        </is>
      </c>
      <c r="F622" s="19" t="inlineStr">
        <is>
          <t>India</t>
        </is>
      </c>
      <c r="G622" s="19" t="inlineStr">
        <is>
          <t>2017-11-27</t>
        </is>
      </c>
      <c r="H622" s="19" t="n">
        <v>2017</v>
      </c>
      <c r="I622" s="19" t="inlineStr">
        <is>
          <t>PG-13</t>
        </is>
      </c>
      <c r="J622" s="19" t="inlineStr">
        <is>
          <t>128 min</t>
        </is>
      </c>
      <c r="K622" s="19" t="inlineStr">
        <is>
          <t>Comedies, International Movies</t>
        </is>
      </c>
      <c r="L622" s="19" t="inlineStr">
        <is>
          <t>Three men are stunned to find their faces on a poster promoting vasectomies, and must prove to their upset loved ones that they're innocent victims.</t>
        </is>
      </c>
      <c r="M622" s="19" t="n">
        <v>2017</v>
      </c>
      <c r="N622" s="19">
        <f>IF(AND(OR(YearFilter="All",$M622=YearFilter),OR(RatingFilter="All",$I622=RatingFilter),OR(TypeFilter="All",$B622=TypeFilter),OR(GenreFilter="All",COUNTIFS(tblGenre[show_id],$A622,tblGenre[Genre],GenreFilter)&gt;0)),1,0)</f>
        <v/>
      </c>
    </row>
    <row r="623" ht="15" customHeight="1" s="20">
      <c r="A623" s="19" t="inlineStr">
        <is>
          <t>s5184</t>
        </is>
      </c>
      <c r="B623" s="19" t="inlineStr">
        <is>
          <t>Movie</t>
        </is>
      </c>
      <c r="C623" s="19" t="inlineStr">
        <is>
          <t>Mubarakan</t>
        </is>
      </c>
      <c r="D623" s="19" t="inlineStr">
        <is>
          <t>Anees Bazmee</t>
        </is>
      </c>
      <c r="E623" s="19" t="inlineStr">
        <is>
          <t>Anil Kapoor, Arjun Kapoor, Ileana D'Cruz, Athiya Shetty, Neha Sharma, Vineet Kumar Singh, Pavan Malhotra, Ratna Pathak Shah, Karan Kundra, Anil Mange, Rahul Dev, Sanjay Kapoor</t>
        </is>
      </c>
      <c r="F623" s="19" t="inlineStr">
        <is>
          <t>India</t>
        </is>
      </c>
      <c r="G623" s="19" t="inlineStr">
        <is>
          <t>2017-11-05</t>
        </is>
      </c>
      <c r="H623" s="19" t="n">
        <v>2017</v>
      </c>
      <c r="I623" s="19" t="inlineStr">
        <is>
          <t>PG-13</t>
        </is>
      </c>
      <c r="J623" s="19" t="inlineStr">
        <is>
          <t>153 min</t>
        </is>
      </c>
      <c r="K623" s="19" t="inlineStr">
        <is>
          <t>Comedies, Dramas, International Movies</t>
        </is>
      </c>
      <c r="L623" s="19" t="inlineStr">
        <is>
          <t>Chaos ensues after two orphaned twin brothers raised apart team up with their eccentric, unmarried uncle to find a solution to their romantic woes.</t>
        </is>
      </c>
      <c r="M623" s="19" t="n">
        <v>2017</v>
      </c>
      <c r="N623" s="19">
        <f>IF(AND(OR(YearFilter="All",$M623=YearFilter),OR(RatingFilter="All",$I623=RatingFilter),OR(TypeFilter="All",$B623=TypeFilter),OR(GenreFilter="All",COUNTIFS(tblGenre[show_id],$A623,tblGenre[Genre],GenreFilter)&gt;0)),1,0)</f>
        <v/>
      </c>
    </row>
    <row r="624" ht="15" customHeight="1" s="20">
      <c r="A624" s="19" t="inlineStr">
        <is>
          <t>s5187</t>
        </is>
      </c>
      <c r="B624" s="19" t="inlineStr">
        <is>
          <t>Movie</t>
        </is>
      </c>
      <c r="C624" s="19" t="inlineStr">
        <is>
          <t>Bandie</t>
        </is>
      </c>
      <c r="D624" s="19" t="inlineStr">
        <is>
          <t>Alo Sarkar</t>
        </is>
      </c>
      <c r="E624" s="19" t="inlineStr">
        <is>
          <t>Uttam Kumar, Sulakshana Pandit, Utpal Dutt, Bindu, Amjad Khan, Helen, Indrani Mukherjee, Padma Khanna, Iftekhar</t>
        </is>
      </c>
      <c r="F624" s="19" t="inlineStr">
        <is>
          <t>India</t>
        </is>
      </c>
      <c r="G624" s="19" t="inlineStr">
        <is>
          <t>2017-11-01</t>
        </is>
      </c>
      <c r="H624" s="19" t="n">
        <v>1978</v>
      </c>
      <c r="I624" s="19" t="inlineStr">
        <is>
          <t>TV-PG</t>
        </is>
      </c>
      <c r="J624" s="19" t="inlineStr">
        <is>
          <t>141 min</t>
        </is>
      </c>
      <c r="K624" s="19" t="inlineStr">
        <is>
          <t>Action &amp; Adventure, Dramas, International Movies</t>
        </is>
      </c>
      <c r="L624" s="19" t="inlineStr">
        <is>
          <t>Heirless Maharaj Brajbhan leaves his throne to his cousin Vikram, but when Brajbhan's wife, Badi Rani, finally conceives, Vikram plots to destroy her.</t>
        </is>
      </c>
      <c r="M624" s="19" t="n">
        <v>2017</v>
      </c>
      <c r="N624" s="19">
        <f>IF(AND(OR(YearFilter="All",$M624=YearFilter),OR(RatingFilter="All",$I624=RatingFilter),OR(TypeFilter="All",$B624=TypeFilter),OR(GenreFilter="All",COUNTIFS(tblGenre[show_id],$A624,tblGenre[Genre],GenreFilter)&gt;0)),1,0)</f>
        <v/>
      </c>
    </row>
    <row r="625" ht="15" customHeight="1" s="20">
      <c r="A625" s="19" t="inlineStr">
        <is>
          <t>s5215</t>
        </is>
      </c>
      <c r="B625" s="19" t="inlineStr">
        <is>
          <t>Movie</t>
        </is>
      </c>
      <c r="C625" s="19" t="inlineStr">
        <is>
          <t>Baadshaho</t>
        </is>
      </c>
      <c r="D625" s="19" t="inlineStr">
        <is>
          <t>Milan Luthria</t>
        </is>
      </c>
      <c r="E625" s="19" t="inlineStr">
        <is>
          <t>Ajay Devgn, Emraan Hashmi, Vidyut Jamwal, Ileana D'Cruz, Esha Gupta, Sanjay Mishra, Sunny Leone, Sharad Kelkar, Priyanshu Chatterjee, Denzil Smith</t>
        </is>
      </c>
      <c r="F625" s="19" t="inlineStr">
        <is>
          <t>India</t>
        </is>
      </c>
      <c r="G625" s="19" t="inlineStr">
        <is>
          <t>2017-10-16</t>
        </is>
      </c>
      <c r="H625" s="19" t="n">
        <v>2017</v>
      </c>
      <c r="I625" s="19" t="inlineStr">
        <is>
          <t>TV-14</t>
        </is>
      </c>
      <c r="J625" s="19" t="inlineStr">
        <is>
          <t>135 min</t>
        </is>
      </c>
      <c r="K625" s="19" t="inlineStr">
        <is>
          <t>Action &amp; Adventure, International Movies</t>
        </is>
      </c>
      <c r="L625" s="19" t="inlineStr">
        <is>
          <t>In 1975, during the government-declared Emergency, thief Bhawani and his crew plan a daring robbery to reclaim his royal lover's seized treasures.</t>
        </is>
      </c>
      <c r="M625" s="19" t="n">
        <v>2017</v>
      </c>
      <c r="N625" s="19">
        <f>IF(AND(OR(YearFilter="All",$M625=YearFilter),OR(RatingFilter="All",$I625=RatingFilter),OR(TypeFilter="All",$B625=TypeFilter),OR(GenreFilter="All",COUNTIFS(tblGenre[show_id],$A625,tblGenre[Genre],GenreFilter)&gt;0)),1,0)</f>
        <v/>
      </c>
    </row>
    <row r="626" ht="15" customHeight="1" s="20">
      <c r="A626" s="19" t="inlineStr">
        <is>
          <t>s5218</t>
        </is>
      </c>
      <c r="B626" s="19" t="inlineStr">
        <is>
          <t>Movie</t>
        </is>
      </c>
      <c r="C626" s="19" t="inlineStr">
        <is>
          <t>Lucknow Central</t>
        </is>
      </c>
      <c r="D626" s="19" t="inlineStr">
        <is>
          <t>Ranjit Tiwari</t>
        </is>
      </c>
      <c r="E626" s="19" t="inlineStr">
        <is>
          <t>Farhan Akhtar, Diana Penty, Ronit Roy, Gippy Grewal, Deepak Dobriyal, Inaamulhaq, Rajesh Sharma</t>
        </is>
      </c>
      <c r="F626" s="19" t="inlineStr">
        <is>
          <t>India</t>
        </is>
      </c>
      <c r="G626" s="19" t="inlineStr">
        <is>
          <t>2017-10-16</t>
        </is>
      </c>
      <c r="H626" s="19" t="n">
        <v>2017</v>
      </c>
      <c r="I626" s="19" t="inlineStr">
        <is>
          <t>TV-14</t>
        </is>
      </c>
      <c r="J626" s="19" t="inlineStr">
        <is>
          <t>144 min</t>
        </is>
      </c>
      <c r="K626" s="19" t="inlineStr">
        <is>
          <t>Dramas, International Movies, Music &amp; Musicals</t>
        </is>
      </c>
      <c r="L626" s="19" t="inlineStr">
        <is>
          <t>After being arrested for a crime he didn't commit, an aspiring musician teams up with some of his inmates at Lucknow Central to form a band.</t>
        </is>
      </c>
      <c r="M626" s="19" t="n">
        <v>2017</v>
      </c>
      <c r="N626" s="19">
        <f>IF(AND(OR(YearFilter="All",$M626=YearFilter),OR(RatingFilter="All",$I626=RatingFilter),OR(TypeFilter="All",$B626=TypeFilter),OR(GenreFilter="All",COUNTIFS(tblGenre[show_id],$A626,tblGenre[Genre],GenreFilter)&gt;0)),1,0)</f>
        <v/>
      </c>
    </row>
    <row r="627" ht="15" customHeight="1" s="20">
      <c r="A627" s="19" t="inlineStr">
        <is>
          <t>s5221</t>
        </is>
      </c>
      <c r="B627" s="19" t="inlineStr">
        <is>
          <t>Movie</t>
        </is>
      </c>
      <c r="C627" s="19" t="inlineStr">
        <is>
          <t>Singapore</t>
        </is>
      </c>
      <c r="D627" s="19" t="inlineStr">
        <is>
          <t>Shakti Samanta</t>
        </is>
      </c>
      <c r="E627" s="19" t="inlineStr">
        <is>
          <t>Shammi Kapoor, Padmini, Maria Menado, Shashikala, Agha, K.N. Singh, Madan Puri, Helen</t>
        </is>
      </c>
      <c r="F627" s="19" t="inlineStr">
        <is>
          <t>India, Malaysia</t>
        </is>
      </c>
      <c r="G627" s="19" t="inlineStr">
        <is>
          <t>2017-10-15</t>
        </is>
      </c>
      <c r="H627" s="19" t="n">
        <v>1960</v>
      </c>
      <c r="I627" s="19" t="inlineStr">
        <is>
          <t>TV-PG</t>
        </is>
      </c>
      <c r="J627" s="19" t="inlineStr">
        <is>
          <t>158 min</t>
        </is>
      </c>
      <c r="K627" s="19" t="inlineStr">
        <is>
          <t>Comedies, Dramas, International Movies</t>
        </is>
      </c>
      <c r="L627" s="19" t="inlineStr">
        <is>
          <t>When his employee disappears in Singapore, Shyam travels from India to investigate the absence and becomes entangled in a deadly plot.</t>
        </is>
      </c>
      <c r="M627" s="19" t="n">
        <v>2017</v>
      </c>
      <c r="N627" s="19">
        <f>IF(AND(OR(YearFilter="All",$M627=YearFilter),OR(RatingFilter="All",$I627=RatingFilter),OR(TypeFilter="All",$B627=TypeFilter),OR(GenreFilter="All",COUNTIFS(tblGenre[show_id],$A627,tblGenre[Genre],GenreFilter)&gt;0)),1,0)</f>
        <v/>
      </c>
    </row>
    <row r="628" ht="15" customHeight="1" s="20">
      <c r="A628" s="19" t="inlineStr">
        <is>
          <t>s5291</t>
        </is>
      </c>
      <c r="B628" s="19" t="inlineStr">
        <is>
          <t>Movie</t>
        </is>
      </c>
      <c r="C628" s="19" t="inlineStr">
        <is>
          <t>Aakhri Adaalat</t>
        </is>
      </c>
      <c r="D628" s="19" t="inlineStr">
        <is>
          <t>Rajiv Mehra</t>
        </is>
      </c>
      <c r="E628" s="19" t="inlineStr">
        <is>
          <t>Vinod Khanna, Dimple Kapadia, Jackie Shroff, Sonam, Vinod Mehra, Shafi Inamdar, Gulshan Grover, Roopesh Kumar</t>
        </is>
      </c>
      <c r="F628" s="19" t="inlineStr">
        <is>
          <t>India</t>
        </is>
      </c>
      <c r="G628" s="19" t="inlineStr">
        <is>
          <t>2017-09-01</t>
        </is>
      </c>
      <c r="H628" s="19" t="n">
        <v>1988</v>
      </c>
      <c r="I628" s="19" t="inlineStr">
        <is>
          <t>TV-14</t>
        </is>
      </c>
      <c r="J628" s="19" t="inlineStr">
        <is>
          <t>148 min</t>
        </is>
      </c>
      <c r="K628" s="19" t="inlineStr">
        <is>
          <t>Action &amp; Adventure, International Movies</t>
        </is>
      </c>
      <c r="L628" s="19" t="inlineStr">
        <is>
          <t>An intrepid police inspector forced into a desk job must take matters into his own hands when ruthless criminals are released on a technicality.</t>
        </is>
      </c>
      <c r="M628" s="19" t="n">
        <v>2017</v>
      </c>
      <c r="N628" s="19">
        <f>IF(AND(OR(YearFilter="All",$M628=YearFilter),OR(RatingFilter="All",$I628=RatingFilter),OR(TypeFilter="All",$B628=TypeFilter),OR(GenreFilter="All",COUNTIFS(tblGenre[show_id],$A628,tblGenre[Genre],GenreFilter)&gt;0)),1,0)</f>
        <v/>
      </c>
    </row>
    <row r="629" ht="15" customHeight="1" s="20">
      <c r="A629" s="19" t="inlineStr">
        <is>
          <t>s5296</t>
        </is>
      </c>
      <c r="B629" s="19" t="inlineStr">
        <is>
          <t>Movie</t>
        </is>
      </c>
      <c r="C629" s="19" t="inlineStr">
        <is>
          <t>Chadi Jawani Budhe Nu</t>
        </is>
      </c>
      <c r="E629" s="19" t="inlineStr">
        <is>
          <t>Anand</t>
        </is>
      </c>
      <c r="F629" s="19" t="inlineStr">
        <is>
          <t>India</t>
        </is>
      </c>
      <c r="G629" s="19" t="inlineStr">
        <is>
          <t>2017-09-01</t>
        </is>
      </c>
      <c r="H629" s="19" t="n">
        <v>1976</v>
      </c>
      <c r="I629" s="19" t="inlineStr">
        <is>
          <t>TV-PG</t>
        </is>
      </c>
      <c r="J629" s="19" t="inlineStr">
        <is>
          <t>135 min</t>
        </is>
      </c>
      <c r="K629" s="19" t="inlineStr">
        <is>
          <t>Comedies, International Movies, Romantic Movies</t>
        </is>
      </c>
      <c r="L629" s="19" t="inlineStr">
        <is>
          <t>After reaching his 40th birthday, an egotistical businessman kicks off his midlife crisis by deciding to secure a mistress.</t>
        </is>
      </c>
      <c r="M629" s="19" t="n">
        <v>2017</v>
      </c>
      <c r="N629" s="19">
        <f>IF(AND(OR(YearFilter="All",$M629=YearFilter),OR(RatingFilter="All",$I629=RatingFilter),OR(TypeFilter="All",$B629=TypeFilter),OR(GenreFilter="All",COUNTIFS(tblGenre[show_id],$A629,tblGenre[Genre],GenreFilter)&gt;0)),1,0)</f>
        <v/>
      </c>
    </row>
    <row r="630" ht="15" customHeight="1" s="20">
      <c r="A630" s="19" t="inlineStr">
        <is>
          <t>s5297</t>
        </is>
      </c>
      <c r="B630" s="19" t="inlineStr">
        <is>
          <t>Movie</t>
        </is>
      </c>
      <c r="C630" s="19" t="inlineStr">
        <is>
          <t>Ek Jaan Hain Hum</t>
        </is>
      </c>
      <c r="D630" s="19" t="inlineStr">
        <is>
          <t>Rajiv Mehra</t>
        </is>
      </c>
      <c r="E630" s="19" t="inlineStr">
        <is>
          <t>Rajiv Kapoor, Divya Rana, Shammi Kapoor, Tanuja, Kiran Vairale, Rakesh Bedi, Gulshan Grover, Monty Sharma</t>
        </is>
      </c>
      <c r="F630" s="19" t="inlineStr">
        <is>
          <t>India</t>
        </is>
      </c>
      <c r="G630" s="19" t="inlineStr">
        <is>
          <t>2017-09-01</t>
        </is>
      </c>
      <c r="H630" s="19" t="n">
        <v>1983</v>
      </c>
      <c r="I630" s="19" t="inlineStr">
        <is>
          <t>TV-14</t>
        </is>
      </c>
      <c r="J630" s="19" t="inlineStr">
        <is>
          <t>151 min</t>
        </is>
      </c>
      <c r="K630" s="19" t="inlineStr">
        <is>
          <t>Dramas, International Movies, Music &amp; Musicals</t>
        </is>
      </c>
      <c r="L630" s="19" t="inlineStr">
        <is>
          <t>While trying to win over his beloved’s parents, a young man is accused of arson, and his father soon realizes insanity may be his only defense.</t>
        </is>
      </c>
      <c r="M630" s="19" t="n">
        <v>2017</v>
      </c>
      <c r="N630" s="19">
        <f>IF(AND(OR(YearFilter="All",$M630=YearFilter),OR(RatingFilter="All",$I630=RatingFilter),OR(TypeFilter="All",$B630=TypeFilter),OR(GenreFilter="All",COUNTIFS(tblGenre[show_id],$A630,tblGenre[Genre],GenreFilter)&gt;0)),1,0)</f>
        <v/>
      </c>
    </row>
    <row r="631" ht="15" customHeight="1" s="20">
      <c r="A631" s="19" t="inlineStr">
        <is>
          <t>s5301</t>
        </is>
      </c>
      <c r="B631" s="19" t="inlineStr">
        <is>
          <t>Movie</t>
        </is>
      </c>
      <c r="C631" s="19" t="inlineStr">
        <is>
          <t>Khoon Khoon</t>
        </is>
      </c>
      <c r="D631" s="19" t="inlineStr">
        <is>
          <t>Mohammed Hussain</t>
        </is>
      </c>
      <c r="E631" s="19" t="inlineStr">
        <is>
          <t>Danny Denzongpa, Mahendra Sandhu, Rekha, Faryal, Helen, Jagdeep</t>
        </is>
      </c>
      <c r="F631" s="19" t="inlineStr">
        <is>
          <t>India</t>
        </is>
      </c>
      <c r="G631" s="19" t="inlineStr">
        <is>
          <t>2017-09-01</t>
        </is>
      </c>
      <c r="H631" s="19" t="n">
        <v>1973</v>
      </c>
      <c r="I631" s="19" t="inlineStr">
        <is>
          <t>TV-14</t>
        </is>
      </c>
      <c r="J631" s="19" t="inlineStr">
        <is>
          <t>132 min</t>
        </is>
      </c>
      <c r="K631" s="19" t="inlineStr">
        <is>
          <t>Action &amp; Adventure, International Movies</t>
        </is>
      </c>
      <c r="L631" s="19" t="inlineStr">
        <is>
          <t>As a crazed killer blazes a trail of blood through an anxious city, a hardened cop aims to take him down by any means in this remake of “Dirty Harry.”</t>
        </is>
      </c>
      <c r="M631" s="19" t="n">
        <v>2017</v>
      </c>
      <c r="N631" s="19">
        <f>IF(AND(OR(YearFilter="All",$M631=YearFilter),OR(RatingFilter="All",$I631=RatingFilter),OR(TypeFilter="All",$B631=TypeFilter),OR(GenreFilter="All",COUNTIFS(tblGenre[show_id],$A631,tblGenre[Genre],GenreFilter)&gt;0)),1,0)</f>
        <v/>
      </c>
    </row>
    <row r="632" ht="15" customHeight="1" s="20">
      <c r="A632" s="19" t="inlineStr">
        <is>
          <t>s5304</t>
        </is>
      </c>
      <c r="B632" s="19" t="inlineStr">
        <is>
          <t>Movie</t>
        </is>
      </c>
      <c r="C632" s="19" t="inlineStr">
        <is>
          <t>Manoranjan</t>
        </is>
      </c>
      <c r="D632" s="19" t="inlineStr">
        <is>
          <t>Shammi Kapoor</t>
        </is>
      </c>
      <c r="E632" s="19" t="inlineStr">
        <is>
          <t>Sanjeev Kumar, Zeenat Aman, Shammi Kapoor, Dev Kumar, Madan Puri, Paintal, Asit Kumar Sen, Agha, Murad, Shefali</t>
        </is>
      </c>
      <c r="F632" s="19" t="inlineStr">
        <is>
          <t>India</t>
        </is>
      </c>
      <c r="G632" s="19" t="inlineStr">
        <is>
          <t>2017-09-01</t>
        </is>
      </c>
      <c r="H632" s="19" t="n">
        <v>1974</v>
      </c>
      <c r="I632" s="19" t="inlineStr">
        <is>
          <t>TV-14</t>
        </is>
      </c>
      <c r="J632" s="19" t="inlineStr">
        <is>
          <t>162 min</t>
        </is>
      </c>
      <c r="K632" s="19" t="inlineStr">
        <is>
          <t>Comedies, International Movies, Music &amp; Musicals</t>
        </is>
      </c>
      <c r="L632" s="19" t="inlineStr">
        <is>
          <t>After getting fired, a police officer connects with a prostitute he met on the job in a red-light district and sets out to keep her off the streets.</t>
        </is>
      </c>
      <c r="M632" s="19" t="n">
        <v>2017</v>
      </c>
      <c r="N632" s="19">
        <f>IF(AND(OR(YearFilter="All",$M632=YearFilter),OR(RatingFilter="All",$I632=RatingFilter),OR(TypeFilter="All",$B632=TypeFilter),OR(GenreFilter="All",COUNTIFS(tblGenre[show_id],$A632,tblGenre[Genre],GenreFilter)&gt;0)),1,0)</f>
        <v/>
      </c>
    </row>
    <row r="633" ht="15" customHeight="1" s="20">
      <c r="A633" s="19" t="inlineStr">
        <is>
          <t>s5305</t>
        </is>
      </c>
      <c r="B633" s="19" t="inlineStr">
        <is>
          <t>Movie</t>
        </is>
      </c>
      <c r="C633" s="19" t="inlineStr">
        <is>
          <t>Mujrim</t>
        </is>
      </c>
      <c r="D633" s="19" t="inlineStr">
        <is>
          <t>Umesh Mehra</t>
        </is>
      </c>
      <c r="E633" s="19" t="inlineStr">
        <is>
          <t>Mithun Chakraborty, Madhuri Dixit, Suresh Oberoi, Shakti Kapoor, Pallavi Joshi, Gulshan Grover, Amrish Puri, Nutan, Jagdeep, Sharat Saxena</t>
        </is>
      </c>
      <c r="F633" s="19" t="inlineStr">
        <is>
          <t>India</t>
        </is>
      </c>
      <c r="G633" s="19" t="inlineStr">
        <is>
          <t>2017-09-01</t>
        </is>
      </c>
      <c r="H633" s="19" t="n">
        <v>1989</v>
      </c>
      <c r="I633" s="19" t="inlineStr">
        <is>
          <t>TV-14</t>
        </is>
      </c>
      <c r="J633" s="19" t="inlineStr">
        <is>
          <t>163 min</t>
        </is>
      </c>
      <c r="K633" s="19" t="inlineStr">
        <is>
          <t>Action &amp; Adventure, Dramas, International Movies</t>
        </is>
      </c>
      <c r="L633" s="19" t="inlineStr">
        <is>
          <t>Jailed as a teenager, Shankar has been unable to stay on the right side of the law ever since, despite his wife's pleas and his mother's rejection.</t>
        </is>
      </c>
      <c r="M633" s="19" t="n">
        <v>2017</v>
      </c>
      <c r="N633" s="19">
        <f>IF(AND(OR(YearFilter="All",$M633=YearFilter),OR(RatingFilter="All",$I633=RatingFilter),OR(TypeFilter="All",$B633=TypeFilter),OR(GenreFilter="All",COUNTIFS(tblGenre[show_id],$A633,tblGenre[Genre],GenreFilter)&gt;0)),1,0)</f>
        <v/>
      </c>
    </row>
    <row r="634" ht="15" customHeight="1" s="20">
      <c r="A634" s="19" t="inlineStr">
        <is>
          <t>s5310</t>
        </is>
      </c>
      <c r="B634" s="19" t="inlineStr">
        <is>
          <t>Movie</t>
        </is>
      </c>
      <c r="C634" s="19" t="inlineStr">
        <is>
          <t>Sohni Mahiwal</t>
        </is>
      </c>
      <c r="D634" s="19" t="inlineStr">
        <is>
          <t>Latif Faiziyev, Umesh Mehra</t>
        </is>
      </c>
      <c r="E634" s="19" t="inlineStr">
        <is>
          <t>Zeenat Aman, Pran, Tanuja, Poonam Dhillon</t>
        </is>
      </c>
      <c r="F634" s="19" t="inlineStr">
        <is>
          <t>India, Soviet Union</t>
        </is>
      </c>
      <c r="G634" s="19" t="inlineStr">
        <is>
          <t>2017-09-01</t>
        </is>
      </c>
      <c r="H634" s="19" t="n">
        <v>1984</v>
      </c>
      <c r="I634" s="19" t="inlineStr">
        <is>
          <t>TV-14</t>
        </is>
      </c>
      <c r="J634" s="19" t="inlineStr">
        <is>
          <t>160 min</t>
        </is>
      </c>
      <c r="K634" s="19" t="inlineStr">
        <is>
          <t>Dramas, International Movies, Romantic Movies</t>
        </is>
      </c>
      <c r="L634" s="19" t="inlineStr">
        <is>
          <t>After being violently separated from the woman he loves, a young man must disguise himself in order to keep meeting her.</t>
        </is>
      </c>
      <c r="M634" s="19" t="n">
        <v>2017</v>
      </c>
      <c r="N634" s="19">
        <f>IF(AND(OR(YearFilter="All",$M634=YearFilter),OR(RatingFilter="All",$I634=RatingFilter),OR(TypeFilter="All",$B634=TypeFilter),OR(GenreFilter="All",COUNTIFS(tblGenre[show_id],$A634,tblGenre[Genre],GenreFilter)&gt;0)),1,0)</f>
        <v/>
      </c>
    </row>
    <row r="635" ht="15" customHeight="1" s="20">
      <c r="A635" s="19" t="inlineStr">
        <is>
          <t>s5335</t>
        </is>
      </c>
      <c r="B635" s="19" t="inlineStr">
        <is>
          <t>Movie</t>
        </is>
      </c>
      <c r="C635" s="19" t="inlineStr">
        <is>
          <t>Baahubali 2: The Conclusion (Hindi Version)</t>
        </is>
      </c>
      <c r="D635" s="19" t="inlineStr">
        <is>
          <t>S.S. Rajamouli</t>
        </is>
      </c>
      <c r="E635" s="19" t="inlineStr">
        <is>
          <t>Prabhas, Rana Daggubati, Anushka Shetty, Tamannaah Bhatia, Sathyaraj, Ramya Krishnan, Nassar, Subbaraju</t>
        </is>
      </c>
      <c r="F635" s="19" t="inlineStr">
        <is>
          <t>India</t>
        </is>
      </c>
      <c r="G635" s="19" t="inlineStr">
        <is>
          <t>2017-08-07</t>
        </is>
      </c>
      <c r="H635" s="19" t="n">
        <v>2017</v>
      </c>
      <c r="I635" s="19" t="inlineStr">
        <is>
          <t>TV-MA</t>
        </is>
      </c>
      <c r="J635" s="19" t="inlineStr">
        <is>
          <t>165 min</t>
        </is>
      </c>
      <c r="K635" s="19" t="inlineStr">
        <is>
          <t>Action &amp; Adventure, Dramas, International Movies</t>
        </is>
      </c>
      <c r="L635" s="19" t="inlineStr">
        <is>
          <t>To avenge his father's death, a young man leads an army into battle against a cruel tyrant in this Hindi conclusion to the historic saga.</t>
        </is>
      </c>
      <c r="M635" s="19" t="n">
        <v>2017</v>
      </c>
      <c r="N635" s="19">
        <f>IF(AND(OR(YearFilter="All",$M635=YearFilter),OR(RatingFilter="All",$I635=RatingFilter),OR(TypeFilter="All",$B635=TypeFilter),OR(GenreFilter="All",COUNTIFS(tblGenre[show_id],$A635,tblGenre[Genre],GenreFilter)&gt;0)),1,0)</f>
        <v/>
      </c>
    </row>
    <row r="636" ht="15" customHeight="1" s="20">
      <c r="A636" s="19" t="inlineStr">
        <is>
          <t>s5338</t>
        </is>
      </c>
      <c r="B636" s="19" t="inlineStr">
        <is>
          <t>Movie</t>
        </is>
      </c>
      <c r="C636" s="19" t="inlineStr">
        <is>
          <t>Baahubali: The Beginning (Hindi Version)</t>
        </is>
      </c>
      <c r="D636" s="19" t="inlineStr">
        <is>
          <t>S.S. Rajamouli</t>
        </is>
      </c>
      <c r="E636" s="19" t="inlineStr">
        <is>
          <t>Prabhas, Rana Daggubati, Anushka Shetty, Tamannaah Bhatia, Sathyaraj, Nassar, Ramya Krishnan, Sudeep</t>
        </is>
      </c>
      <c r="F636" s="19" t="inlineStr">
        <is>
          <t>India</t>
        </is>
      </c>
      <c r="G636" s="19" t="inlineStr">
        <is>
          <t>2017-08-07</t>
        </is>
      </c>
      <c r="H636" s="19" t="n">
        <v>2015</v>
      </c>
      <c r="I636" s="19" t="inlineStr">
        <is>
          <t>TV-14</t>
        </is>
      </c>
      <c r="J636" s="19" t="inlineStr">
        <is>
          <t>159 min</t>
        </is>
      </c>
      <c r="K636" s="19" t="inlineStr">
        <is>
          <t>Action &amp; Adventure, Dramas, International Movies</t>
        </is>
      </c>
      <c r="L636" s="19" t="inlineStr">
        <is>
          <t>Villagers in the kingdom of Mahismati rescue a baby who is destined to embark on a heroic quest in this Hindi version of S.S. Rajamouli's epic.</t>
        </is>
      </c>
      <c r="M636" s="19" t="n">
        <v>2017</v>
      </c>
      <c r="N636" s="19">
        <f>IF(AND(OR(YearFilter="All",$M636=YearFilter),OR(RatingFilter="All",$I636=RatingFilter),OR(TypeFilter="All",$B636=TypeFilter),OR(GenreFilter="All",COUNTIFS(tblGenre[show_id],$A636,tblGenre[Genre],GenreFilter)&gt;0)),1,0)</f>
        <v/>
      </c>
    </row>
    <row r="637" ht="15" customHeight="1" s="20">
      <c r="A637" s="19" t="inlineStr">
        <is>
          <t>s5372</t>
        </is>
      </c>
      <c r="B637" s="19" t="inlineStr">
        <is>
          <t>Movie</t>
        </is>
      </c>
      <c r="C637" s="19" t="inlineStr">
        <is>
          <t>Aditi Mittal: Things They Wouldn't Let Me Say</t>
        </is>
      </c>
      <c r="D637" s="19" t="inlineStr">
        <is>
          <t>Fazila Allana</t>
        </is>
      </c>
      <c r="E637" s="19" t="inlineStr">
        <is>
          <t>Aditi Mittal</t>
        </is>
      </c>
      <c r="F637" s="19" t="inlineStr">
        <is>
          <t>India</t>
        </is>
      </c>
      <c r="G637" s="19" t="inlineStr">
        <is>
          <t>2017-07-18</t>
        </is>
      </c>
      <c r="H637" s="19" t="n">
        <v>2017</v>
      </c>
      <c r="I637" s="19" t="inlineStr">
        <is>
          <t>TV-MA</t>
        </is>
      </c>
      <c r="J637" s="19" t="inlineStr">
        <is>
          <t>63 min</t>
        </is>
      </c>
      <c r="K637" s="19" t="inlineStr">
        <is>
          <t>Stand-Up Comedy</t>
        </is>
      </c>
      <c r="L637" s="19" t="inlineStr">
        <is>
          <t>Trailblazing comic Aditi Mittal mixes topical stand-up with frank talk about being single, wearing thongs and the awkwardness of Indian movie ratings.</t>
        </is>
      </c>
      <c r="M637" s="19" t="n">
        <v>2017</v>
      </c>
      <c r="N637" s="19">
        <f>IF(AND(OR(YearFilter="All",$M637=YearFilter),OR(RatingFilter="All",$I637=RatingFilter),OR(TypeFilter="All",$B637=TypeFilter),OR(GenreFilter="All",COUNTIFS(tblGenre[show_id],$A637,tblGenre[Genre],GenreFilter)&gt;0)),1,0)</f>
        <v/>
      </c>
    </row>
    <row r="638" ht="15" customHeight="1" s="20">
      <c r="A638" s="19" t="inlineStr">
        <is>
          <t>s5392</t>
        </is>
      </c>
      <c r="B638" s="19" t="inlineStr">
        <is>
          <t>Movie</t>
        </is>
      </c>
      <c r="C638" s="19" t="inlineStr">
        <is>
          <t>Amrapali</t>
        </is>
      </c>
      <c r="D638" s="19" t="inlineStr">
        <is>
          <t>Lekh Tandon</t>
        </is>
      </c>
      <c r="E638" s="19" t="inlineStr">
        <is>
          <t>Vyjayantimala, Sunil Dutt, Prem Nath, Bipin Gupta, Gajanan Jagirdar, Zul Vellani, K.N. Singh, Randhir</t>
        </is>
      </c>
      <c r="F638" s="19" t="inlineStr">
        <is>
          <t>India</t>
        </is>
      </c>
      <c r="G638" s="19" t="inlineStr">
        <is>
          <t>2017-07-01</t>
        </is>
      </c>
      <c r="H638" s="19" t="n">
        <v>1966</v>
      </c>
      <c r="I638" s="19" t="inlineStr">
        <is>
          <t>TV-PG</t>
        </is>
      </c>
      <c r="J638" s="19" t="inlineStr">
        <is>
          <t>116 min</t>
        </is>
      </c>
      <c r="K638" s="19" t="inlineStr">
        <is>
          <t>Dramas, International Movies, Music &amp; Musicals</t>
        </is>
      </c>
      <c r="L638" s="19" t="inlineStr">
        <is>
          <t>In the age of Buddha and his philosophy of nonviolence, a warmonger king plots the destruction of an enemy kingdom to rescue the woman he loves.</t>
        </is>
      </c>
      <c r="M638" s="19" t="n">
        <v>2017</v>
      </c>
      <c r="N638" s="19">
        <f>IF(AND(OR(YearFilter="All",$M638=YearFilter),OR(RatingFilter="All",$I638=RatingFilter),OR(TypeFilter="All",$B638=TypeFilter),OR(GenreFilter="All",COUNTIFS(tblGenre[show_id],$A638,tblGenre[Genre],GenreFilter)&gt;0)),1,0)</f>
        <v/>
      </c>
    </row>
    <row r="639" ht="15" customHeight="1" s="20">
      <c r="A639" s="19" t="inlineStr">
        <is>
          <t>s5397</t>
        </is>
      </c>
      <c r="B639" s="19" t="inlineStr">
        <is>
          <t>Movie</t>
        </is>
      </c>
      <c r="C639" s="19" t="inlineStr">
        <is>
          <t>Lal Patthar</t>
        </is>
      </c>
      <c r="D639" s="19" t="inlineStr">
        <is>
          <t>Sushil Majumdar</t>
        </is>
      </c>
      <c r="E639" s="19" t="inlineStr">
        <is>
          <t>Raaj Kumar, Hema Malini, Rakhee Gulzar, Vinod Mehra, Asit Kumar Sen, Paintal, Dulari, Chandramohan, Sujata Bakshi, Meena T.</t>
        </is>
      </c>
      <c r="F639" s="19" t="inlineStr">
        <is>
          <t>India</t>
        </is>
      </c>
      <c r="G639" s="19" t="inlineStr">
        <is>
          <t>2017-07-01</t>
        </is>
      </c>
      <c r="H639" s="19" t="n">
        <v>1971</v>
      </c>
      <c r="I639" s="19" t="inlineStr">
        <is>
          <t>TV-14</t>
        </is>
      </c>
      <c r="J639" s="19" t="inlineStr">
        <is>
          <t>153 min</t>
        </is>
      </c>
      <c r="K639" s="19" t="inlineStr">
        <is>
          <t>Classic Movies, Dramas, International Movies</t>
        </is>
      </c>
      <c r="L639" s="19" t="inlineStr">
        <is>
          <t>A vain, self-righteous nobleman falls in love with a village girl and tries to transform her into his version of the ideal woman.</t>
        </is>
      </c>
      <c r="M639" s="19" t="n">
        <v>2017</v>
      </c>
      <c r="N639" s="19">
        <f>IF(AND(OR(YearFilter="All",$M639=YearFilter),OR(RatingFilter="All",$I639=RatingFilter),OR(TypeFilter="All",$B639=TypeFilter),OR(GenreFilter="All",COUNTIFS(tblGenre[show_id],$A639,tblGenre[Genre],GenreFilter)&gt;0)),1,0)</f>
        <v/>
      </c>
    </row>
    <row r="640" ht="15" customHeight="1" s="20">
      <c r="A640" s="19" t="inlineStr">
        <is>
          <t>s5399</t>
        </is>
      </c>
      <c r="B640" s="19" t="inlineStr">
        <is>
          <t>Movie</t>
        </is>
      </c>
      <c r="C640" s="19" t="inlineStr">
        <is>
          <t>Liar's Dice</t>
        </is>
      </c>
      <c r="D640" s="19" t="inlineStr">
        <is>
          <t>Geetu Mohandas</t>
        </is>
      </c>
      <c r="E640" s="19" t="inlineStr">
        <is>
          <t>Nawazuddin Siddiqui, Geetanjali Thapa, Manya Gupta, Murari Kumar</t>
        </is>
      </c>
      <c r="F640" s="19" t="inlineStr">
        <is>
          <t>India</t>
        </is>
      </c>
      <c r="G640" s="19" t="inlineStr">
        <is>
          <t>2017-07-01</t>
        </is>
      </c>
      <c r="H640" s="19" t="n">
        <v>2013</v>
      </c>
      <c r="I640" s="19" t="inlineStr">
        <is>
          <t>TV-MA</t>
        </is>
      </c>
      <c r="J640" s="19" t="inlineStr">
        <is>
          <t>104 min</t>
        </is>
      </c>
      <c r="K640" s="19" t="inlineStr">
        <is>
          <t>Dramas, Independent Movies, International Movies</t>
        </is>
      </c>
      <c r="L640" s="19" t="inlineStr">
        <is>
          <t>A woman from a small mountain village disobeys her village elders and sets out for the big city in search of her missing husband.</t>
        </is>
      </c>
      <c r="M640" s="19" t="n">
        <v>2017</v>
      </c>
      <c r="N640" s="19">
        <f>IF(AND(OR(YearFilter="All",$M640=YearFilter),OR(RatingFilter="All",$I640=RatingFilter),OR(TypeFilter="All",$B640=TypeFilter),OR(GenreFilter="All",COUNTIFS(tblGenre[show_id],$A640,tblGenre[Genre],GenreFilter)&gt;0)),1,0)</f>
        <v/>
      </c>
    </row>
    <row r="641" ht="15" customHeight="1" s="20">
      <c r="A641" s="19" t="inlineStr">
        <is>
          <t>s5401</t>
        </is>
      </c>
      <c r="B641" s="19" t="inlineStr">
        <is>
          <t>Movie</t>
        </is>
      </c>
      <c r="C641" s="19" t="inlineStr">
        <is>
          <t>Professor</t>
        </is>
      </c>
      <c r="D641" s="19" t="inlineStr">
        <is>
          <t>Lekh Tandon</t>
        </is>
      </c>
      <c r="E641" s="19" t="inlineStr">
        <is>
          <t>Shammi Kapoor, Kalpana, Lalita Pawar, Parveen Choudhary, Salim, Pratima Devi, Rashid Khan, Bir Sakuja, Bela Bose, Ratnamala</t>
        </is>
      </c>
      <c r="F641" s="19" t="inlineStr">
        <is>
          <t>India</t>
        </is>
      </c>
      <c r="G641" s="19" t="inlineStr">
        <is>
          <t>2017-07-01</t>
        </is>
      </c>
      <c r="H641" s="19" t="n">
        <v>1962</v>
      </c>
      <c r="I641" s="19" t="inlineStr">
        <is>
          <t>TV-PG</t>
        </is>
      </c>
      <c r="J641" s="19" t="inlineStr">
        <is>
          <t>163 min</t>
        </is>
      </c>
      <c r="K641" s="19" t="inlineStr">
        <is>
          <t>Comedies, Dramas, International Movies</t>
        </is>
      </c>
      <c r="L641" s="19" t="inlineStr">
        <is>
          <t>A college grad in need of money must disguise himself as an old man to tutor two young women who are under the watchful eye of their strict aunt.</t>
        </is>
      </c>
      <c r="M641" s="19" t="n">
        <v>2017</v>
      </c>
      <c r="N641" s="19">
        <f>IF(AND(OR(YearFilter="All",$M641=YearFilter),OR(RatingFilter="All",$I641=RatingFilter),OR(TypeFilter="All",$B641=TypeFilter),OR(GenreFilter="All",COUNTIFS(tblGenre[show_id],$A641,tblGenre[Genre],GenreFilter)&gt;0)),1,0)</f>
        <v/>
      </c>
    </row>
    <row r="642" ht="15" customHeight="1" s="20">
      <c r="A642" s="19" t="inlineStr">
        <is>
          <t>s5409</t>
        </is>
      </c>
      <c r="B642" s="19" t="inlineStr">
        <is>
          <t>Movie</t>
        </is>
      </c>
      <c r="C642" s="19" t="inlineStr">
        <is>
          <t>Yaar Gaddar</t>
        </is>
      </c>
      <c r="D642" s="19" t="inlineStr">
        <is>
          <t>Umesh Mehra</t>
        </is>
      </c>
      <c r="E642" s="19" t="inlineStr">
        <is>
          <t>Mithun Chakraborty, Saif Ali Khan, Somy Ali, Prem Chopra, Gulshan Grover, Puneet Issar, Himani Shivpuri, Johnny Lever, Yunus Parvez, Umesh Shukla</t>
        </is>
      </c>
      <c r="F642" s="19" t="inlineStr">
        <is>
          <t>India</t>
        </is>
      </c>
      <c r="G642" s="19" t="inlineStr">
        <is>
          <t>2017-07-01</t>
        </is>
      </c>
      <c r="H642" s="19" t="n">
        <v>1994</v>
      </c>
      <c r="I642" s="19" t="inlineStr">
        <is>
          <t>TV-14</t>
        </is>
      </c>
      <c r="J642" s="19" t="inlineStr">
        <is>
          <t>148 min</t>
        </is>
      </c>
      <c r="K642" s="19" t="inlineStr">
        <is>
          <t>Dramas, International Movies</t>
        </is>
      </c>
      <c r="L642" s="19" t="inlineStr">
        <is>
          <t>When his brother becomes involved in a deadly bank robbery, a heartbroken cop vows to track down and retrieve his wayward sibling – dead or alive.</t>
        </is>
      </c>
      <c r="M642" s="19" t="n">
        <v>2017</v>
      </c>
      <c r="N642" s="19">
        <f>IF(AND(OR(YearFilter="All",$M642=YearFilter),OR(RatingFilter="All",$I642=RatingFilter),OR(TypeFilter="All",$B642=TypeFilter),OR(GenreFilter="All",COUNTIFS(tblGenre[show_id],$A642,tblGenre[Genre],GenreFilter)&gt;0)),1,0)</f>
        <v/>
      </c>
    </row>
    <row r="643" ht="15" customHeight="1" s="20">
      <c r="A643" s="19" t="inlineStr">
        <is>
          <t>s5421</t>
        </is>
      </c>
      <c r="B643" s="19" t="inlineStr">
        <is>
          <t>Movie</t>
        </is>
      </c>
      <c r="C643" s="19" t="inlineStr">
        <is>
          <t>Dangal</t>
        </is>
      </c>
      <c r="D643" s="19" t="inlineStr">
        <is>
          <t>Nitesh Tiwari</t>
        </is>
      </c>
      <c r="E643" s="19" t="inlineStr">
        <is>
          <t>Aamir Khan, Sakshi Tanwar, Fatima Sana Shaikh, Sanya Malhotra, Aparshakti Khurana, Zaira Wasim, Suhani Bhatnagar, Ritwik Sahore</t>
        </is>
      </c>
      <c r="F643" s="19" t="inlineStr">
        <is>
          <t>India</t>
        </is>
      </c>
      <c r="G643" s="19" t="inlineStr">
        <is>
          <t>2017-06-21</t>
        </is>
      </c>
      <c r="H643" s="19" t="n">
        <v>2016</v>
      </c>
      <c r="I643" s="19" t="inlineStr">
        <is>
          <t>TV-PG</t>
        </is>
      </c>
      <c r="J643" s="19" t="inlineStr">
        <is>
          <t>161 min</t>
        </is>
      </c>
      <c r="K643" s="19" t="inlineStr">
        <is>
          <t>Dramas, International Movies, Sports Movies</t>
        </is>
      </c>
      <c r="L643" s="19" t="inlineStr">
        <is>
          <t>A once-promising wrestler pursues the gold medal he never won by training two of his daughters to compete at the Commonwealth Games.</t>
        </is>
      </c>
      <c r="M643" s="19" t="n">
        <v>2017</v>
      </c>
      <c r="N643" s="19">
        <f>IF(AND(OR(YearFilter="All",$M643=YearFilter),OR(RatingFilter="All",$I643=RatingFilter),OR(TypeFilter="All",$B643=TypeFilter),OR(GenreFilter="All",COUNTIFS(tblGenre[show_id],$A643,tblGenre[Genre],GenreFilter)&gt;0)),1,0)</f>
        <v/>
      </c>
    </row>
    <row r="644" ht="15" customHeight="1" s="20">
      <c r="A644" s="19" t="inlineStr">
        <is>
          <t>s5430</t>
        </is>
      </c>
      <c r="B644" s="19" t="inlineStr">
        <is>
          <t>Movie</t>
        </is>
      </c>
      <c r="C644" s="19" t="inlineStr">
        <is>
          <t>Kanavu Variyam</t>
        </is>
      </c>
      <c r="D644" s="19" t="inlineStr">
        <is>
          <t>Arun Chidambaram</t>
        </is>
      </c>
      <c r="E644" s="19" t="inlineStr">
        <is>
          <t>Jiya Anil Manne, Arun Chidambaram, T.P. Gajendran, Gnanasambandam, M. Ilavarasu, Yog Japee, Mayilsamy, Black Pandi</t>
        </is>
      </c>
      <c r="F644" s="19" t="inlineStr">
        <is>
          <t>India</t>
        </is>
      </c>
      <c r="G644" s="19" t="inlineStr">
        <is>
          <t>2017-06-15</t>
        </is>
      </c>
      <c r="H644" s="19" t="n">
        <v>2017</v>
      </c>
      <c r="I644" s="19" t="inlineStr">
        <is>
          <t>TV-PG</t>
        </is>
      </c>
      <c r="J644" s="19" t="inlineStr">
        <is>
          <t>104 min</t>
        </is>
      </c>
      <c r="K644" s="19" t="inlineStr">
        <is>
          <t>Comedies, Dramas, International Movies</t>
        </is>
      </c>
      <c r="L644" s="19" t="inlineStr">
        <is>
          <t>Despite doubts from fellow villagers who think he’s crazy, an ambitious dropout commits himself to solving a persistent local electricity crisis.</t>
        </is>
      </c>
      <c r="M644" s="19" t="n">
        <v>2017</v>
      </c>
      <c r="N644" s="19">
        <f>IF(AND(OR(YearFilter="All",$M644=YearFilter),OR(RatingFilter="All",$I644=RatingFilter),OR(TypeFilter="All",$B644=TypeFilter),OR(GenreFilter="All",COUNTIFS(tblGenre[show_id],$A644,tblGenre[Genre],GenreFilter)&gt;0)),1,0)</f>
        <v/>
      </c>
    </row>
    <row r="645" ht="15" customHeight="1" s="20">
      <c r="A645" s="19" t="inlineStr">
        <is>
          <t>s5442</t>
        </is>
      </c>
      <c r="B645" s="19" t="inlineStr">
        <is>
          <t>Movie</t>
        </is>
      </c>
      <c r="C645" s="19" t="inlineStr">
        <is>
          <t>The Wishing Tree</t>
        </is>
      </c>
      <c r="D645" s="19" t="inlineStr">
        <is>
          <t>Manika Sharma</t>
        </is>
      </c>
      <c r="E645" s="19" t="inlineStr">
        <is>
          <t>Shabana Azmi, Makrand Deshpande, Harshpreet Kaur, Aabhas Yadav, Shivani Joshi, Saurabh Shukla</t>
        </is>
      </c>
      <c r="F645" s="19" t="inlineStr">
        <is>
          <t>India</t>
        </is>
      </c>
      <c r="G645" s="19" t="inlineStr">
        <is>
          <t>2017-06-05</t>
        </is>
      </c>
      <c r="H645" s="19" t="n">
        <v>2017</v>
      </c>
      <c r="I645" s="19" t="inlineStr">
        <is>
          <t>TV-14</t>
        </is>
      </c>
      <c r="J645" s="19" t="inlineStr">
        <is>
          <t>117 min</t>
        </is>
      </c>
      <c r="K645" s="19" t="inlineStr">
        <is>
          <t>Children &amp; Family Movies, Dramas, Music &amp; Musicals</t>
        </is>
      </c>
      <c r="L645" s="19" t="inlineStr">
        <is>
          <t>Five children living on the edge of a forest band together to save a magical wishing tree from destruction and find their own paths to happiness.</t>
        </is>
      </c>
      <c r="M645" s="19" t="n">
        <v>2017</v>
      </c>
      <c r="N645" s="19">
        <f>IF(AND(OR(YearFilter="All",$M645=YearFilter),OR(RatingFilter="All",$I645=RatingFilter),OR(TypeFilter="All",$B645=TypeFilter),OR(GenreFilter="All",COUNTIFS(tblGenre[show_id],$A645,tblGenre[Genre],GenreFilter)&gt;0)),1,0)</f>
        <v/>
      </c>
    </row>
    <row r="646" ht="15" customHeight="1" s="20">
      <c r="A646" s="19" t="inlineStr">
        <is>
          <t>s5448</t>
        </is>
      </c>
      <c r="B646" s="19" t="inlineStr">
        <is>
          <t>Movie</t>
        </is>
      </c>
      <c r="C646" s="19" t="inlineStr">
        <is>
          <t>Aashik Awara</t>
        </is>
      </c>
      <c r="D646" s="19" t="inlineStr">
        <is>
          <t>Umesh Mehra</t>
        </is>
      </c>
      <c r="E646" s="19" t="inlineStr">
        <is>
          <t>Saif Ali Khan, Mamta Kulkarni, Mohnish Bahl, Sharmila Tagore, Saeed Jaffrey, Kader Khan</t>
        </is>
      </c>
      <c r="F646" s="19" t="inlineStr">
        <is>
          <t>India</t>
        </is>
      </c>
      <c r="G646" s="19" t="inlineStr">
        <is>
          <t>2017-06-01</t>
        </is>
      </c>
      <c r="H646" s="19" t="n">
        <v>1993</v>
      </c>
      <c r="I646" s="19" t="inlineStr">
        <is>
          <t>TV-14</t>
        </is>
      </c>
      <c r="J646" s="19" t="inlineStr">
        <is>
          <t>154 min</t>
        </is>
      </c>
      <c r="K646" s="19" t="inlineStr">
        <is>
          <t>Dramas, International Movies, Music &amp; Musicals</t>
        </is>
      </c>
      <c r="L646" s="19" t="inlineStr">
        <is>
          <t>Raised by a kindly thief, orphaned Jimmy goes on the run from goons and falls in love with Jyoti, whose father indirectly caused his parents' deaths.</t>
        </is>
      </c>
      <c r="M646" s="19" t="n">
        <v>2017</v>
      </c>
      <c r="N646" s="19">
        <f>IF(AND(OR(YearFilter="All",$M646=YearFilter),OR(RatingFilter="All",$I646=RatingFilter),OR(TypeFilter="All",$B646=TypeFilter),OR(GenreFilter="All",COUNTIFS(tblGenre[show_id],$A646,tblGenre[Genre],GenreFilter)&gt;0)),1,0)</f>
        <v/>
      </c>
    </row>
    <row r="647" ht="15" customHeight="1" s="20">
      <c r="A647" s="19" t="inlineStr">
        <is>
          <t>s5453</t>
        </is>
      </c>
      <c r="B647" s="19" t="inlineStr">
        <is>
          <t>Movie</t>
        </is>
      </c>
      <c r="C647" s="19" t="inlineStr">
        <is>
          <t>Lens</t>
        </is>
      </c>
      <c r="D647" s="19" t="inlineStr">
        <is>
          <t>Jayaprakash Radhakrishnan</t>
        </is>
      </c>
      <c r="E647" s="19" t="inlineStr">
        <is>
          <t>Jayaprakash Radhakrishnan, Anand Sami, Aswathy Lal, Misha Ghoshal</t>
        </is>
      </c>
      <c r="F647" s="19" t="inlineStr">
        <is>
          <t>India</t>
        </is>
      </c>
      <c r="G647" s="19" t="inlineStr">
        <is>
          <t>2017-06-01</t>
        </is>
      </c>
      <c r="H647" s="19" t="n">
        <v>2015</v>
      </c>
      <c r="I647" s="19" t="inlineStr">
        <is>
          <t>TV-MA</t>
        </is>
      </c>
      <c r="J647" s="19" t="inlineStr">
        <is>
          <t>109 min</t>
        </is>
      </c>
      <c r="K647" s="19" t="inlineStr">
        <is>
          <t>Dramas, Independent Movies, International Movies</t>
        </is>
      </c>
      <c r="L647" s="19" t="inlineStr">
        <is>
          <t>Addicted to webcams and voyeurism, a married man gets more than he bargained for when an online stranger tries to force him to watch a suicide.</t>
        </is>
      </c>
      <c r="M647" s="19" t="n">
        <v>2017</v>
      </c>
      <c r="N647" s="19">
        <f>IF(AND(OR(YearFilter="All",$M647=YearFilter),OR(RatingFilter="All",$I647=RatingFilter),OR(TypeFilter="All",$B647=TypeFilter),OR(GenreFilter="All",COUNTIFS(tblGenre[show_id],$A647,tblGenre[Genre],GenreFilter)&gt;0)),1,0)</f>
        <v/>
      </c>
    </row>
    <row r="648" ht="15" customHeight="1" s="20">
      <c r="A648" s="19" t="inlineStr">
        <is>
          <t>s5456</t>
        </is>
      </c>
      <c r="B648" s="19" t="inlineStr">
        <is>
          <t>Movie</t>
        </is>
      </c>
      <c r="C648" s="19" t="inlineStr">
        <is>
          <t>Maya Memsaab</t>
        </is>
      </c>
      <c r="D648" s="19" t="inlineStr">
        <is>
          <t>Ketan Mehta</t>
        </is>
      </c>
      <c r="E648" s="19" t="inlineStr">
        <is>
          <t>Deepa Sahi, Farooq Shaikh, Raj Babbar, Shah Rukh Khan, Shreeram Lagoo, Sudha Shivpuri, Paresh Rawal, Raghuvir Yadav, Satyadev Dubey</t>
        </is>
      </c>
      <c r="F648" s="19" t="inlineStr">
        <is>
          <t>France, United Kingdom, India</t>
        </is>
      </c>
      <c r="G648" s="19" t="inlineStr">
        <is>
          <t>2017-06-01</t>
        </is>
      </c>
      <c r="H648" s="19" t="n">
        <v>1993</v>
      </c>
      <c r="I648" s="19" t="inlineStr">
        <is>
          <t>TV-14</t>
        </is>
      </c>
      <c r="J648" s="19" t="inlineStr">
        <is>
          <t>122 min</t>
        </is>
      </c>
      <c r="K648" s="19" t="inlineStr">
        <is>
          <t>Dramas, International Movies, Music &amp; Musicals</t>
        </is>
      </c>
      <c r="L648" s="19" t="inlineStr">
        <is>
          <t>A beautiful, wealthy woman’s insatiable appetite for romance leads to tragedy and a police investigation.</t>
        </is>
      </c>
      <c r="M648" s="19" t="n">
        <v>2017</v>
      </c>
      <c r="N648" s="19">
        <f>IF(AND(OR(YearFilter="All",$M648=YearFilter),OR(RatingFilter="All",$I648=RatingFilter),OR(TypeFilter="All",$B648=TypeFilter),OR(GenreFilter="All",COUNTIFS(tblGenre[show_id],$A648,tblGenre[Genre],GenreFilter)&gt;0)),1,0)</f>
        <v/>
      </c>
    </row>
    <row r="649" ht="15" customHeight="1" s="20">
      <c r="A649" s="19" t="inlineStr">
        <is>
          <t>s5461</t>
        </is>
      </c>
      <c r="B649" s="19" t="inlineStr">
        <is>
          <t>Movie</t>
        </is>
      </c>
      <c r="C649" s="19" t="inlineStr">
        <is>
          <t>Oh Darling Yeh Hai India</t>
        </is>
      </c>
      <c r="D649" s="19" t="inlineStr">
        <is>
          <t>Ketan Mehta</t>
        </is>
      </c>
      <c r="E649" s="19" t="inlineStr">
        <is>
          <t>Shah Rukh Khan, Deepa Sahi, Javed Jaffrey, Anupam Kher, Amrish Puri, Tom Alter, Tinnu Anand, Sadashiv Amrapurkar, Tiku Talsania, Kader Khan</t>
        </is>
      </c>
      <c r="F649" s="19" t="inlineStr">
        <is>
          <t>India</t>
        </is>
      </c>
      <c r="G649" s="19" t="inlineStr">
        <is>
          <t>2017-06-01</t>
        </is>
      </c>
      <c r="H649" s="19" t="n">
        <v>1995</v>
      </c>
      <c r="I649" s="19" t="inlineStr">
        <is>
          <t>TV-14</t>
        </is>
      </c>
      <c r="J649" s="19" t="inlineStr">
        <is>
          <t>154 min</t>
        </is>
      </c>
      <c r="K649" s="19" t="inlineStr">
        <is>
          <t>Action &amp; Adventure, Comedies, International Movies</t>
        </is>
      </c>
      <c r="L649" s="19" t="inlineStr">
        <is>
          <t>A penniless actor new to Mumbai and a beautiful woman he meets one fateful night try to stop a gangster from replacing India's president with a twin.</t>
        </is>
      </c>
      <c r="M649" s="19" t="n">
        <v>2017</v>
      </c>
      <c r="N649" s="19">
        <f>IF(AND(OR(YearFilter="All",$M649=YearFilter),OR(RatingFilter="All",$I649=RatingFilter),OR(TypeFilter="All",$B649=TypeFilter),OR(GenreFilter="All",COUNTIFS(tblGenre[show_id],$A649,tblGenre[Genre],GenreFilter)&gt;0)),1,0)</f>
        <v/>
      </c>
    </row>
    <row r="650" ht="15" customHeight="1" s="20">
      <c r="A650" s="19" t="inlineStr">
        <is>
          <t>s5462</t>
        </is>
      </c>
      <c r="B650" s="19" t="inlineStr">
        <is>
          <t>Movie</t>
        </is>
      </c>
      <c r="C650" s="19" t="inlineStr">
        <is>
          <t>Prince</t>
        </is>
      </c>
      <c r="D650" s="19" t="inlineStr">
        <is>
          <t>Lekh Tandon</t>
        </is>
      </c>
      <c r="E650" s="19" t="inlineStr">
        <is>
          <t>Shammi Kapoor, Vyjayantimala, Rajendra Nath, Ajit, Helen, Leela Chitnis, Parveen Choudhary, Sudhir, Sunder, Rashid Khan</t>
        </is>
      </c>
      <c r="F650" s="19" t="inlineStr">
        <is>
          <t>India</t>
        </is>
      </c>
      <c r="G650" s="19" t="inlineStr">
        <is>
          <t>2017-06-01</t>
        </is>
      </c>
      <c r="H650" s="19" t="n">
        <v>1969</v>
      </c>
      <c r="I650" s="19" t="inlineStr">
        <is>
          <t>TV-PG</t>
        </is>
      </c>
      <c r="J650" s="19" t="inlineStr">
        <is>
          <t>152 min</t>
        </is>
      </c>
      <c r="K650" s="19" t="inlineStr">
        <is>
          <t>Dramas, International Movies, Romantic Movies</t>
        </is>
      </c>
      <c r="L650" s="19" t="inlineStr">
        <is>
          <t>To better himself, a spoiled prince temporarily assumes a commoner’s identity. But he soon learns his palace has been gifted to his father’s new wife.</t>
        </is>
      </c>
      <c r="M650" s="19" t="n">
        <v>2017</v>
      </c>
      <c r="N650" s="19">
        <f>IF(AND(OR(YearFilter="All",$M650=YearFilter),OR(RatingFilter="All",$I650=RatingFilter),OR(TypeFilter="All",$B650=TypeFilter),OR(GenreFilter="All",COUNTIFS(tblGenre[show_id],$A650,tblGenre[Genre],GenreFilter)&gt;0)),1,0)</f>
        <v/>
      </c>
    </row>
    <row r="651" ht="15" customHeight="1" s="20">
      <c r="A651" s="19" t="inlineStr">
        <is>
          <t>s5463</t>
        </is>
      </c>
      <c r="B651" s="19" t="inlineStr">
        <is>
          <t>Movie</t>
        </is>
      </c>
      <c r="C651" s="19" t="inlineStr">
        <is>
          <t>Qila</t>
        </is>
      </c>
      <c r="D651" s="19" t="inlineStr">
        <is>
          <t>Umesh Mehra</t>
        </is>
      </c>
      <c r="E651" s="19" t="inlineStr">
        <is>
          <t>Dilip Kumar, Mukul Dev, Rekha, Mamta Kulkarni, Smita Jaykar, Gulshan Grover</t>
        </is>
      </c>
      <c r="F651" s="19" t="inlineStr">
        <is>
          <t>India</t>
        </is>
      </c>
      <c r="G651" s="19" t="inlineStr">
        <is>
          <t>2017-06-01</t>
        </is>
      </c>
      <c r="H651" s="19" t="n">
        <v>1998</v>
      </c>
      <c r="I651" s="19" t="inlineStr">
        <is>
          <t>TV-14</t>
        </is>
      </c>
      <c r="J651" s="19" t="inlineStr">
        <is>
          <t>161 min</t>
        </is>
      </c>
      <c r="K651" s="19" t="inlineStr">
        <is>
          <t>Dramas, International Movies</t>
        </is>
      </c>
      <c r="L651" s="19" t="inlineStr">
        <is>
          <t>When an abusive landowner is murdered, his twin brother sets out to find the killer but quickly discovers that everyone, it seems, wanted him dead.</t>
        </is>
      </c>
      <c r="M651" s="19" t="n">
        <v>2017</v>
      </c>
      <c r="N651" s="19">
        <f>IF(AND(OR(YearFilter="All",$M651=YearFilter),OR(RatingFilter="All",$I651=RatingFilter),OR(TypeFilter="All",$B651=TypeFilter),OR(GenreFilter="All",COUNTIFS(tblGenre[show_id],$A651,tblGenre[Genre],GenreFilter)&gt;0)),1,0)</f>
        <v/>
      </c>
    </row>
    <row r="652" ht="15" customHeight="1" s="20">
      <c r="A652" s="19" t="inlineStr">
        <is>
          <t>s5470</t>
        </is>
      </c>
      <c r="B652" s="19" t="inlineStr">
        <is>
          <t>Movie</t>
        </is>
      </c>
      <c r="C652" s="19" t="inlineStr">
        <is>
          <t>Rangoon</t>
        </is>
      </c>
      <c r="D652" s="19" t="inlineStr">
        <is>
          <t>Vishal Bhardwaj</t>
        </is>
      </c>
      <c r="E652" s="19" t="inlineStr">
        <is>
          <t>Saif Ali Khan, Shahid Kapoor, Kangana Ranaut, Shriswara, Richard McCabe, Satoru Kawaguchi, Surendra Pal, Lin Laishram</t>
        </is>
      </c>
      <c r="F652" s="19" t="inlineStr">
        <is>
          <t>India</t>
        </is>
      </c>
      <c r="G652" s="19" t="inlineStr">
        <is>
          <t>2017-05-29</t>
        </is>
      </c>
      <c r="H652" s="19" t="n">
        <v>2017</v>
      </c>
      <c r="I652" s="19" t="inlineStr">
        <is>
          <t>TV-14</t>
        </is>
      </c>
      <c r="J652" s="19" t="inlineStr">
        <is>
          <t>153 min</t>
        </is>
      </c>
      <c r="K652" s="19" t="inlineStr">
        <is>
          <t>Action &amp; Adventure, Dramas, International Movies</t>
        </is>
      </c>
      <c r="L652" s="19" t="inlineStr">
        <is>
          <t>During World War II, daredevil star Miss Julia entertains soldiers at the Indo-Burma border, where she's caught up in a web of love and deceit.</t>
        </is>
      </c>
      <c r="M652" s="19" t="n">
        <v>2017</v>
      </c>
      <c r="N652" s="19">
        <f>IF(AND(OR(YearFilter="All",$M652=YearFilter),OR(RatingFilter="All",$I652=RatingFilter),OR(TypeFilter="All",$B652=TypeFilter),OR(GenreFilter="All",COUNTIFS(tblGenre[show_id],$A652,tblGenre[Genre],GenreFilter)&gt;0)),1,0)</f>
        <v/>
      </c>
    </row>
    <row r="653" ht="15" customHeight="1" s="20">
      <c r="A653" s="19" t="inlineStr">
        <is>
          <t>s5473</t>
        </is>
      </c>
      <c r="B653" s="19" t="inlineStr">
        <is>
          <t>Movie</t>
        </is>
      </c>
      <c r="C653" s="19" t="inlineStr">
        <is>
          <t>Raees</t>
        </is>
      </c>
      <c r="D653" s="19" t="inlineStr">
        <is>
          <t>Rahul Dholakia</t>
        </is>
      </c>
      <c r="E653" s="19" t="inlineStr">
        <is>
          <t>Shah Rukh Khan, Mahira Khan, Nawazuddin Siddiqui, Mohammed Zeeshan Ayyub, Sheeba Chaddha, Shubham Chintamani, Shubham Tukaram, Atul Kulkarni, Narendra Jha, Jaideep Ahlawat, Sunny Leone</t>
        </is>
      </c>
      <c r="F653" s="19" t="inlineStr">
        <is>
          <t>India</t>
        </is>
      </c>
      <c r="G653" s="19" t="inlineStr">
        <is>
          <t>2017-05-26</t>
        </is>
      </c>
      <c r="H653" s="19" t="n">
        <v>2017</v>
      </c>
      <c r="I653" s="19" t="inlineStr">
        <is>
          <t>TV-14</t>
        </is>
      </c>
      <c r="J653" s="19" t="inlineStr">
        <is>
          <t>143 min</t>
        </is>
      </c>
      <c r="K653" s="19" t="inlineStr">
        <is>
          <t>Action &amp; Adventure, Dramas, International Movies</t>
        </is>
      </c>
      <c r="L653" s="19" t="inlineStr">
        <is>
          <t>After street smart kid Raees rises to become Gujarat's bootlegging king in the 1980s, he tries to balance his life of crime with helping his people.</t>
        </is>
      </c>
      <c r="M653" s="19" t="n">
        <v>2017</v>
      </c>
      <c r="N653" s="19">
        <f>IF(AND(OR(YearFilter="All",$M653=YearFilter),OR(RatingFilter="All",$I653=RatingFilter),OR(TypeFilter="All",$B653=TypeFilter),OR(GenreFilter="All",COUNTIFS(tblGenre[show_id],$A653,tblGenre[Genre],GenreFilter)&gt;0)),1,0)</f>
        <v/>
      </c>
    </row>
    <row r="654" ht="15" customHeight="1" s="20">
      <c r="A654" s="19" t="inlineStr">
        <is>
          <t>s5482</t>
        </is>
      </c>
      <c r="B654" s="19" t="inlineStr">
        <is>
          <t>Movie</t>
        </is>
      </c>
      <c r="C654" s="19" t="inlineStr">
        <is>
          <t>Chamatkar</t>
        </is>
      </c>
      <c r="D654" s="19" t="inlineStr">
        <is>
          <t>Rajiv Mehra</t>
        </is>
      </c>
      <c r="E654" s="19" t="inlineStr">
        <is>
          <t>Shah Rukh Khan, Naseeruddin Shah, Urmila Matondkar, Malvika Tiwari, Shammi Kapoor, Deven Verma, Tinnu Anand, Anjana Mumtaz, Anjan Srivastav, Rakesh Bedi</t>
        </is>
      </c>
      <c r="F654" s="19" t="inlineStr">
        <is>
          <t>India</t>
        </is>
      </c>
      <c r="G654" s="19" t="inlineStr">
        <is>
          <t>2017-05-15</t>
        </is>
      </c>
      <c r="H654" s="19" t="n">
        <v>1992</v>
      </c>
      <c r="I654" s="19" t="inlineStr">
        <is>
          <t>TV-14</t>
        </is>
      </c>
      <c r="J654" s="19" t="inlineStr">
        <is>
          <t>164 min</t>
        </is>
      </c>
      <c r="K654" s="19" t="inlineStr">
        <is>
          <t>Comedies, International Movies, Sci-Fi &amp; Fantasy</t>
        </is>
      </c>
      <c r="L654" s="19" t="inlineStr">
        <is>
          <t>A village schoolteacher and the ghost of a murdered man, who were both betrayed by those closest to them, join forces to help each other.</t>
        </is>
      </c>
      <c r="M654" s="19" t="n">
        <v>2017</v>
      </c>
      <c r="N654" s="19">
        <f>IF(AND(OR(YearFilter="All",$M654=YearFilter),OR(RatingFilter="All",$I654=RatingFilter),OR(TypeFilter="All",$B654=TypeFilter),OR(GenreFilter="All",COUNTIFS(tblGenre[show_id],$A654,tblGenre[Genre],GenreFilter)&gt;0)),1,0)</f>
        <v/>
      </c>
    </row>
    <row r="655" ht="15" customHeight="1" s="20">
      <c r="A655" s="19" t="inlineStr">
        <is>
          <t>s5483</t>
        </is>
      </c>
      <c r="B655" s="19" t="inlineStr">
        <is>
          <t>Movie</t>
        </is>
      </c>
      <c r="C655" s="19" t="inlineStr">
        <is>
          <t>Kabhi Haan Kabhi Naa</t>
        </is>
      </c>
      <c r="D655" s="19" t="inlineStr">
        <is>
          <t>Kundan Shah</t>
        </is>
      </c>
      <c r="E655" s="19" t="inlineStr">
        <is>
          <t>Shah Rukh Khan, Suchitra Krishnamoorthi, Deepak Tijori, Rita Bhaduri, Satish Shah, Anjan Srivastav, Goga Kapoor, Tiku Talsania, Ravi Baswani, Naseeruddin Shah</t>
        </is>
      </c>
      <c r="F655" s="19" t="inlineStr">
        <is>
          <t>India</t>
        </is>
      </c>
      <c r="G655" s="19" t="inlineStr">
        <is>
          <t>2017-05-15</t>
        </is>
      </c>
      <c r="H655" s="19" t="n">
        <v>1994</v>
      </c>
      <c r="I655" s="19" t="inlineStr">
        <is>
          <t>TV-14</t>
        </is>
      </c>
      <c r="J655" s="19" t="inlineStr">
        <is>
          <t>151 min</t>
        </is>
      </c>
      <c r="K655" s="19" t="inlineStr">
        <is>
          <t>Comedies, Dramas, International Movies</t>
        </is>
      </c>
      <c r="L655" s="19" t="inlineStr">
        <is>
          <t>A dreamer falls for a girl who is in love with someone else and tries to create a rift between her and the man she loves.</t>
        </is>
      </c>
      <c r="M655" s="19" t="n">
        <v>2017</v>
      </c>
      <c r="N655" s="19">
        <f>IF(AND(OR(YearFilter="All",$M655=YearFilter),OR(RatingFilter="All",$I655=RatingFilter),OR(TypeFilter="All",$B655=TypeFilter),OR(GenreFilter="All",COUNTIFS(tblGenre[show_id],$A655,tblGenre[Genre],GenreFilter)&gt;0)),1,0)</f>
        <v/>
      </c>
    </row>
    <row r="656" ht="15" customHeight="1" s="20">
      <c r="A656" s="19" t="inlineStr">
        <is>
          <t>s5486</t>
        </is>
      </c>
      <c r="B656" s="19" t="inlineStr">
        <is>
          <t>Movie</t>
        </is>
      </c>
      <c r="C656" s="19" t="inlineStr">
        <is>
          <t>Ram Jaane</t>
        </is>
      </c>
      <c r="D656" s="19" t="inlineStr">
        <is>
          <t>Rajiv Mehra</t>
        </is>
      </c>
      <c r="E656" s="19" t="inlineStr">
        <is>
          <t>Shah Rukh Khan, Juhi Chawla, Vivek Mushran, Pankaj Kapur, Puneet Issar, Tinnu Anand, Deven Verma, Gulshan Grover, Amrit Pal, Arun Bali</t>
        </is>
      </c>
      <c r="F656" s="19" t="inlineStr">
        <is>
          <t>India</t>
        </is>
      </c>
      <c r="G656" s="19" t="inlineStr">
        <is>
          <t>2017-05-15</t>
        </is>
      </c>
      <c r="H656" s="19" t="n">
        <v>1995</v>
      </c>
      <c r="I656" s="19" t="inlineStr">
        <is>
          <t>TV-14</t>
        </is>
      </c>
      <c r="J656" s="19" t="inlineStr">
        <is>
          <t>142 min</t>
        </is>
      </c>
      <c r="K656" s="19" t="inlineStr">
        <is>
          <t>Dramas, International Movies, Music &amp; Musicals</t>
        </is>
      </c>
      <c r="L656" s="19" t="inlineStr">
        <is>
          <t>Two boyhood pals – one righteous, the other a criminal – take very different paths to adulthood. Their love for the same woman may prove disastrous.</t>
        </is>
      </c>
      <c r="M656" s="19" t="n">
        <v>2017</v>
      </c>
      <c r="N656" s="19">
        <f>IF(AND(OR(YearFilter="All",$M656=YearFilter),OR(RatingFilter="All",$I656=RatingFilter),OR(TypeFilter="All",$B656=TypeFilter),OR(GenreFilter="All",COUNTIFS(tblGenre[show_id],$A656,tblGenre[Genre],GenreFilter)&gt;0)),1,0)</f>
        <v/>
      </c>
    </row>
    <row r="657" ht="15" customHeight="1" s="20">
      <c r="A657" s="19" t="inlineStr">
        <is>
          <t>s5500</t>
        </is>
      </c>
      <c r="B657" s="19" t="inlineStr">
        <is>
          <t>Movie</t>
        </is>
      </c>
      <c r="C657" s="19" t="inlineStr">
        <is>
          <t>Chaahat</t>
        </is>
      </c>
      <c r="D657" s="19" t="inlineStr">
        <is>
          <t>Mahesh Bhatt</t>
        </is>
      </c>
      <c r="E657" s="19" t="inlineStr">
        <is>
          <t>Naseeruddin Shah, Shah Rukh Khan, Pooja Bhatt, Anupam Kher, Ramya Krishnan, Avtar Gill, Mushtaq Khan</t>
        </is>
      </c>
      <c r="F657" s="19" t="inlineStr">
        <is>
          <t>India</t>
        </is>
      </c>
      <c r="G657" s="19" t="inlineStr">
        <is>
          <t>2017-05-01</t>
        </is>
      </c>
      <c r="H657" s="19" t="n">
        <v>1996</v>
      </c>
      <c r="I657" s="19" t="inlineStr">
        <is>
          <t>TV-14</t>
        </is>
      </c>
      <c r="J657" s="19" t="inlineStr">
        <is>
          <t>148 min</t>
        </is>
      </c>
      <c r="K657" s="19" t="inlineStr">
        <is>
          <t>Dramas, International Movies, Romantic Movies</t>
        </is>
      </c>
      <c r="L657" s="19" t="inlineStr">
        <is>
          <t>A vulnerable singer is forced to choose between the girl he loves and another who has developed an unhealthy obsession with him.</t>
        </is>
      </c>
      <c r="M657" s="19" t="n">
        <v>2017</v>
      </c>
      <c r="N657" s="19">
        <f>IF(AND(OR(YearFilter="All",$M657=YearFilter),OR(RatingFilter="All",$I657=RatingFilter),OR(TypeFilter="All",$B657=TypeFilter),OR(GenreFilter="All",COUNTIFS(tblGenre[show_id],$A657,tblGenre[Genre],GenreFilter)&gt;0)),1,0)</f>
        <v/>
      </c>
    </row>
    <row r="658" ht="15" customHeight="1" s="20">
      <c r="A658" s="19" t="inlineStr">
        <is>
          <t>s5501</t>
        </is>
      </c>
      <c r="B658" s="19" t="inlineStr">
        <is>
          <t>Movie</t>
        </is>
      </c>
      <c r="C658" s="19" t="inlineStr">
        <is>
          <t>English Babu Desi Mem</t>
        </is>
      </c>
      <c r="D658" s="19" t="inlineStr">
        <is>
          <t>Praveen Nischol</t>
        </is>
      </c>
      <c r="E658" s="19" t="inlineStr">
        <is>
          <t>Shah Rukh Khan, Sonali Bendre, Rajeshwari, Saeed Jaffrey, Kiran Kumar, Baba Brahmbhatt, Ishita Haria, Sunny Singh, Gulshan Bawra</t>
        </is>
      </c>
      <c r="F658" s="19" t="inlineStr">
        <is>
          <t>India</t>
        </is>
      </c>
      <c r="G658" s="19" t="inlineStr">
        <is>
          <t>2017-05-01</t>
        </is>
      </c>
      <c r="H658" s="19" t="n">
        <v>1996</v>
      </c>
      <c r="I658" s="19" t="inlineStr">
        <is>
          <t>TV-14</t>
        </is>
      </c>
      <c r="J658" s="19" t="inlineStr">
        <is>
          <t>163 min</t>
        </is>
      </c>
      <c r="K658" s="19" t="inlineStr">
        <is>
          <t>Comedies, Dramas, International Movies</t>
        </is>
      </c>
      <c r="L658" s="19" t="inlineStr">
        <is>
          <t>After his brother dies, wealthy Vikram reluctantly returns to India and forms a surprise bond with his orphaned nephew and the showgirl raising him.</t>
        </is>
      </c>
      <c r="M658" s="19" t="n">
        <v>2017</v>
      </c>
      <c r="N658" s="19">
        <f>IF(AND(OR(YearFilter="All",$M658=YearFilter),OR(RatingFilter="All",$I658=RatingFilter),OR(TypeFilter="All",$B658=TypeFilter),OR(GenreFilter="All",COUNTIFS(tblGenre[show_id],$A658,tblGenre[Genre],GenreFilter)&gt;0)),1,0)</f>
        <v/>
      </c>
    </row>
    <row r="659" ht="15" customHeight="1" s="20">
      <c r="A659" s="19" t="inlineStr">
        <is>
          <t>s5506</t>
        </is>
      </c>
      <c r="B659" s="19" t="inlineStr">
        <is>
          <t>Movie</t>
        </is>
      </c>
      <c r="C659" s="19" t="inlineStr">
        <is>
          <t>Loev</t>
        </is>
      </c>
      <c r="D659" s="19" t="inlineStr">
        <is>
          <t>Sudhanshu Saria</t>
        </is>
      </c>
      <c r="E659" s="19" t="inlineStr">
        <is>
          <t>Shiv Pandit, Dhruv Ganesh, Siddharth Menon, Rishabh Chaddha</t>
        </is>
      </c>
      <c r="F659" s="19" t="inlineStr">
        <is>
          <t>India</t>
        </is>
      </c>
      <c r="G659" s="19" t="inlineStr">
        <is>
          <t>2017-05-01</t>
        </is>
      </c>
      <c r="H659" s="19" t="n">
        <v>2015</v>
      </c>
      <c r="I659" s="19" t="inlineStr">
        <is>
          <t>TV-MA</t>
        </is>
      </c>
      <c r="J659" s="19" t="inlineStr">
        <is>
          <t>89 min</t>
        </is>
      </c>
      <c r="K659" s="19" t="inlineStr">
        <is>
          <t>Dramas, Independent Movies, International Movies</t>
        </is>
      </c>
      <c r="L659" s="19" t="inlineStr">
        <is>
          <t>Lives are upended when a hiking trip leads a Wall Street hotshot to explore his true feelings for an old pal who’s disenchanted with his boyfriend.</t>
        </is>
      </c>
      <c r="M659" s="19" t="n">
        <v>2017</v>
      </c>
      <c r="N659" s="19">
        <f>IF(AND(OR(YearFilter="All",$M659=YearFilter),OR(RatingFilter="All",$I659=RatingFilter),OR(TypeFilter="All",$B659=TypeFilter),OR(GenreFilter="All",COUNTIFS(tblGenre[show_id],$A659,tblGenre[Genre],GenreFilter)&gt;0)),1,0)</f>
        <v/>
      </c>
    </row>
    <row r="660" ht="15" customHeight="1" s="20">
      <c r="A660" s="19" t="inlineStr">
        <is>
          <t>s5516</t>
        </is>
      </c>
      <c r="B660" s="19" t="inlineStr">
        <is>
          <t>Movie</t>
        </is>
      </c>
      <c r="C660" s="19" t="inlineStr">
        <is>
          <t>Dear Zindagi</t>
        </is>
      </c>
      <c r="D660" s="19" t="inlineStr">
        <is>
          <t>Gauri Shinde</t>
        </is>
      </c>
      <c r="E660" s="19" t="inlineStr">
        <is>
          <t>Alia Bhatt, Shah Rukh Khan, Ira Dubey, Yashaswini Dayama, Gautmik, Raj Bhansali, Rohit Saraf, Atul Kale, Kunal Kapoor, Angad Bedi, Ali Zafar, Aditya Roy Kapoor</t>
        </is>
      </c>
      <c r="F660" s="19" t="inlineStr">
        <is>
          <t>India</t>
        </is>
      </c>
      <c r="G660" s="19" t="inlineStr">
        <is>
          <t>2017-04-25</t>
        </is>
      </c>
      <c r="H660" s="19" t="n">
        <v>2016</v>
      </c>
      <c r="I660" s="19" t="inlineStr">
        <is>
          <t>TV-14</t>
        </is>
      </c>
      <c r="J660" s="19" t="inlineStr">
        <is>
          <t>149 min</t>
        </is>
      </c>
      <c r="K660" s="19" t="inlineStr">
        <is>
          <t>Comedies, Dramas, International Movies</t>
        </is>
      </c>
      <c r="L660" s="19" t="inlineStr">
        <is>
          <t>A young cinematographer with a bright professional future and a lack of empathy learns the importance of balancing ambition with humanity.</t>
        </is>
      </c>
      <c r="M660" s="19" t="n">
        <v>2017</v>
      </c>
      <c r="N660" s="19">
        <f>IF(AND(OR(YearFilter="All",$M660=YearFilter),OR(RatingFilter="All",$I660=RatingFilter),OR(TypeFilter="All",$B660=TypeFilter),OR(GenreFilter="All",COUNTIFS(tblGenre[show_id],$A660,tblGenre[Genre],GenreFilter)&gt;0)),1,0)</f>
        <v/>
      </c>
    </row>
    <row r="661" ht="15" customHeight="1" s="20">
      <c r="A661" s="19" t="inlineStr">
        <is>
          <t>s5546</t>
        </is>
      </c>
      <c r="B661" s="19" t="inlineStr">
        <is>
          <t>Movie</t>
        </is>
      </c>
      <c r="C661" s="19" t="inlineStr">
        <is>
          <t>Elaan</t>
        </is>
      </c>
      <c r="D661" s="19" t="inlineStr">
        <is>
          <t>K. Ramanlal</t>
        </is>
      </c>
      <c r="E661" s="19" t="inlineStr">
        <is>
          <t>Vinod Mehra, Rekha, Vinod Khanna, Helen, Madan Puri, Brahm Bhardwaj</t>
        </is>
      </c>
      <c r="F661" s="19" t="inlineStr">
        <is>
          <t>India</t>
        </is>
      </c>
      <c r="G661" s="19" t="inlineStr">
        <is>
          <t>2017-04-01</t>
        </is>
      </c>
      <c r="H661" s="19" t="n">
        <v>1971</v>
      </c>
      <c r="I661" s="19" t="inlineStr">
        <is>
          <t>TV-14</t>
        </is>
      </c>
      <c r="J661" s="19" t="inlineStr">
        <is>
          <t>143 min</t>
        </is>
      </c>
      <c r="K661" s="19" t="inlineStr">
        <is>
          <t>Action &amp; Adventure, Cult Movies, International Movies</t>
        </is>
      </c>
      <c r="L661" s="19" t="inlineStr">
        <is>
          <t>Journalist Naresh is hired to probe illegal activities on an island. When he's captured, a fellow prisoner gives him a ring with magic powers.</t>
        </is>
      </c>
      <c r="M661" s="19" t="n">
        <v>2017</v>
      </c>
      <c r="N661" s="19">
        <f>IF(AND(OR(YearFilter="All",$M661=YearFilter),OR(RatingFilter="All",$I661=RatingFilter),OR(TypeFilter="All",$B661=TypeFilter),OR(GenreFilter="All",COUNTIFS(tblGenre[show_id],$A661,tblGenre[Genre],GenreFilter)&gt;0)),1,0)</f>
        <v/>
      </c>
    </row>
    <row r="662" ht="15" customHeight="1" s="20">
      <c r="A662" s="19" t="inlineStr">
        <is>
          <t>s5548</t>
        </is>
      </c>
      <c r="B662" s="19" t="inlineStr">
        <is>
          <t>Movie</t>
        </is>
      </c>
      <c r="C662" s="19" t="inlineStr">
        <is>
          <t>Killa</t>
        </is>
      </c>
      <c r="D662" s="19" t="inlineStr">
        <is>
          <t>Avinash Arun</t>
        </is>
      </c>
      <c r="E662" s="19" t="inlineStr">
        <is>
          <t>Amruta Subhash, Archit Deodhar, Parth Bhalerao, Gaurish Gawade, Atharva Upasni, Swandand Raikar, Shrikant Yadav, Umesh Jagtap, Shivalati Bokil, Jui Kahate</t>
        </is>
      </c>
      <c r="F662" s="19" t="inlineStr">
        <is>
          <t>India</t>
        </is>
      </c>
      <c r="G662" s="19" t="inlineStr">
        <is>
          <t>2017-04-01</t>
        </is>
      </c>
      <c r="H662" s="19" t="n">
        <v>2014</v>
      </c>
      <c r="I662" s="19" t="inlineStr">
        <is>
          <t>TV-14</t>
        </is>
      </c>
      <c r="J662" s="19" t="inlineStr">
        <is>
          <t>107 min</t>
        </is>
      </c>
      <c r="K662" s="19" t="inlineStr">
        <is>
          <t>Dramas, International Movies</t>
        </is>
      </c>
      <c r="L662" s="19" t="inlineStr">
        <is>
          <t>Growing up poses challenges for Chinu when he moves from city to country and encounters a youth culture far different from what he's used to.</t>
        </is>
      </c>
      <c r="M662" s="19" t="n">
        <v>2017</v>
      </c>
      <c r="N662" s="19">
        <f>IF(AND(OR(YearFilter="All",$M662=YearFilter),OR(RatingFilter="All",$I662=RatingFilter),OR(TypeFilter="All",$B662=TypeFilter),OR(GenreFilter="All",COUNTIFS(tblGenre[show_id],$A662,tblGenre[Genre],GenreFilter)&gt;0)),1,0)</f>
        <v/>
      </c>
    </row>
    <row r="663" ht="15" customHeight="1" s="20">
      <c r="A663" s="19" t="inlineStr">
        <is>
          <t>s5550</t>
        </is>
      </c>
      <c r="B663" s="19" t="inlineStr">
        <is>
          <t>Movie</t>
        </is>
      </c>
      <c r="C663" s="19" t="inlineStr">
        <is>
          <t>Salaakhen</t>
        </is>
      </c>
      <c r="D663" s="19" t="inlineStr">
        <is>
          <t>A. Salaam</t>
        </is>
      </c>
      <c r="E663" s="19" t="inlineStr">
        <is>
          <t>Shashi Kapoor, Sulakshana Pandit, Mehmood, Sudhir, Anjana Mumtaz, Sajjan, M. Rajan, Mac Mohan, Amrish Puri, Ramesh Deo</t>
        </is>
      </c>
      <c r="F663" s="19" t="inlineStr">
        <is>
          <t>India</t>
        </is>
      </c>
      <c r="G663" s="19" t="inlineStr">
        <is>
          <t>2017-04-01</t>
        </is>
      </c>
      <c r="H663" s="19" t="n">
        <v>1975</v>
      </c>
      <c r="I663" s="19" t="inlineStr">
        <is>
          <t>TV-14</t>
        </is>
      </c>
      <c r="J663" s="19" t="inlineStr">
        <is>
          <t>134 min</t>
        </is>
      </c>
      <c r="K663" s="19" t="inlineStr">
        <is>
          <t>Action &amp; Adventure, International Movies, Music &amp; Musicals</t>
        </is>
      </c>
      <c r="L663" s="19" t="inlineStr">
        <is>
          <t>Two close childhood friends take drastically different paths in life, but meet by chance years later and fall in love, unaware of their past bond.</t>
        </is>
      </c>
      <c r="M663" s="19" t="n">
        <v>2017</v>
      </c>
      <c r="N663" s="19">
        <f>IF(AND(OR(YearFilter="All",$M663=YearFilter),OR(RatingFilter="All",$I663=RatingFilter),OR(TypeFilter="All",$B663=TypeFilter),OR(GenreFilter="All",COUNTIFS(tblGenre[show_id],$A663,tblGenre[Genre],GenreFilter)&gt;0)),1,0)</f>
        <v/>
      </c>
    </row>
    <row r="664" ht="15" customHeight="1" s="20">
      <c r="A664" s="19" t="inlineStr">
        <is>
          <t>s5572</t>
        </is>
      </c>
      <c r="B664" s="19" t="inlineStr">
        <is>
          <t>Movie</t>
        </is>
      </c>
      <c r="C664" s="19" t="inlineStr">
        <is>
          <t>Asoka</t>
        </is>
      </c>
      <c r="D664" s="19" t="inlineStr">
        <is>
          <t>Santosh Sivan</t>
        </is>
      </c>
      <c r="E664" s="19" t="inlineStr">
        <is>
          <t>Shah Rukh Khan, Kareena Kapoor, Danny Denzongpa, Rahul Dev, Hrishitaa Bhatt, Gerson Da Cunha, Subhashini Ali, Umesh Mehra, Sooraj Balaji</t>
        </is>
      </c>
      <c r="F664" s="19" t="inlineStr">
        <is>
          <t>India</t>
        </is>
      </c>
      <c r="G664" s="19" t="inlineStr">
        <is>
          <t>2017-03-15</t>
        </is>
      </c>
      <c r="H664" s="19" t="n">
        <v>2001</v>
      </c>
      <c r="I664" s="19" t="inlineStr">
        <is>
          <t>R</t>
        </is>
      </c>
      <c r="J664" s="19" t="inlineStr">
        <is>
          <t>168 min</t>
        </is>
      </c>
      <c r="K664" s="19" t="inlineStr">
        <is>
          <t>Action &amp; Adventure, Dramas, International Movies</t>
        </is>
      </c>
      <c r="L664" s="19" t="inlineStr">
        <is>
          <t>This elaborate Bollywood epic dramatizes one man's transformation from a vengeful and cunning warrior into a legendary leader and teacher of Buddhism.</t>
        </is>
      </c>
      <c r="M664" s="19" t="n">
        <v>2017</v>
      </c>
      <c r="N664" s="19">
        <f>IF(AND(OR(YearFilter="All",$M664=YearFilter),OR(RatingFilter="All",$I664=RatingFilter),OR(TypeFilter="All",$B664=TypeFilter),OR(GenreFilter="All",COUNTIFS(tblGenre[show_id],$A664,tblGenre[Genre],GenreFilter)&gt;0)),1,0)</f>
        <v/>
      </c>
    </row>
    <row r="665" ht="15" customHeight="1" s="20">
      <c r="A665" s="19" t="inlineStr">
        <is>
          <t>s5575</t>
        </is>
      </c>
      <c r="B665" s="19" t="inlineStr">
        <is>
          <t>Movie</t>
        </is>
      </c>
      <c r="C665" s="19" t="inlineStr">
        <is>
          <t>One 2 Ka 4</t>
        </is>
      </c>
      <c r="D665" s="19" t="inlineStr">
        <is>
          <t>Shashilal K. Nair</t>
        </is>
      </c>
      <c r="E665" s="19" t="inlineStr">
        <is>
          <t>Shah Rukh Khan, Juhi Chawla, Jackie Shroff, Nirmal Pandey, Dilip Joshi, Sahila Chaddha, Suresh Chatwal, Bharat Dabholkar, Baby Gazala, Akash Khurana</t>
        </is>
      </c>
      <c r="F665" s="19" t="inlineStr">
        <is>
          <t>India</t>
        </is>
      </c>
      <c r="G665" s="19" t="inlineStr">
        <is>
          <t>2017-03-15</t>
        </is>
      </c>
      <c r="H665" s="19" t="n">
        <v>2001</v>
      </c>
      <c r="I665" s="19" t="inlineStr">
        <is>
          <t>TV-14</t>
        </is>
      </c>
      <c r="J665" s="19" t="inlineStr">
        <is>
          <t>160 min</t>
        </is>
      </c>
      <c r="K665" s="19" t="inlineStr">
        <is>
          <t>Action &amp; Adventure, Comedies, Dramas</t>
        </is>
      </c>
      <c r="L665" s="19" t="inlineStr">
        <is>
          <t>When his partner is killed, a young cop is forced to care for the man's four children, and solicits the help of a woman who moves in with them.</t>
        </is>
      </c>
      <c r="M665" s="19" t="n">
        <v>2017</v>
      </c>
      <c r="N665" s="19">
        <f>IF(AND(OR(YearFilter="All",$M665=YearFilter),OR(RatingFilter="All",$I665=RatingFilter),OR(TypeFilter="All",$B665=TypeFilter),OR(GenreFilter="All",COUNTIFS(tblGenre[show_id],$A665,tblGenre[Genre],GenreFilter)&gt;0)),1,0)</f>
        <v/>
      </c>
    </row>
    <row r="666" ht="15" customHeight="1" s="20">
      <c r="A666" s="19" t="inlineStr">
        <is>
          <t>s5585</t>
        </is>
      </c>
      <c r="B666" s="19" t="inlineStr">
        <is>
          <t>Movie</t>
        </is>
      </c>
      <c r="C666" s="19" t="inlineStr">
        <is>
          <t>Nila</t>
        </is>
      </c>
      <c r="D666" s="19" t="inlineStr">
        <is>
          <t>Selvamani Selvaraj</t>
        </is>
      </c>
      <c r="E666" s="19" t="inlineStr">
        <is>
          <t>Sruthi Hariharan, Vicky R</t>
        </is>
      </c>
      <c r="F666" s="19" t="inlineStr">
        <is>
          <t>India</t>
        </is>
      </c>
      <c r="G666" s="19" t="inlineStr">
        <is>
          <t>2017-03-01</t>
        </is>
      </c>
      <c r="H666" s="19" t="n">
        <v>2016</v>
      </c>
      <c r="I666" s="19" t="inlineStr">
        <is>
          <t>TV-MA</t>
        </is>
      </c>
      <c r="J666" s="19" t="inlineStr">
        <is>
          <t>94 min</t>
        </is>
      </c>
      <c r="K666" s="19" t="inlineStr">
        <is>
          <t>Dramas, International Movies, Romantic Movies</t>
        </is>
      </c>
      <c r="L666" s="19" t="inlineStr">
        <is>
          <t>When a cabbie chances upon his childhood sweetheart, he tries to rekindle old feelings but finds that mature love is a more complicated matter.</t>
        </is>
      </c>
      <c r="M666" s="19" t="n">
        <v>2017</v>
      </c>
      <c r="N666" s="19">
        <f>IF(AND(OR(YearFilter="All",$M666=YearFilter),OR(RatingFilter="All",$I666=RatingFilter),OR(TypeFilter="All",$B666=TypeFilter),OR(GenreFilter="All",COUNTIFS(tblGenre[show_id],$A666,tblGenre[Genre],GenreFilter)&gt;0)),1,0)</f>
        <v/>
      </c>
    </row>
    <row r="667" ht="15" customHeight="1" s="20">
      <c r="A667" s="19" t="inlineStr">
        <is>
          <t>s5588</t>
        </is>
      </c>
      <c r="B667" s="19" t="inlineStr">
        <is>
          <t>Movie</t>
        </is>
      </c>
      <c r="C667" s="19" t="inlineStr">
        <is>
          <t>Force 2</t>
        </is>
      </c>
      <c r="D667" s="19" t="inlineStr">
        <is>
          <t>Abhinay Deo</t>
        </is>
      </c>
      <c r="E667" s="19" t="inlineStr">
        <is>
          <t>John Abraham, Sonakshi Sinha, Tahir Raj Bhasin, Narendra Jha, Adil Hussain, Vikram Kapadia, Patricia Hittler, Genelia D'souza, Raj Babbar, Freddy Daruwala, Boman Irani</t>
        </is>
      </c>
      <c r="F667" s="19" t="inlineStr">
        <is>
          <t>India</t>
        </is>
      </c>
      <c r="G667" s="19" t="inlineStr">
        <is>
          <t>2017-02-27</t>
        </is>
      </c>
      <c r="H667" s="19" t="n">
        <v>2016</v>
      </c>
      <c r="I667" s="19" t="inlineStr">
        <is>
          <t>TV-14</t>
        </is>
      </c>
      <c r="J667" s="19" t="inlineStr">
        <is>
          <t>123 min</t>
        </is>
      </c>
      <c r="K667" s="19" t="inlineStr">
        <is>
          <t>Action &amp; Adventure, International Movies</t>
        </is>
      </c>
      <c r="L667" s="19" t="inlineStr">
        <is>
          <t>An ex-cop investigates the death of his best friend and two other spies, killings that lead to a mole operating from India's embassy in Budapest.</t>
        </is>
      </c>
      <c r="M667" s="19" t="n">
        <v>2017</v>
      </c>
      <c r="N667" s="19">
        <f>IF(AND(OR(YearFilter="All",$M667=YearFilter),OR(RatingFilter="All",$I667=RatingFilter),OR(TypeFilter="All",$B667=TypeFilter),OR(GenreFilter="All",COUNTIFS(tblGenre[show_id],$A667,tblGenre[Genre],GenreFilter)&gt;0)),1,0)</f>
        <v/>
      </c>
    </row>
    <row r="668" ht="15" customHeight="1" s="20">
      <c r="A668" s="19" t="inlineStr">
        <is>
          <t>s5600</t>
        </is>
      </c>
      <c r="B668" s="19" t="inlineStr">
        <is>
          <t>Movie</t>
        </is>
      </c>
      <c r="C668" s="19" t="inlineStr">
        <is>
          <t>Rocky Handsome</t>
        </is>
      </c>
      <c r="D668" s="19" t="inlineStr">
        <is>
          <t>Nishikant Kamat</t>
        </is>
      </c>
      <c r="E668" s="19" t="inlineStr">
        <is>
          <t>John Abraham, Diya Chalwad, Shruti Haasan, Nishikant Kamat, Sharad Kelkar, Nathalia Kaur</t>
        </is>
      </c>
      <c r="F668" s="19" t="inlineStr">
        <is>
          <t>India</t>
        </is>
      </c>
      <c r="G668" s="19" t="inlineStr">
        <is>
          <t>2017-02-17</t>
        </is>
      </c>
      <c r="H668" s="19" t="n">
        <v>2016</v>
      </c>
      <c r="I668" s="19" t="inlineStr">
        <is>
          <t>TV-MA</t>
        </is>
      </c>
      <c r="J668" s="19" t="inlineStr">
        <is>
          <t>119 min</t>
        </is>
      </c>
      <c r="K668" s="19" t="inlineStr">
        <is>
          <t>Action &amp; Adventure, International Movies</t>
        </is>
      </c>
      <c r="L668" s="19" t="inlineStr">
        <is>
          <t>A reclusive pawn shop owner sets his sights on revenge when vicious gangsters kidnap his drug-addicted neighbor's young daughter.</t>
        </is>
      </c>
      <c r="M668" s="19" t="n">
        <v>2017</v>
      </c>
      <c r="N668" s="19">
        <f>IF(AND(OR(YearFilter="All",$M668=YearFilter),OR(RatingFilter="All",$I668=RatingFilter),OR(TypeFilter="All",$B668=TypeFilter),OR(GenreFilter="All",COUNTIFS(tblGenre[show_id],$A668,tblGenre[Genre],GenreFilter)&gt;0)),1,0)</f>
        <v/>
      </c>
    </row>
    <row r="669" ht="15" customHeight="1" s="20">
      <c r="A669" s="19" t="inlineStr">
        <is>
          <t>s5617</t>
        </is>
      </c>
      <c r="B669" s="19" t="inlineStr">
        <is>
          <t>Movie</t>
        </is>
      </c>
      <c r="C669" s="19" t="inlineStr">
        <is>
          <t>Dilwale</t>
        </is>
      </c>
      <c r="D669" s="19" t="inlineStr">
        <is>
          <t>Rohit Shetty</t>
        </is>
      </c>
      <c r="E669" s="19" t="inlineStr">
        <is>
          <t>Shah Rukh Khan, Kajol, Kriti Sanon, Kabir Bedi, Varun Dhawan, Boman Irani, Johnny Lever, Varun Sharma, Sanjay Mishra, Vinod Khanna, Mukesh Tiwari, Pankaj Tripathi, Shawar Ali</t>
        </is>
      </c>
      <c r="F669" s="19" t="inlineStr">
        <is>
          <t>India</t>
        </is>
      </c>
      <c r="G669" s="19" t="inlineStr">
        <is>
          <t>2017-02-01</t>
        </is>
      </c>
      <c r="H669" s="19" t="n">
        <v>2015</v>
      </c>
      <c r="I669" s="19" t="inlineStr">
        <is>
          <t>TV-PG</t>
        </is>
      </c>
      <c r="J669" s="19" t="inlineStr">
        <is>
          <t>154 min</t>
        </is>
      </c>
      <c r="K669" s="19" t="inlineStr">
        <is>
          <t>Action &amp; Adventure, Dramas, International Movies</t>
        </is>
      </c>
      <c r="L669" s="19" t="inlineStr">
        <is>
          <t>A young couple falls in love, but conflicting loyalties drive them apart. Years later, fate intervenes and hands them a second chance.</t>
        </is>
      </c>
      <c r="M669" s="19" t="n">
        <v>2017</v>
      </c>
      <c r="N669" s="19">
        <f>IF(AND(OR(YearFilter="All",$M669=YearFilter),OR(RatingFilter="All",$I669=RatingFilter),OR(TypeFilter="All",$B669=TypeFilter),OR(GenreFilter="All",COUNTIFS(tblGenre[show_id],$A669,tblGenre[Genre],GenreFilter)&gt;0)),1,0)</f>
        <v/>
      </c>
    </row>
    <row r="670" ht="15" customHeight="1" s="20">
      <c r="A670" s="19" t="inlineStr">
        <is>
          <t>s5618</t>
        </is>
      </c>
      <c r="B670" s="19" t="inlineStr">
        <is>
          <t>Movie</t>
        </is>
      </c>
      <c r="C670" s="19" t="inlineStr">
        <is>
          <t>Happy New Year</t>
        </is>
      </c>
      <c r="D670" s="19" t="inlineStr">
        <is>
          <t>Farah Khan</t>
        </is>
      </c>
      <c r="E670" s="19" t="inlineStr">
        <is>
          <t>Shah Rukh Khan, Deepika Padukone, Abhishek Bachchan, Sonu Sood, Boman Irani, Vivaan Shah</t>
        </is>
      </c>
      <c r="F670" s="19" t="inlineStr">
        <is>
          <t>India</t>
        </is>
      </c>
      <c r="G670" s="19" t="inlineStr">
        <is>
          <t>2017-02-01</t>
        </is>
      </c>
      <c r="H670" s="19" t="n">
        <v>2014</v>
      </c>
      <c r="I670" s="19" t="inlineStr">
        <is>
          <t>TV-14</t>
        </is>
      </c>
      <c r="J670" s="19" t="inlineStr">
        <is>
          <t>179 min</t>
        </is>
      </c>
      <c r="K670" s="19" t="inlineStr">
        <is>
          <t>Action &amp; Adventure, Comedies, Dramas</t>
        </is>
      </c>
      <c r="L670" s="19" t="inlineStr">
        <is>
          <t>A revenge-seeking diamond thief gathers a ragtag crew to infiltrate a Dubai hotel hosting a dance contest. But first they have to learn how to dance.</t>
        </is>
      </c>
      <c r="M670" s="19" t="n">
        <v>2017</v>
      </c>
      <c r="N670" s="19">
        <f>IF(AND(OR(YearFilter="All",$M670=YearFilter),OR(RatingFilter="All",$I670=RatingFilter),OR(TypeFilter="All",$B670=TypeFilter),OR(GenreFilter="All",COUNTIFS(tblGenre[show_id],$A670,tblGenre[Genre],GenreFilter)&gt;0)),1,0)</f>
        <v/>
      </c>
    </row>
    <row r="671" ht="15" customHeight="1" s="20">
      <c r="A671" s="19" t="inlineStr">
        <is>
          <t>s5619</t>
        </is>
      </c>
      <c r="B671" s="19" t="inlineStr">
        <is>
          <t>Movie</t>
        </is>
      </c>
      <c r="C671" s="19" t="inlineStr">
        <is>
          <t>Haraamkhor</t>
        </is>
      </c>
      <c r="D671" s="19" t="inlineStr">
        <is>
          <t>Shlok Sharma</t>
        </is>
      </c>
      <c r="E671" s="19" t="inlineStr">
        <is>
          <t>Nawazuddin Siddiqui, Shweta Tripathi, Harish Khanna, Irfan Khan, Trimala Adhikari, Mohd Samad</t>
        </is>
      </c>
      <c r="F671" s="19" t="inlineStr">
        <is>
          <t>India</t>
        </is>
      </c>
      <c r="G671" s="19" t="inlineStr">
        <is>
          <t>2017-02-01</t>
        </is>
      </c>
      <c r="H671" s="19" t="n">
        <v>2015</v>
      </c>
      <c r="I671" s="19" t="inlineStr">
        <is>
          <t>TV-14</t>
        </is>
      </c>
      <c r="J671" s="19" t="inlineStr">
        <is>
          <t>93 min</t>
        </is>
      </c>
      <c r="K671" s="19" t="inlineStr">
        <is>
          <t>Dramas, Independent Movies, International Movies</t>
        </is>
      </c>
      <c r="L671" s="19" t="inlineStr">
        <is>
          <t>A selfish, manipulative schoolteacher takes advantage of a schoolgirl's vulnerability to gratify his dark, narcissistic desires.</t>
        </is>
      </c>
      <c r="M671" s="19" t="n">
        <v>2017</v>
      </c>
      <c r="N671" s="19">
        <f>IF(AND(OR(YearFilter="All",$M671=YearFilter),OR(RatingFilter="All",$I671=RatingFilter),OR(TypeFilter="All",$B671=TypeFilter),OR(GenreFilter="All",COUNTIFS(tblGenre[show_id],$A671,tblGenre[Genre],GenreFilter)&gt;0)),1,0)</f>
        <v/>
      </c>
    </row>
    <row r="672" ht="15" customHeight="1" s="20">
      <c r="A672" s="19" t="inlineStr">
        <is>
          <t>s5630</t>
        </is>
      </c>
      <c r="B672" s="19" t="inlineStr">
        <is>
          <t>Movie</t>
        </is>
      </c>
      <c r="C672" s="19" t="inlineStr">
        <is>
          <t>Pink</t>
        </is>
      </c>
      <c r="D672" s="19" t="inlineStr">
        <is>
          <t>Aniruddha Roy Chowdhury</t>
        </is>
      </c>
      <c r="E672" s="19" t="inlineStr">
        <is>
          <t>Tapsee Pannu, Kirti Kulhari, Andrea Tariang, Amitabh Bachchan, Piyush Mishra, Angad Bedi, Vijay Varma, Raashul Tandon, Tushar Pandey, Dhritiman Chatterjee, Mamata Shankar</t>
        </is>
      </c>
      <c r="F672" s="19" t="inlineStr">
        <is>
          <t>India</t>
        </is>
      </c>
      <c r="G672" s="19" t="inlineStr">
        <is>
          <t>2017-01-20</t>
        </is>
      </c>
      <c r="H672" s="19" t="n">
        <v>2016</v>
      </c>
      <c r="I672" s="19" t="inlineStr">
        <is>
          <t>TV-14</t>
        </is>
      </c>
      <c r="J672" s="19" t="inlineStr">
        <is>
          <t>130 min</t>
        </is>
      </c>
      <c r="K672" s="19" t="inlineStr">
        <is>
          <t>Dramas, International Movies</t>
        </is>
      </c>
      <c r="L672" s="19" t="inlineStr">
        <is>
          <t>A sexual assault victim, unjustly tried for the attempted murder of her attacker, is defended by a retired lawyer who challenges India's rape culture.</t>
        </is>
      </c>
      <c r="M672" s="19" t="n">
        <v>2017</v>
      </c>
      <c r="N672" s="19">
        <f>IF(AND(OR(YearFilter="All",$M672=YearFilter),OR(RatingFilter="All",$I672=RatingFilter),OR(TypeFilter="All",$B672=TypeFilter),OR(GenreFilter="All",COUNTIFS(tblGenre[show_id],$A672,tblGenre[Genre],GenreFilter)&gt;0)),1,0)</f>
        <v/>
      </c>
    </row>
    <row r="673" ht="15" customHeight="1" s="20">
      <c r="A673" s="19" t="inlineStr">
        <is>
          <t>s5648</t>
        </is>
      </c>
      <c r="B673" s="19" t="inlineStr">
        <is>
          <t>Movie</t>
        </is>
      </c>
      <c r="C673" s="19" t="inlineStr">
        <is>
          <t>Autohead</t>
        </is>
      </c>
      <c r="D673" s="19" t="inlineStr">
        <is>
          <t>Rohit Mittal</t>
        </is>
      </c>
      <c r="E673" s="19" t="inlineStr">
        <is>
          <t>Deepak Sampat, Ronjini Chakroborty, Vikrant Singh, Jhanvi Dwivedi, Ajay Mishra, Rohit Mittal, Sunny Banerjee, Ravidev Singh</t>
        </is>
      </c>
      <c r="F673" s="19" t="inlineStr">
        <is>
          <t>India</t>
        </is>
      </c>
      <c r="G673" s="19" t="inlineStr">
        <is>
          <t>2017-01-01</t>
        </is>
      </c>
      <c r="H673" s="19" t="n">
        <v>2016</v>
      </c>
      <c r="I673" s="19" t="inlineStr">
        <is>
          <t>TV-MA</t>
        </is>
      </c>
      <c r="J673" s="19" t="inlineStr">
        <is>
          <t>97 min</t>
        </is>
      </c>
      <c r="K673" s="19" t="inlineStr">
        <is>
          <t>Dramas, International Movies, Thrillers</t>
        </is>
      </c>
      <c r="L673" s="19" t="inlineStr">
        <is>
          <t>A production crew that thinks it's making a documentary about a humble Mumbai rickshaw driver unmasks a horrifying truth about their film's subject.</t>
        </is>
      </c>
      <c r="M673" s="19" t="n">
        <v>2017</v>
      </c>
      <c r="N673" s="19">
        <f>IF(AND(OR(YearFilter="All",$M673=YearFilter),OR(RatingFilter="All",$I673=RatingFilter),OR(TypeFilter="All",$B673=TypeFilter),OR(GenreFilter="All",COUNTIFS(tblGenre[show_id],$A673,tblGenre[Genre],GenreFilter)&gt;0)),1,0)</f>
        <v/>
      </c>
    </row>
    <row r="674" ht="15" customHeight="1" s="20">
      <c r="A674" s="19" t="inlineStr">
        <is>
          <t>s5652</t>
        </is>
      </c>
      <c r="B674" s="19" t="inlineStr">
        <is>
          <t>Movie</t>
        </is>
      </c>
      <c r="C674" s="19" t="inlineStr">
        <is>
          <t>Udta Punjab</t>
        </is>
      </c>
      <c r="D674" s="19" t="inlineStr">
        <is>
          <t>Abhishek Chaubey</t>
        </is>
      </c>
      <c r="E674" s="19" t="inlineStr">
        <is>
          <t>Shahid Kapoor, Kareena Kapoor, Alia Bhatt, Diljit Dosanjh, Satish Kaushik, Suhail Nayyar, Prabhjyot Singh, Harpreet Singh, Manav Vij, Taran Bajaj</t>
        </is>
      </c>
      <c r="F674" s="19" t="inlineStr">
        <is>
          <t>India</t>
        </is>
      </c>
      <c r="G674" s="19" t="inlineStr">
        <is>
          <t>2017-01-01</t>
        </is>
      </c>
      <c r="H674" s="19" t="n">
        <v>2016</v>
      </c>
      <c r="I674" s="19" t="inlineStr">
        <is>
          <t>TV-MA</t>
        </is>
      </c>
      <c r="J674" s="19" t="inlineStr">
        <is>
          <t>146 min</t>
        </is>
      </c>
      <c r="K674" s="19" t="inlineStr">
        <is>
          <t>Dramas, International Movies</t>
        </is>
      </c>
      <c r="L674" s="19" t="inlineStr">
        <is>
          <t>Drug abuse and the darker side of Punjab rear their heads in the intense, interwoven tales of a cop, a doctor, a migrant worker and a rock star.</t>
        </is>
      </c>
      <c r="M674" s="19" t="n">
        <v>2017</v>
      </c>
      <c r="N674" s="19">
        <f>IF(AND(OR(YearFilter="All",$M674=YearFilter),OR(RatingFilter="All",$I674=RatingFilter),OR(TypeFilter="All",$B674=TypeFilter),OR(GenreFilter="All",COUNTIFS(tblGenre[show_id],$A674,tblGenre[Genre],GenreFilter)&gt;0)),1,0)</f>
        <v/>
      </c>
    </row>
    <row r="675" ht="15" customHeight="1" s="20">
      <c r="A675" s="19" t="inlineStr">
        <is>
          <t>s5697</t>
        </is>
      </c>
      <c r="B675" s="19" t="inlineStr">
        <is>
          <t>Movie</t>
        </is>
      </c>
      <c r="C675" s="19" t="inlineStr">
        <is>
          <t>1000 Rupee Note</t>
        </is>
      </c>
      <c r="D675" s="19" t="inlineStr">
        <is>
          <t>Shrihari Sathe</t>
        </is>
      </c>
      <c r="E675" s="19" t="inlineStr">
        <is>
          <t>Usha Naik, Sandeep Pathak, Shrikant Yadav, Ganesh Yadav, Pooja Nayak, Devendra Gaikwad</t>
        </is>
      </c>
      <c r="F675" s="19" t="inlineStr">
        <is>
          <t>India</t>
        </is>
      </c>
      <c r="G675" s="19" t="inlineStr">
        <is>
          <t>2016-12-01</t>
        </is>
      </c>
      <c r="H675" s="19" t="n">
        <v>2014</v>
      </c>
      <c r="I675" s="19" t="inlineStr">
        <is>
          <t>TV-14</t>
        </is>
      </c>
      <c r="J675" s="19" t="inlineStr">
        <is>
          <t>89 min</t>
        </is>
      </c>
      <c r="K675" s="19" t="inlineStr">
        <is>
          <t>Dramas, International Movies</t>
        </is>
      </c>
      <c r="L675" s="19" t="inlineStr">
        <is>
          <t>After randomly receiving a handsome political bribe, a sweet, poor elderly woman decides to treat herself a shopping spree, which doesn't go smoothly.</t>
        </is>
      </c>
      <c r="M675" s="19" t="n">
        <v>2016</v>
      </c>
      <c r="N675" s="19">
        <f>IF(AND(OR(YearFilter="All",$M675=YearFilter),OR(RatingFilter="All",$I675=RatingFilter),OR(TypeFilter="All",$B675=TypeFilter),OR(GenreFilter="All",COUNTIFS(tblGenre[show_id],$A675,tblGenre[Genre],GenreFilter)&gt;0)),1,0)</f>
        <v/>
      </c>
    </row>
    <row r="676" ht="15" customHeight="1" s="20">
      <c r="A676" s="19" t="inlineStr">
        <is>
          <t>s5702</t>
        </is>
      </c>
      <c r="B676" s="19" t="inlineStr">
        <is>
          <t>Movie</t>
        </is>
      </c>
      <c r="C676" s="19" t="inlineStr">
        <is>
          <t>Interrogation</t>
        </is>
      </c>
      <c r="D676" s="19" t="inlineStr">
        <is>
          <t>Vetrimaaran</t>
        </is>
      </c>
      <c r="E676" s="19" t="inlineStr">
        <is>
          <t>Dinesh Ravi, Samuthirakani, Kishore Kumar, Anandhi, Murugadoss, Ajay Ghosh</t>
        </is>
      </c>
      <c r="F676" s="19" t="inlineStr">
        <is>
          <t>India</t>
        </is>
      </c>
      <c r="G676" s="19" t="inlineStr">
        <is>
          <t>2016-12-01</t>
        </is>
      </c>
      <c r="H676" s="19" t="n">
        <v>2015</v>
      </c>
      <c r="I676" s="19" t="inlineStr">
        <is>
          <t>TV-MA</t>
        </is>
      </c>
      <c r="J676" s="19" t="inlineStr">
        <is>
          <t>116 min</t>
        </is>
      </c>
      <c r="K676" s="19" t="inlineStr">
        <is>
          <t>Dramas, International Movies, Thrillers</t>
        </is>
      </c>
      <c r="L676" s="19" t="inlineStr">
        <is>
          <t>In this fact-based drama, politically motivated cops in Andhra Pradesh set out to frame four Tamil laborers for a crime, torturing them to no avail.</t>
        </is>
      </c>
      <c r="M676" s="19" t="n">
        <v>2016</v>
      </c>
      <c r="N676" s="19">
        <f>IF(AND(OR(YearFilter="All",$M676=YearFilter),OR(RatingFilter="All",$I676=RatingFilter),OR(TypeFilter="All",$B676=TypeFilter),OR(GenreFilter="All",COUNTIFS(tblGenre[show_id],$A676,tblGenre[Genre],GenreFilter)&gt;0)),1,0)</f>
        <v/>
      </c>
    </row>
    <row r="677" ht="15" customHeight="1" s="20">
      <c r="A677" s="19" t="inlineStr">
        <is>
          <t>s5706</t>
        </is>
      </c>
      <c r="B677" s="19" t="inlineStr">
        <is>
          <t>Movie</t>
        </is>
      </c>
      <c r="C677" s="19" t="inlineStr">
        <is>
          <t>The Violin Player</t>
        </is>
      </c>
      <c r="D677" s="19" t="inlineStr">
        <is>
          <t>Bauddhayan Mukherji</t>
        </is>
      </c>
      <c r="E677" s="19" t="inlineStr">
        <is>
          <t>Ritwick Chakraborty, Adil Hussain, Nayani Dixit, Sonam Stobgais</t>
        </is>
      </c>
      <c r="F677" s="19" t="inlineStr">
        <is>
          <t>India</t>
        </is>
      </c>
      <c r="G677" s="19" t="inlineStr">
        <is>
          <t>2016-12-01</t>
        </is>
      </c>
      <c r="H677" s="19" t="n">
        <v>2016</v>
      </c>
      <c r="I677" s="19" t="inlineStr">
        <is>
          <t>TV-14</t>
        </is>
      </c>
      <c r="J677" s="19" t="inlineStr">
        <is>
          <t>72 min</t>
        </is>
      </c>
      <c r="K677" s="19" t="inlineStr">
        <is>
          <t>Dramas, Independent Movies, International Movies</t>
        </is>
      </c>
      <c r="L677" s="19" t="inlineStr">
        <is>
          <t>An unemployed Bollywood session violinist in Mumbai finally lands a small gig, but it's what happens on his way home that proves truly transformative.</t>
        </is>
      </c>
      <c r="M677" s="19" t="n">
        <v>2016</v>
      </c>
      <c r="N677" s="19">
        <f>IF(AND(OR(YearFilter="All",$M677=YearFilter),OR(RatingFilter="All",$I677=RatingFilter),OR(TypeFilter="All",$B677=TypeFilter),OR(GenreFilter="All",COUNTIFS(tblGenre[show_id],$A677,tblGenre[Genre],GenreFilter)&gt;0)),1,0)</f>
        <v/>
      </c>
    </row>
    <row r="678" ht="15" customHeight="1" s="20">
      <c r="A678" s="19" t="inlineStr">
        <is>
          <t>s5711</t>
        </is>
      </c>
      <c r="B678" s="19" t="inlineStr">
        <is>
          <t>Movie</t>
        </is>
      </c>
      <c r="C678" s="19" t="inlineStr">
        <is>
          <t>The Land of Cards</t>
        </is>
      </c>
      <c r="D678" s="19" t="inlineStr">
        <is>
          <t>Qaushiq Mukherjee</t>
        </is>
      </c>
      <c r="E678" s="19" t="inlineStr">
        <is>
          <t>Joyraj Bhattacharya, Rii, Soumyak Kanti DeBiswas, Anubrata Basu, Tillotama Shome, Maya Tideman, Tinu Verghese, Immaduddin Shah, Sayani Gupta</t>
        </is>
      </c>
      <c r="F678" s="19" t="inlineStr">
        <is>
          <t>India</t>
        </is>
      </c>
      <c r="G678" s="19" t="inlineStr">
        <is>
          <t>2016-11-22</t>
        </is>
      </c>
      <c r="H678" s="19" t="n">
        <v>2012</v>
      </c>
      <c r="I678" s="19" t="inlineStr">
        <is>
          <t>TV-14</t>
        </is>
      </c>
      <c r="J678" s="19" t="inlineStr">
        <is>
          <t>113 min</t>
        </is>
      </c>
      <c r="K678" s="19" t="inlineStr">
        <is>
          <t>Dramas, Independent Movies, International Movies</t>
        </is>
      </c>
      <c r="L678" s="19" t="inlineStr">
        <is>
          <t>A royal prince arrives on an island of fascist rule and inspires a rebellion among its women in this hallucinogenic adaptation of a classic play.</t>
        </is>
      </c>
      <c r="M678" s="19" t="n">
        <v>2016</v>
      </c>
      <c r="N678" s="19">
        <f>IF(AND(OR(YearFilter="All",$M678=YearFilter),OR(RatingFilter="All",$I678=RatingFilter),OR(TypeFilter="All",$B678=TypeFilter),OR(GenreFilter="All",COUNTIFS(tblGenre[show_id],$A678,tblGenre[Genre],GenreFilter)&gt;0)),1,0)</f>
        <v/>
      </c>
    </row>
    <row r="679" ht="15" customHeight="1" s="20">
      <c r="A679" s="19" t="inlineStr">
        <is>
          <t>s5719</t>
        </is>
      </c>
      <c r="B679" s="19" t="inlineStr">
        <is>
          <t>Movie</t>
        </is>
      </c>
      <c r="C679" s="19" t="inlineStr">
        <is>
          <t>Mumbai Cha Raja</t>
        </is>
      </c>
      <c r="D679" s="19" t="inlineStr">
        <is>
          <t>Manjeet Singh</t>
        </is>
      </c>
      <c r="E679" s="19" t="inlineStr">
        <is>
          <t>Rahul Bairagi, Arbaaz Khan, Tejas Parvatkar, Dhanshree Jain, Salman Khan, Aftab Khan</t>
        </is>
      </c>
      <c r="F679" s="19" t="inlineStr">
        <is>
          <t>India</t>
        </is>
      </c>
      <c r="G679" s="19" t="inlineStr">
        <is>
          <t>2016-11-15</t>
        </is>
      </c>
      <c r="H679" s="19" t="n">
        <v>2012</v>
      </c>
      <c r="I679" s="19" t="inlineStr">
        <is>
          <t>TV-MA</t>
        </is>
      </c>
      <c r="J679" s="19" t="inlineStr">
        <is>
          <t>77 min</t>
        </is>
      </c>
      <c r="K679" s="19" t="inlineStr">
        <is>
          <t>Dramas, Independent Movies, International Movies</t>
        </is>
      </c>
      <c r="L679" s="19" t="inlineStr">
        <is>
          <t>This coming-of-age tale follows Rahul, a young boy growing up in a Mumbai slum whose alcoholic father abuses him and his mother.</t>
        </is>
      </c>
      <c r="M679" s="19" t="n">
        <v>2016</v>
      </c>
      <c r="N679" s="19">
        <f>IF(AND(OR(YearFilter="All",$M679=YearFilter),OR(RatingFilter="All",$I679=RatingFilter),OR(TypeFilter="All",$B679=TypeFilter),OR(GenreFilter="All",COUNTIFS(tblGenre[show_id],$A679,tblGenre[Genre],GenreFilter)&gt;0)),1,0)</f>
        <v/>
      </c>
    </row>
    <row r="680" ht="15" customHeight="1" s="20">
      <c r="A680" s="19" t="inlineStr">
        <is>
          <t>s5768</t>
        </is>
      </c>
      <c r="B680" s="19" t="inlineStr">
        <is>
          <t>Movie</t>
        </is>
      </c>
      <c r="C680" s="19" t="inlineStr">
        <is>
          <t>Harud</t>
        </is>
      </c>
      <c r="D680" s="19" t="inlineStr">
        <is>
          <t>Aamir Bashir</t>
        </is>
      </c>
      <c r="E680" s="19" t="inlineStr">
        <is>
          <t>Mohammad Amir Naji, Shahnawaz Bhat, Shamim Basharat, Salma Ashai, Mudessir Ahmed Khan, Rayes Mohiuddin</t>
        </is>
      </c>
      <c r="F680" s="19" t="inlineStr">
        <is>
          <t>India</t>
        </is>
      </c>
      <c r="G680" s="19" t="inlineStr">
        <is>
          <t>2016-10-01</t>
        </is>
      </c>
      <c r="H680" s="19" t="n">
        <v>2010</v>
      </c>
      <c r="I680" s="19" t="inlineStr">
        <is>
          <t>TV-MA</t>
        </is>
      </c>
      <c r="J680" s="19" t="inlineStr">
        <is>
          <t>100 min</t>
        </is>
      </c>
      <c r="K680" s="19" t="inlineStr">
        <is>
          <t>Dramas, International Movies</t>
        </is>
      </c>
      <c r="L680" s="19" t="inlineStr">
        <is>
          <t>A young Kashmiri man sets out to escape to Pakistan and make sense of his brother's death, but he drifts aimlessly until finding his brother's camera.</t>
        </is>
      </c>
      <c r="M680" s="19" t="n">
        <v>2016</v>
      </c>
      <c r="N680" s="19">
        <f>IF(AND(OR(YearFilter="All",$M680=YearFilter),OR(RatingFilter="All",$I680=RatingFilter),OR(TypeFilter="All",$B680=TypeFilter),OR(GenreFilter="All",COUNTIFS(tblGenre[show_id],$A680,tblGenre[Genre],GenreFilter)&gt;0)),1,0)</f>
        <v/>
      </c>
    </row>
    <row r="681" ht="15" customHeight="1" s="20">
      <c r="A681" s="19" t="inlineStr">
        <is>
          <t>s5779</t>
        </is>
      </c>
      <c r="B681" s="19" t="inlineStr">
        <is>
          <t>Movie</t>
        </is>
      </c>
      <c r="C681" s="19" t="inlineStr">
        <is>
          <t>Umrika</t>
        </is>
      </c>
      <c r="D681" s="19" t="inlineStr">
        <is>
          <t>Prashant Nair</t>
        </is>
      </c>
      <c r="E681" s="19" t="inlineStr">
        <is>
          <t>Suraj Sharma, Tony Revolori, Smita Tambe, Adil Hussain, Rajesh Tailang, Prateik Babbar, Pramod Pathak, Amit Sial, Sauraseni Maitra</t>
        </is>
      </c>
      <c r="F681" s="19" t="inlineStr">
        <is>
          <t>India</t>
        </is>
      </c>
      <c r="G681" s="19" t="inlineStr">
        <is>
          <t>2016-10-01</t>
        </is>
      </c>
      <c r="H681" s="19" t="n">
        <v>2015</v>
      </c>
      <c r="I681" s="19" t="inlineStr">
        <is>
          <t>TV-MA</t>
        </is>
      </c>
      <c r="J681" s="19" t="inlineStr">
        <is>
          <t>96 min</t>
        </is>
      </c>
      <c r="K681" s="19" t="inlineStr">
        <is>
          <t>Dramas, Independent Movies, International Movies</t>
        </is>
      </c>
      <c r="L681" s="19" t="inlineStr">
        <is>
          <t>An ambitious man leaves his small Indian village for America. But when his letters to home stop coming, his brother sets out on his own adventure.</t>
        </is>
      </c>
      <c r="M681" s="19" t="n">
        <v>2016</v>
      </c>
      <c r="N681" s="19">
        <f>IF(AND(OR(YearFilter="All",$M681=YearFilter),OR(RatingFilter="All",$I681=RatingFilter),OR(TypeFilter="All",$B681=TypeFilter),OR(GenreFilter="All",COUNTIFS(tblGenre[show_id],$A681,tblGenre[Genre],GenreFilter)&gt;0)),1,0)</f>
        <v/>
      </c>
    </row>
    <row r="682" ht="15" customHeight="1" s="20">
      <c r="A682" s="19" t="inlineStr">
        <is>
          <t>s5834</t>
        </is>
      </c>
      <c r="B682" s="19" t="inlineStr">
        <is>
          <t>Movie</t>
        </is>
      </c>
      <c r="C682" s="19" t="inlineStr">
        <is>
          <t>Brahman Naman</t>
        </is>
      </c>
      <c r="D682" s="19" t="inlineStr">
        <is>
          <t>Qaushiq Mukherjee</t>
        </is>
      </c>
      <c r="E682" s="19" t="inlineStr">
        <is>
          <t>Shashank Arora, Tanmay Dhanania, Chaitanya Varad, Vaishwath Shankar, Sindhu Sreenivasa Murthy, Sid Mallya, Denzil Smith</t>
        </is>
      </c>
      <c r="F682" s="19" t="inlineStr">
        <is>
          <t>India, United Kingdom</t>
        </is>
      </c>
      <c r="G682" s="19" t="inlineStr">
        <is>
          <t>2016-07-06</t>
        </is>
      </c>
      <c r="H682" s="19" t="n">
        <v>2016</v>
      </c>
      <c r="I682" s="19" t="inlineStr">
        <is>
          <t>TV-MA</t>
        </is>
      </c>
      <c r="J682" s="19" t="inlineStr">
        <is>
          <t>96 min</t>
        </is>
      </c>
      <c r="K682" s="19" t="inlineStr">
        <is>
          <t>Comedies, Independent Movies, International Movies</t>
        </is>
      </c>
      <c r="L682" s="19" t="inlineStr">
        <is>
          <t>This homage to 1980s teen sex comedies follows a college quiz bowl champion who knows almost everything – except how to talk to women.</t>
        </is>
      </c>
      <c r="M682" s="19" t="n">
        <v>2016</v>
      </c>
      <c r="N682" s="19">
        <f>IF(AND(OR(YearFilter="All",$M682=YearFilter),OR(RatingFilter="All",$I682=RatingFilter),OR(TypeFilter="All",$B682=TypeFilter),OR(GenreFilter="All",COUNTIFS(tblGenre[show_id],$A682,tblGenre[Genre],GenreFilter)&gt;0)),1,0)</f>
        <v/>
      </c>
    </row>
    <row r="683" ht="15" customHeight="1" s="20">
      <c r="A683" s="19" t="inlineStr">
        <is>
          <t>s5838</t>
        </is>
      </c>
      <c r="B683" s="19" t="inlineStr">
        <is>
          <t>Movie</t>
        </is>
      </c>
      <c r="C683" s="19" t="inlineStr">
        <is>
          <t>X: Past Is Present</t>
        </is>
      </c>
      <c r="D683" s="19" t="inlineStr">
        <is>
          <t>Hemant Gaba, Pratim D. Gupta, Sudhish Kamath, Nalan Kumarasamy, Anu Menon, Sandeep Mohan, Qaushiq Mukherjee, Rajshree Ojha, Raja Sen, Abhinav Shiv Tiwari, Suparn Verma</t>
        </is>
      </c>
      <c r="E683" s="19" t="inlineStr">
        <is>
          <t>Anshuman Jha, Rajat Kapoor, Pooja Ruparel, Piaa Bajpai, Huma Qureshi, Usha Uthup, Radhika Apte, Swara Bhaskar</t>
        </is>
      </c>
      <c r="F683" s="19" t="inlineStr">
        <is>
          <t>India</t>
        </is>
      </c>
      <c r="G683" s="19" t="inlineStr">
        <is>
          <t>2016-07-01</t>
        </is>
      </c>
      <c r="H683" s="19" t="n">
        <v>2015</v>
      </c>
      <c r="I683" s="19" t="inlineStr">
        <is>
          <t>TV-MA</t>
        </is>
      </c>
      <c r="J683" s="19" t="inlineStr">
        <is>
          <t>105 min</t>
        </is>
      </c>
      <c r="K683" s="19" t="inlineStr">
        <is>
          <t>Dramas, Independent Movies, International Movies</t>
        </is>
      </c>
      <c r="L683" s="19" t="inlineStr">
        <is>
          <t>When a middle-aged filmmaker meets an alluring stranger at a party, he's haunted by troubling memories of his past relationships.</t>
        </is>
      </c>
      <c r="M683" s="19" t="n">
        <v>2016</v>
      </c>
      <c r="N683" s="19">
        <f>IF(AND(OR(YearFilter="All",$M683=YearFilter),OR(RatingFilter="All",$I683=RatingFilter),OR(TypeFilter="All",$B683=TypeFilter),OR(GenreFilter="All",COUNTIFS(tblGenre[show_id],$A683,tblGenre[Genre],GenreFilter)&gt;0)),1,0)</f>
        <v/>
      </c>
    </row>
    <row r="684" ht="15" customHeight="1" s="20">
      <c r="A684" s="19" t="inlineStr">
        <is>
          <t>s5962</t>
        </is>
      </c>
      <c r="B684" s="19" t="inlineStr">
        <is>
          <t>Movie</t>
        </is>
      </c>
      <c r="C684" s="19" t="inlineStr">
        <is>
          <t>706</t>
        </is>
      </c>
      <c r="D684" s="19" t="inlineStr">
        <is>
          <t>Shravan Kumar</t>
        </is>
      </c>
      <c r="E684" s="19" t="inlineStr">
        <is>
          <t>Divya Dutta, Atul Kulkarni, Mohan Agashe, Anupam Shyam, Raayo S. Bakhirta, Yashvit Sancheti, Greeva Kansara, Archan Trivedi, Rajiv Pathak</t>
        </is>
      </c>
      <c r="F684" s="19" t="inlineStr">
        <is>
          <t>India</t>
        </is>
      </c>
      <c r="G684" s="19" t="inlineStr">
        <is>
          <t>2019-04-01</t>
        </is>
      </c>
      <c r="H684" s="19" t="n">
        <v>2019</v>
      </c>
      <c r="I684" s="19" t="inlineStr">
        <is>
          <t>TV-14</t>
        </is>
      </c>
      <c r="J684" s="19" t="inlineStr">
        <is>
          <t>118 min</t>
        </is>
      </c>
      <c r="K684" s="19" t="inlineStr">
        <is>
          <t>Horror Movies, International Movies</t>
        </is>
      </c>
      <c r="L684" s="19" t="inlineStr">
        <is>
          <t>When a doctor goes missing, his psychiatrist wife treats the bizarre medical condition of a psychic patient, who knows much more than he's leading on.</t>
        </is>
      </c>
      <c r="M684" s="19" t="n">
        <v>2019</v>
      </c>
      <c r="N684" s="19">
        <f>IF(AND(OR(YearFilter="All",$M684=YearFilter),OR(RatingFilter="All",$I684=RatingFilter),OR(TypeFilter="All",$B684=TypeFilter),OR(GenreFilter="All",COUNTIFS(tblGenre[show_id],$A684,tblGenre[Genre],GenreFilter)&gt;0)),1,0)</f>
        <v/>
      </c>
    </row>
    <row r="685" ht="15" customHeight="1" s="20">
      <c r="A685" s="19" t="inlineStr">
        <is>
          <t>s5963</t>
        </is>
      </c>
      <c r="B685" s="19" t="inlineStr">
        <is>
          <t>Movie</t>
        </is>
      </c>
      <c r="C685" s="19" t="inlineStr">
        <is>
          <t>1920</t>
        </is>
      </c>
      <c r="D685" s="19" t="inlineStr">
        <is>
          <t>Vikram Bhatt</t>
        </is>
      </c>
      <c r="E685" s="19" t="inlineStr">
        <is>
          <t>Rajneesh Duggal, Adah Sharma, Indraneil Sengupta, Anjori Alagh, Rajendranath Zutshi, Vipin Sharma, Amin Hajee, Shri Vallabh Vyas</t>
        </is>
      </c>
      <c r="F685" s="19" t="inlineStr">
        <is>
          <t>India</t>
        </is>
      </c>
      <c r="G685" s="19" t="inlineStr">
        <is>
          <t>2017-12-15</t>
        </is>
      </c>
      <c r="H685" s="19" t="n">
        <v>2008</v>
      </c>
      <c r="I685" s="19" t="inlineStr">
        <is>
          <t>TV-MA</t>
        </is>
      </c>
      <c r="J685" s="19" t="inlineStr">
        <is>
          <t>143 min</t>
        </is>
      </c>
      <c r="K685" s="19" t="inlineStr">
        <is>
          <t>Horror Movies, International Movies, Thrillers</t>
        </is>
      </c>
      <c r="L685" s="19" t="inlineStr">
        <is>
          <t>An architect and his wife move into a castle that is slated to become a luxury hotel. But something inside is determined to stop the renovation.</t>
        </is>
      </c>
      <c r="M685" s="19" t="n">
        <v>2017</v>
      </c>
      <c r="N685" s="19">
        <f>IF(AND(OR(YearFilter="All",$M685=YearFilter),OR(RatingFilter="All",$I685=RatingFilter),OR(TypeFilter="All",$B685=TypeFilter),OR(GenreFilter="All",COUNTIFS(tblGenre[show_id],$A685,tblGenre[Genre],GenreFilter)&gt;0)),1,0)</f>
        <v/>
      </c>
    </row>
    <row r="686" ht="15" customHeight="1" s="20">
      <c r="A686" s="19" t="inlineStr">
        <is>
          <t>s5967</t>
        </is>
      </c>
      <c r="B686" s="19" t="inlineStr">
        <is>
          <t>Movie</t>
        </is>
      </c>
      <c r="C686" s="19" t="inlineStr">
        <is>
          <t>15-Aug</t>
        </is>
      </c>
      <c r="D686" s="19" t="inlineStr">
        <is>
          <t>Swapnaneel Jayakar</t>
        </is>
      </c>
      <c r="E686" s="19" t="inlineStr">
        <is>
          <t>Rahul Pethe, Mrunmayee Deshpande, Adinath Kothare, Vaibhav Mangale, Jaywant Wadkar, Satish Pulekar, Naina Apte, Uday Tikekar</t>
        </is>
      </c>
      <c r="F686" s="19" t="inlineStr">
        <is>
          <t>India</t>
        </is>
      </c>
      <c r="G686" s="19" t="inlineStr">
        <is>
          <t>2019-03-29</t>
        </is>
      </c>
      <c r="H686" s="19" t="n">
        <v>2019</v>
      </c>
      <c r="I686" s="19" t="inlineStr">
        <is>
          <t>TV-14</t>
        </is>
      </c>
      <c r="J686" s="19" t="inlineStr">
        <is>
          <t>124 min</t>
        </is>
      </c>
      <c r="K686" s="19" t="inlineStr">
        <is>
          <t>Comedies, Dramas, Independent Movies</t>
        </is>
      </c>
      <c r="L686" s="19" t="inlineStr">
        <is>
          <t>On India's Independence Day, a zany mishap in a Mumbai chawl disrupts a young love story while compelling the residents to unite in aid of a little boy.</t>
        </is>
      </c>
      <c r="M686" s="19" t="n">
        <v>2019</v>
      </c>
      <c r="N686" s="19">
        <f>IF(AND(OR(YearFilter="All",$M686=YearFilter),OR(RatingFilter="All",$I686=RatingFilter),OR(TypeFilter="All",$B686=TypeFilter),OR(GenreFilter="All",COUNTIFS(tblGenre[show_id],$A686,tblGenre[Genre],GenreFilter)&gt;0)),1,0)</f>
        <v/>
      </c>
    </row>
    <row r="687" ht="15" customHeight="1" s="20">
      <c r="A687" s="19" t="inlineStr">
        <is>
          <t>s5969</t>
        </is>
      </c>
      <c r="B687" s="19" t="inlineStr">
        <is>
          <t>Movie</t>
        </is>
      </c>
      <c r="C687" s="19" t="inlineStr">
        <is>
          <t>​Goli Soda 2</t>
        </is>
      </c>
      <c r="D687" s="19" t="inlineStr">
        <is>
          <t>Vijay Milton</t>
        </is>
      </c>
      <c r="E687" s="19" t="inlineStr">
        <is>
          <t>Samuthirakani, Bharath Seeni, Vinoth, Esakki Barath, Chemban Vinod Jose, Gautham Menon, Krisha Kurup, Subiksha</t>
        </is>
      </c>
      <c r="F687" s="19" t="inlineStr">
        <is>
          <t>India</t>
        </is>
      </c>
      <c r="G687" s="19" t="inlineStr">
        <is>
          <t>2018-09-15</t>
        </is>
      </c>
      <c r="H687" s="19" t="n">
        <v>2018</v>
      </c>
      <c r="I687" s="19" t="inlineStr">
        <is>
          <t>TV-14</t>
        </is>
      </c>
      <c r="J687" s="19" t="inlineStr">
        <is>
          <t>128 min</t>
        </is>
      </c>
      <c r="K687" s="19" t="inlineStr">
        <is>
          <t>Action &amp; Adventure, Dramas, International Movies</t>
        </is>
      </c>
      <c r="L687" s="19" t="inlineStr">
        <is>
          <t>A taxi driver, a gangster and an athlete struggle to better their lives despite obstacles like crooked politicians, evil dons and caste barriers.</t>
        </is>
      </c>
      <c r="M687" s="19" t="n">
        <v>2018</v>
      </c>
      <c r="N687" s="19">
        <f>IF(AND(OR(YearFilter="All",$M687=YearFilter),OR(RatingFilter="All",$I687=RatingFilter),OR(TypeFilter="All",$B687=TypeFilter),OR(GenreFilter="All",COUNTIFS(tblGenre[show_id],$A687,tblGenre[Genre],GenreFilter)&gt;0)),1,0)</f>
        <v/>
      </c>
    </row>
    <row r="688" ht="15" customHeight="1" s="20">
      <c r="A688" s="19" t="inlineStr">
        <is>
          <t>s5970</t>
        </is>
      </c>
      <c r="B688" s="19" t="inlineStr">
        <is>
          <t>Movie</t>
        </is>
      </c>
      <c r="C688" s="19" t="inlineStr">
        <is>
          <t>​Maj Rati ​​Keteki</t>
        </is>
      </c>
      <c r="D688" s="19" t="inlineStr">
        <is>
          <t>Santwana Bardoloi</t>
        </is>
      </c>
      <c r="E688" s="19" t="inlineStr">
        <is>
          <t>Adil Hussain, Shakil Imtiaz, Mahendra Rabha, Sulakshana Baruah, Rahul Gautam Sarma, Kulada Bhattacharjya, Indu Mohan Das, Moumita Talukdar</t>
        </is>
      </c>
      <c r="F688" s="19" t="inlineStr">
        <is>
          <t>India</t>
        </is>
      </c>
      <c r="G688" s="19" t="inlineStr">
        <is>
          <t>2018-09-15</t>
        </is>
      </c>
      <c r="H688" s="19" t="n">
        <v>2017</v>
      </c>
      <c r="I688" s="19" t="inlineStr">
        <is>
          <t>TV-14</t>
        </is>
      </c>
      <c r="J688" s="19" t="inlineStr">
        <is>
          <t>117 min</t>
        </is>
      </c>
      <c r="K688" s="19" t="inlineStr">
        <is>
          <t>Dramas, International Movies</t>
        </is>
      </c>
      <c r="L688" s="19" t="inlineStr">
        <is>
          <t>A successful writer returns to the town that launched his career, encountering people who spark nostalgic, often painfully illuminating flashbacks.</t>
        </is>
      </c>
      <c r="M688" s="19" t="n">
        <v>2018</v>
      </c>
      <c r="N688" s="19">
        <f>IF(AND(OR(YearFilter="All",$M688=YearFilter),OR(RatingFilter="All",$I688=RatingFilter),OR(TypeFilter="All",$B688=TypeFilter),OR(GenreFilter="All",COUNTIFS(tblGenre[show_id],$A688,tblGenre[Genre],GenreFilter)&gt;0)),1,0)</f>
        <v/>
      </c>
    </row>
    <row r="689" ht="15" customHeight="1" s="20">
      <c r="A689" s="19" t="inlineStr">
        <is>
          <t>s5971</t>
        </is>
      </c>
      <c r="B689" s="19" t="inlineStr">
        <is>
          <t>Movie</t>
        </is>
      </c>
      <c r="C689" s="19" t="inlineStr">
        <is>
          <t>​Mayurakshi</t>
        </is>
      </c>
      <c r="D689" s="19" t="inlineStr">
        <is>
          <t>Atanu Ghosh</t>
        </is>
      </c>
      <c r="E689" s="19" t="inlineStr">
        <is>
          <t>Soumitra Chatterjee, Prasenjit Chatterjee, Indrani Haldar, Sudipta Chakraborty, Suman Banerjee, Gargi Roychowdhury</t>
        </is>
      </c>
      <c r="F689" s="19" t="inlineStr">
        <is>
          <t>India</t>
        </is>
      </c>
      <c r="G689" s="19" t="inlineStr">
        <is>
          <t>2018-09-15</t>
        </is>
      </c>
      <c r="H689" s="19" t="n">
        <v>2017</v>
      </c>
      <c r="I689" s="19" t="inlineStr">
        <is>
          <t>TV-14</t>
        </is>
      </c>
      <c r="J689" s="19" t="inlineStr">
        <is>
          <t>100 min</t>
        </is>
      </c>
      <c r="K689" s="19" t="inlineStr">
        <is>
          <t>Dramas, International Movies</t>
        </is>
      </c>
      <c r="L689" s="19" t="inlineStr">
        <is>
          <t>When a middle-aged divorcee returns to Kolkata to visit his ailing father, long-buried memories resurface, bringing new discoveries with them.</t>
        </is>
      </c>
      <c r="M689" s="19" t="n">
        <v>2018</v>
      </c>
      <c r="N689" s="19">
        <f>IF(AND(OR(YearFilter="All",$M689=YearFilter),OR(RatingFilter="All",$I689=RatingFilter),OR(TypeFilter="All",$B689=TypeFilter),OR(GenreFilter="All",COUNTIFS(tblGenre[show_id],$A689,tblGenre[Genre],GenreFilter)&gt;0)),1,0)</f>
        <v/>
      </c>
    </row>
    <row r="690" ht="15" customHeight="1" s="20">
      <c r="A690" s="19" t="inlineStr">
        <is>
          <t>s6002</t>
        </is>
      </c>
      <c r="B690" s="19" t="inlineStr">
        <is>
          <t>TV Show</t>
        </is>
      </c>
      <c r="C690" s="19" t="inlineStr">
        <is>
          <t>21 Sarfarosh: Saragarhi 1897</t>
        </is>
      </c>
      <c r="E690" s="19" t="inlineStr">
        <is>
          <t>Luke Kenny, Mohit Raina, Mukul Dev</t>
        </is>
      </c>
      <c r="F690" s="19" t="inlineStr">
        <is>
          <t>India</t>
        </is>
      </c>
      <c r="G690" s="19" t="inlineStr">
        <is>
          <t>2018-12-01</t>
        </is>
      </c>
      <c r="H690" s="19" t="n">
        <v>2018</v>
      </c>
      <c r="I690" s="19" t="inlineStr">
        <is>
          <t>TV-14</t>
        </is>
      </c>
      <c r="J690" s="19" t="inlineStr">
        <is>
          <t>1 Season</t>
        </is>
      </c>
      <c r="K690" s="19" t="inlineStr">
        <is>
          <t>International TV Shows, TV Dramas</t>
        </is>
      </c>
      <c r="L690" s="19" t="inlineStr">
        <is>
          <t>In one of history's greatest last stands, a battalion of 21 Sikh soldiers fights to defend their outpost from attack by over 10,000 Afghans.</t>
        </is>
      </c>
      <c r="M690" s="19" t="n">
        <v>2018</v>
      </c>
      <c r="N690" s="19">
        <f>IF(AND(OR(YearFilter="All",$M690=YearFilter),OR(RatingFilter="All",$I690=RatingFilter),OR(TypeFilter="All",$B690=TypeFilter),OR(GenreFilter="All",COUNTIFS(tblGenre[show_id],$A690,tblGenre[Genre],GenreFilter)&gt;0)),1,0)</f>
        <v/>
      </c>
    </row>
    <row r="691" ht="15" customHeight="1" s="20">
      <c r="A691" s="19" t="inlineStr">
        <is>
          <t>s6023</t>
        </is>
      </c>
      <c r="B691" s="19" t="inlineStr">
        <is>
          <t>Movie</t>
        </is>
      </c>
      <c r="C691" s="19" t="inlineStr">
        <is>
          <t>6-5=2</t>
        </is>
      </c>
      <c r="D691" s="19" t="inlineStr">
        <is>
          <t>Bharat Jain</t>
        </is>
      </c>
      <c r="E691" s="19" t="inlineStr">
        <is>
          <t>Prashantt Guptha, Gaurav Paswala, Gaurav Kothari, Disha Kapoor, Niharica Raizada, Ashrut Jain, Darshan Machamada</t>
        </is>
      </c>
      <c r="F691" s="19" t="inlineStr">
        <is>
          <t>India</t>
        </is>
      </c>
      <c r="G691" s="19" t="inlineStr">
        <is>
          <t>2017-11-01</t>
        </is>
      </c>
      <c r="H691" s="19" t="n">
        <v>2014</v>
      </c>
      <c r="I691" s="19" t="inlineStr">
        <is>
          <t>TV-MA</t>
        </is>
      </c>
      <c r="J691" s="19" t="inlineStr">
        <is>
          <t>103 min</t>
        </is>
      </c>
      <c r="K691" s="19" t="inlineStr">
        <is>
          <t>Horror Movies, International Movies, Thrillers</t>
        </is>
      </c>
      <c r="L691" s="19" t="inlineStr">
        <is>
          <t>Six friends decide to undertake a grueling mountain trek, only to find that the difficulties in store for them are not merely physical.</t>
        </is>
      </c>
      <c r="M691" s="19" t="n">
        <v>2017</v>
      </c>
      <c r="N691" s="19">
        <f>IF(AND(OR(YearFilter="All",$M691=YearFilter),OR(RatingFilter="All",$I691=RatingFilter),OR(TypeFilter="All",$B691=TypeFilter),OR(GenreFilter="All",COUNTIFS(tblGenre[show_id],$A691,tblGenre[Genre],GenreFilter)&gt;0)),1,0)</f>
        <v/>
      </c>
    </row>
    <row r="692" ht="15" customHeight="1" s="20">
      <c r="A692" s="19" t="inlineStr">
        <is>
          <t>s6025</t>
        </is>
      </c>
      <c r="B692" s="19" t="inlineStr">
        <is>
          <t>TV Show</t>
        </is>
      </c>
      <c r="C692" s="19" t="inlineStr">
        <is>
          <t>7 (Seven)</t>
        </is>
      </c>
      <c r="D692" s="19" t="inlineStr">
        <is>
          <t>Nizar Shafi</t>
        </is>
      </c>
      <c r="E692" s="19" t="inlineStr">
        <is>
          <t>Rahman, Havish, Regina Cassandra, Nandita Swetha, Anisha Ambrose, Tridha Choudhury, Pujitha Ponnada, Aditi Arya</t>
        </is>
      </c>
      <c r="F692" s="19" t="inlineStr">
        <is>
          <t>India</t>
        </is>
      </c>
      <c r="G692" s="19" t="inlineStr">
        <is>
          <t>2019-07-30</t>
        </is>
      </c>
      <c r="H692" s="19" t="n">
        <v>2019</v>
      </c>
      <c r="I692" s="19" t="inlineStr">
        <is>
          <t>TV-14</t>
        </is>
      </c>
      <c r="J692" s="19" t="inlineStr">
        <is>
          <t>1 Season</t>
        </is>
      </c>
      <c r="K692" s="19" t="inlineStr">
        <is>
          <t>TV Shows</t>
        </is>
      </c>
      <c r="L692" s="19" t="inlineStr">
        <is>
          <t>Multiple women report their husbands as missing but when it appears they are looking for the same man, a police officer traces their cryptic connection.</t>
        </is>
      </c>
      <c r="M692" s="19" t="n">
        <v>2019</v>
      </c>
      <c r="N692" s="19">
        <f>IF(AND(OR(YearFilter="All",$M692=YearFilter),OR(RatingFilter="All",$I692=RatingFilter),OR(TypeFilter="All",$B692=TypeFilter),OR(GenreFilter="All",COUNTIFS(tblGenre[show_id],$A692,tblGenre[Genre],GenreFilter)&gt;0)),1,0)</f>
        <v/>
      </c>
    </row>
    <row r="693" ht="15" customHeight="1" s="20">
      <c r="A693" s="19" t="inlineStr">
        <is>
          <t>s6029</t>
        </is>
      </c>
      <c r="B693" s="19" t="inlineStr">
        <is>
          <t>Movie</t>
        </is>
      </c>
      <c r="C693" s="19" t="inlineStr">
        <is>
          <t>A Billion Colour Story</t>
        </is>
      </c>
      <c r="D693" s="19" t="inlineStr">
        <is>
          <t>Padmakumar Narasimhamurthy</t>
        </is>
      </c>
      <c r="E693" s="19" t="inlineStr">
        <is>
          <t>Dhruva Padmakumar, Gaurav Sharma, Vasuki</t>
        </is>
      </c>
      <c r="F693" s="19" t="inlineStr">
        <is>
          <t>India</t>
        </is>
      </c>
      <c r="G693" s="19" t="inlineStr">
        <is>
          <t>2018-04-01</t>
        </is>
      </c>
      <c r="H693" s="19" t="n">
        <v>2016</v>
      </c>
      <c r="I693" s="19" t="inlineStr">
        <is>
          <t>TV-14</t>
        </is>
      </c>
      <c r="J693" s="19" t="inlineStr">
        <is>
          <t>104 min</t>
        </is>
      </c>
      <c r="K693" s="19" t="inlineStr">
        <is>
          <t>Dramas, Independent Movies, International Movies</t>
        </is>
      </c>
      <c r="L693" s="19" t="inlineStr">
        <is>
          <t>The curious child of idealistic interfaith parents observes an increasingly intolerant world as his family faces financial strain.</t>
        </is>
      </c>
      <c r="M693" s="19" t="n">
        <v>2018</v>
      </c>
      <c r="N693" s="19">
        <f>IF(AND(OR(YearFilter="All",$M693=YearFilter),OR(RatingFilter="All",$I693=RatingFilter),OR(TypeFilter="All",$B693=TypeFilter),OR(GenreFilter="All",COUNTIFS(tblGenre[show_id],$A693,tblGenre[Genre],GenreFilter)&gt;0)),1,0)</f>
        <v/>
      </c>
    </row>
    <row r="694" ht="15" customHeight="1" s="20">
      <c r="A694" s="19" t="inlineStr">
        <is>
          <t>s6036</t>
        </is>
      </c>
      <c r="B694" s="19" t="inlineStr">
        <is>
          <t>Movie</t>
        </is>
      </c>
      <c r="C694" s="19" t="inlineStr">
        <is>
          <t>A Flying Jatt</t>
        </is>
      </c>
      <c r="D694" s="19" t="inlineStr">
        <is>
          <t>Remo D'Souza</t>
        </is>
      </c>
      <c r="E694" s="19" t="inlineStr">
        <is>
          <t>Tiger Shroff, Jacqueline Fernandez, Nathan Jones, Kay Kay Menon, Amrita Singh, Gaurav Pandey, Shraddha Kapoor, Amrita Puri</t>
        </is>
      </c>
      <c r="F694" s="19" t="inlineStr">
        <is>
          <t>India</t>
        </is>
      </c>
      <c r="G694" s="19" t="inlineStr">
        <is>
          <t>2017-11-15</t>
        </is>
      </c>
      <c r="H694" s="19" t="n">
        <v>2016</v>
      </c>
      <c r="I694" s="19" t="inlineStr">
        <is>
          <t>TV-14</t>
        </is>
      </c>
      <c r="J694" s="19" t="inlineStr">
        <is>
          <t>142 min</t>
        </is>
      </c>
      <c r="K694" s="19" t="inlineStr">
        <is>
          <t>Action &amp; Adventure, International Movies, Sci-Fi &amp; Fantasy</t>
        </is>
      </c>
      <c r="L694" s="19" t="inlineStr">
        <is>
          <t>A timid man gets unexpected superpowers while trying to save his family's land and a sacred tree from a ruthless tycoon.</t>
        </is>
      </c>
      <c r="M694" s="19" t="n">
        <v>2017</v>
      </c>
      <c r="N694" s="19">
        <f>IF(AND(OR(YearFilter="All",$M694=YearFilter),OR(RatingFilter="All",$I694=RatingFilter),OR(TypeFilter="All",$B694=TypeFilter),OR(GenreFilter="All",COUNTIFS(tblGenre[show_id],$A694,tblGenre[Genre],GenreFilter)&gt;0)),1,0)</f>
        <v/>
      </c>
    </row>
    <row r="695" ht="15" customHeight="1" s="20">
      <c r="A695" s="19" t="inlineStr">
        <is>
          <t>s6056</t>
        </is>
      </c>
      <c r="B695" s="19" t="inlineStr">
        <is>
          <t>Movie</t>
        </is>
      </c>
      <c r="C695" s="19" t="inlineStr">
        <is>
          <t>A Scandall</t>
        </is>
      </c>
      <c r="D695" s="19" t="inlineStr">
        <is>
          <t>Ishaan Trivedi</t>
        </is>
      </c>
      <c r="E695" s="19" t="inlineStr">
        <is>
          <t>Johnny Baweja, Reeth Mazumder, Manav Kaul, Tanvi Vyas, Puru Chibber, Vasundhara Kaul, Aayam Mehta, Niraj Sah</t>
        </is>
      </c>
      <c r="F695" s="19" t="inlineStr">
        <is>
          <t>India</t>
        </is>
      </c>
      <c r="G695" s="19" t="inlineStr">
        <is>
          <t>2017-10-15</t>
        </is>
      </c>
      <c r="H695" s="19" t="n">
        <v>2016</v>
      </c>
      <c r="I695" s="19" t="inlineStr">
        <is>
          <t>TV-MA</t>
        </is>
      </c>
      <c r="J695" s="19" t="inlineStr">
        <is>
          <t>108 min</t>
        </is>
      </c>
      <c r="K695" s="19" t="inlineStr">
        <is>
          <t>International Movies, Thrillers</t>
        </is>
      </c>
      <c r="L695" s="19" t="inlineStr">
        <is>
          <t>A film school graduate is interested in making a movie about his girlfriend's uncle, who claims that he can see his long-dead daughter.</t>
        </is>
      </c>
      <c r="M695" s="19" t="n">
        <v>2017</v>
      </c>
      <c r="N695" s="19">
        <f>IF(AND(OR(YearFilter="All",$M695=YearFilter),OR(RatingFilter="All",$I695=RatingFilter),OR(TypeFilter="All",$B695=TypeFilter),OR(GenreFilter="All",COUNTIFS(tblGenre[show_id],$A695,tblGenre[Genre],GenreFilter)&gt;0)),1,0)</f>
        <v/>
      </c>
    </row>
    <row r="696" ht="15" customHeight="1" s="20">
      <c r="A696" s="19" t="inlineStr">
        <is>
          <t>s6064</t>
        </is>
      </c>
      <c r="B696" s="19" t="inlineStr">
        <is>
          <t>Movie</t>
        </is>
      </c>
      <c r="C696" s="19" t="inlineStr">
        <is>
          <t>A Wednesday</t>
        </is>
      </c>
      <c r="D696" s="19" t="inlineStr">
        <is>
          <t>Neeraj Pandey</t>
        </is>
      </c>
      <c r="E696" s="19" t="inlineStr">
        <is>
          <t>Anupam Kher, Naseeruddin Shah, Jimmy Shergill, Deepal Shaw, Aamir Bashir, Kali Prasad Mukherjee, Vijay Bhatia, Chetan Pandit</t>
        </is>
      </c>
      <c r="F696" s="19" t="inlineStr">
        <is>
          <t>India</t>
        </is>
      </c>
      <c r="G696" s="19" t="inlineStr">
        <is>
          <t>2018-11-01</t>
        </is>
      </c>
      <c r="H696" s="19" t="n">
        <v>2008</v>
      </c>
      <c r="I696" s="19" t="inlineStr">
        <is>
          <t>TV-MA</t>
        </is>
      </c>
      <c r="J696" s="19" t="inlineStr">
        <is>
          <t>103 min</t>
        </is>
      </c>
      <c r="K696" s="19" t="inlineStr">
        <is>
          <t>Action &amp; Adventure, Dramas, International Movies</t>
        </is>
      </c>
      <c r="L696" s="19" t="inlineStr">
        <is>
          <t>After receiving an anonymous tip about a bomb, a police commissioner must negotiate with the terrorist, who demands the release of four militants.</t>
        </is>
      </c>
      <c r="M696" s="19" t="n">
        <v>2018</v>
      </c>
      <c r="N696" s="19">
        <f>IF(AND(OR(YearFilter="All",$M696=YearFilter),OR(RatingFilter="All",$I696=RatingFilter),OR(TypeFilter="All",$B696=TypeFilter),OR(GenreFilter="All",COUNTIFS(tblGenre[show_id],$A696,tblGenre[Genre],GenreFilter)&gt;0)),1,0)</f>
        <v/>
      </c>
    </row>
    <row r="697" ht="15" customHeight="1" s="20">
      <c r="A697" s="19" t="inlineStr">
        <is>
          <t>s6072</t>
        </is>
      </c>
      <c r="B697" s="19" t="inlineStr">
        <is>
          <t>Movie</t>
        </is>
      </c>
      <c r="C697" s="19" t="inlineStr">
        <is>
          <t>Aadu 2</t>
        </is>
      </c>
      <c r="D697" s="19" t="inlineStr">
        <is>
          <t>Midhun Manuel Thomas</t>
        </is>
      </c>
      <c r="E697" s="19" t="inlineStr">
        <is>
          <t>Jayasurya, Vinayakan, Sunny Wayne, Vijay Babu, Saiju Kurup, Vineeth Mohan, Unni Rajan P. Dev, Dharmajan Bolgatty, Indrans</t>
        </is>
      </c>
      <c r="F697" s="19" t="inlineStr">
        <is>
          <t>India</t>
        </is>
      </c>
      <c r="G697" s="19" t="inlineStr">
        <is>
          <t>2018-05-15</t>
        </is>
      </c>
      <c r="H697" s="19" t="n">
        <v>2017</v>
      </c>
      <c r="I697" s="19" t="inlineStr">
        <is>
          <t>TV-MA</t>
        </is>
      </c>
      <c r="J697" s="19" t="inlineStr">
        <is>
          <t>150 min</t>
        </is>
      </c>
      <c r="K697" s="19" t="inlineStr">
        <is>
          <t>Comedies, International Movies</t>
        </is>
      </c>
      <c r="L697" s="19" t="inlineStr">
        <is>
          <t>When Shaji Pappan and his gang of goofy outlaws find themselves low on funds, they plan to once again win a hefty prize in a tug-of-war competition.</t>
        </is>
      </c>
      <c r="M697" s="19" t="n">
        <v>2018</v>
      </c>
      <c r="N697" s="19">
        <f>IF(AND(OR(YearFilter="All",$M697=YearFilter),OR(RatingFilter="All",$I697=RatingFilter),OR(TypeFilter="All",$B697=TypeFilter),OR(GenreFilter="All",COUNTIFS(tblGenre[show_id],$A697,tblGenre[Genre],GenreFilter)&gt;0)),1,0)</f>
        <v/>
      </c>
    </row>
    <row r="698" ht="15" customHeight="1" s="20">
      <c r="A698" s="19" t="inlineStr">
        <is>
          <t>s6073</t>
        </is>
      </c>
      <c r="B698" s="19" t="inlineStr">
        <is>
          <t>Movie</t>
        </is>
      </c>
      <c r="C698" s="19" t="inlineStr">
        <is>
          <t>Aajcha Divas Majha</t>
        </is>
      </c>
      <c r="D698" s="19" t="inlineStr">
        <is>
          <t>Chandrakant Kulkarni</t>
        </is>
      </c>
      <c r="E698" s="19" t="inlineStr">
        <is>
          <t>Sachin Khedekar, Ashwini Bhave, Mahesh Manjrekar, Hrishikesh Joshi, Satish Alekar, Sunil Tawde, Pushkar Shrotri, Anand Ingle</t>
        </is>
      </c>
      <c r="F698" s="19" t="inlineStr">
        <is>
          <t>India</t>
        </is>
      </c>
      <c r="G698" s="19" t="inlineStr">
        <is>
          <t>2018-01-01</t>
        </is>
      </c>
      <c r="H698" s="19" t="n">
        <v>2013</v>
      </c>
      <c r="I698" s="19" t="inlineStr">
        <is>
          <t>TV-PG</t>
        </is>
      </c>
      <c r="J698" s="19" t="inlineStr">
        <is>
          <t>126 min</t>
        </is>
      </c>
      <c r="K698" s="19" t="inlineStr">
        <is>
          <t>Comedies, Dramas, International Movies</t>
        </is>
      </c>
      <c r="L698" s="19" t="inlineStr">
        <is>
          <t>A conscientious politician helps an elderly singer overcome the obstacles placed in his path a by a powerful bureaucracy.</t>
        </is>
      </c>
      <c r="M698" s="19" t="n">
        <v>2018</v>
      </c>
      <c r="N698" s="19">
        <f>IF(AND(OR(YearFilter="All",$M698=YearFilter),OR(RatingFilter="All",$I698=RatingFilter),OR(TypeFilter="All",$B698=TypeFilter),OR(GenreFilter="All",COUNTIFS(tblGenre[show_id],$A698,tblGenre[Genre],GenreFilter)&gt;0)),1,0)</f>
        <v/>
      </c>
    </row>
    <row r="699" ht="15" customHeight="1" s="20">
      <c r="A699" s="19" t="inlineStr">
        <is>
          <t>s6074</t>
        </is>
      </c>
      <c r="B699" s="19" t="inlineStr">
        <is>
          <t>Movie</t>
        </is>
      </c>
      <c r="C699" s="19" t="inlineStr">
        <is>
          <t>Aarakshan</t>
        </is>
      </c>
      <c r="D699" s="19" t="inlineStr">
        <is>
          <t>Prakash Jha</t>
        </is>
      </c>
      <c r="E699" s="19" t="inlineStr">
        <is>
          <t>Amitabh Bachchan, Saif Ali Khan, Manoj Bajpayee, Deepika Padukone, Prateik, Tanvi Azmi, Saurabh Shukla, Darshan Jariwala, Yashpal Sharma, Mukesh Tiwari</t>
        </is>
      </c>
      <c r="F699" s="19" t="inlineStr">
        <is>
          <t>India</t>
        </is>
      </c>
      <c r="G699" s="19" t="inlineStr">
        <is>
          <t>2019-12-31</t>
        </is>
      </c>
      <c r="H699" s="19" t="n">
        <v>2011</v>
      </c>
      <c r="I699" s="19" t="inlineStr">
        <is>
          <t>TV-14</t>
        </is>
      </c>
      <c r="J699" s="19" t="inlineStr">
        <is>
          <t>164 min</t>
        </is>
      </c>
      <c r="K699" s="19" t="inlineStr">
        <is>
          <t>Dramas, International Movies</t>
        </is>
      </c>
      <c r="L699" s="19" t="inlineStr">
        <is>
          <t>The decision by India's supreme court to establish caste-based reservations for jobs in education causes conflict between a teacher and his mentor.</t>
        </is>
      </c>
      <c r="M699" s="19" t="n">
        <v>2019</v>
      </c>
      <c r="N699" s="19">
        <f>IF(AND(OR(YearFilter="All",$M699=YearFilter),OR(RatingFilter="All",$I699=RatingFilter),OR(TypeFilter="All",$B699=TypeFilter),OR(GenreFilter="All",COUNTIFS(tblGenre[show_id],$A699,tblGenre[Genre],GenreFilter)&gt;0)),1,0)</f>
        <v/>
      </c>
    </row>
    <row r="700" ht="15" customHeight="1" s="20">
      <c r="A700" s="19" t="inlineStr">
        <is>
          <t>s6075</t>
        </is>
      </c>
      <c r="B700" s="19" t="inlineStr">
        <is>
          <t>Movie</t>
        </is>
      </c>
      <c r="C700" s="19" t="inlineStr">
        <is>
          <t>Aashayein</t>
        </is>
      </c>
      <c r="D700" s="19" t="inlineStr">
        <is>
          <t>Nagesh Kukunoor</t>
        </is>
      </c>
      <c r="E700" s="19" t="inlineStr">
        <is>
          <t>John Abraham, Sonal Sehgal, Prateeksha Lonkar, Girish Karnad, Farida Jalal, Ashwin Chitale, Anaitha Nair, Vikram Inamdar, Vipin Bhali, Poonam Chitale, Nagesh Kukunoor</t>
        </is>
      </c>
      <c r="F700" s="19" t="inlineStr">
        <is>
          <t>India</t>
        </is>
      </c>
      <c r="G700" s="19" t="inlineStr">
        <is>
          <t>2017-10-22</t>
        </is>
      </c>
      <c r="H700" s="19" t="n">
        <v>2010</v>
      </c>
      <c r="I700" s="19" t="inlineStr">
        <is>
          <t>TV-14</t>
        </is>
      </c>
      <c r="J700" s="19" t="inlineStr">
        <is>
          <t>115 min</t>
        </is>
      </c>
      <c r="K700" s="19" t="inlineStr">
        <is>
          <t>Dramas, International Movies</t>
        </is>
      </c>
      <c r="L700" s="19" t="inlineStr">
        <is>
          <t>When he learns he has terminal cancer, a cynical gambler and chronic smoker ditches his fiancée, snubs doctors and checks into a nursing home to die.</t>
        </is>
      </c>
      <c r="M700" s="19" t="n">
        <v>2017</v>
      </c>
      <c r="N700" s="19">
        <f>IF(AND(OR(YearFilter="All",$M700=YearFilter),OR(RatingFilter="All",$I700=RatingFilter),OR(TypeFilter="All",$B700=TypeFilter),OR(GenreFilter="All",COUNTIFS(tblGenre[show_id],$A700,tblGenre[Genre],GenreFilter)&gt;0)),1,0)</f>
        <v/>
      </c>
    </row>
    <row r="701" ht="15" customHeight="1" s="20">
      <c r="A701" s="19" t="inlineStr">
        <is>
          <t>s6076</t>
        </is>
      </c>
      <c r="B701" s="19" t="inlineStr">
        <is>
          <t>Movie</t>
        </is>
      </c>
      <c r="C701" s="19" t="inlineStr">
        <is>
          <t>Aata Pita</t>
        </is>
      </c>
      <c r="D701" s="19" t="inlineStr">
        <is>
          <t>Uttung Shelar</t>
        </is>
      </c>
      <c r="E701" s="19" t="inlineStr">
        <is>
          <t>Sanjay Narvekar, Bharat Jadhav, Satish Phulekar, Ashwini Apte</t>
        </is>
      </c>
      <c r="F701" s="19" t="inlineStr">
        <is>
          <t>India</t>
        </is>
      </c>
      <c r="G701" s="19" t="inlineStr">
        <is>
          <t>2018-01-01</t>
        </is>
      </c>
      <c r="H701" s="19" t="n">
        <v>2010</v>
      </c>
      <c r="I701" s="19" t="inlineStr">
        <is>
          <t>TV-14</t>
        </is>
      </c>
      <c r="J701" s="19" t="inlineStr">
        <is>
          <t>133 min</t>
        </is>
      </c>
      <c r="K701" s="19" t="inlineStr">
        <is>
          <t>Comedies, Dramas, International Movies</t>
        </is>
      </c>
      <c r="L701" s="19" t="inlineStr">
        <is>
          <t>A municipal clerk with literary ambitions stalks a loan recovery officer on whom he has decided to base his story's central character.</t>
        </is>
      </c>
      <c r="M701" s="19" t="n">
        <v>2018</v>
      </c>
      <c r="N701" s="19">
        <f>IF(AND(OR(YearFilter="All",$M701=YearFilter),OR(RatingFilter="All",$I701=RatingFilter),OR(TypeFilter="All",$B701=TypeFilter),OR(GenreFilter="All",COUNTIFS(tblGenre[show_id],$A701,tblGenre[Genre],GenreFilter)&gt;0)),1,0)</f>
        <v/>
      </c>
    </row>
    <row r="702" ht="15" customHeight="1" s="20">
      <c r="A702" s="19" t="inlineStr">
        <is>
          <t>s6077</t>
        </is>
      </c>
      <c r="B702" s="19" t="inlineStr">
        <is>
          <t>Movie</t>
        </is>
      </c>
      <c r="C702" s="19" t="inlineStr">
        <is>
          <t>Abby Sen</t>
        </is>
      </c>
      <c r="D702" s="19" t="inlineStr">
        <is>
          <t>Atanu Ghosh</t>
        </is>
      </c>
      <c r="E702" s="19" t="inlineStr">
        <is>
          <t>Abir Chatterjee, Raima Sen, Arunima Ghosh, Priyanka Sarkar, Sujan Mukherjee, Kanchan Mullick, Biswanath Basu, Bhaswar Chatterjee, Swagata Basu, Tuhin Mitra, Paran Banerjee, Kharaj Mukherjee, Chiranjit</t>
        </is>
      </c>
      <c r="F702" s="19" t="inlineStr">
        <is>
          <t>India</t>
        </is>
      </c>
      <c r="G702" s="19" t="inlineStr">
        <is>
          <t>2017-05-01</t>
        </is>
      </c>
      <c r="H702" s="19" t="n">
        <v>2015</v>
      </c>
      <c r="I702" s="19" t="inlineStr">
        <is>
          <t>TV-PG</t>
        </is>
      </c>
      <c r="J702" s="19" t="inlineStr">
        <is>
          <t>127 min</t>
        </is>
      </c>
      <c r="K702" s="19" t="inlineStr">
        <is>
          <t>Comedies, Dramas, International Movies</t>
        </is>
      </c>
      <c r="L702" s="19" t="inlineStr">
        <is>
          <t>After losing his seventh job in a row, a TV producer and sci-fi buff travels back in time to 1980, where his employment prospects improve.</t>
        </is>
      </c>
      <c r="M702" s="19" t="n">
        <v>2017</v>
      </c>
      <c r="N702" s="19">
        <f>IF(AND(OR(YearFilter="All",$M702=YearFilter),OR(RatingFilter="All",$I702=RatingFilter),OR(TypeFilter="All",$B702=TypeFilter),OR(GenreFilter="All",COUNTIFS(tblGenre[show_id],$A702,tblGenre[Genre],GenreFilter)&gt;0)),1,0)</f>
        <v/>
      </c>
    </row>
    <row r="703" ht="15" customHeight="1" s="20">
      <c r="A703" s="19" t="inlineStr">
        <is>
          <t>s6079</t>
        </is>
      </c>
      <c r="B703" s="19" t="inlineStr">
        <is>
          <t>Movie</t>
        </is>
      </c>
      <c r="C703" s="19" t="inlineStr">
        <is>
          <t>Abhinetri</t>
        </is>
      </c>
      <c r="D703" s="19" t="inlineStr">
        <is>
          <t>A. L. Vijay</t>
        </is>
      </c>
      <c r="E703" s="19" t="inlineStr">
        <is>
          <t>Tamannaah Bhatia, Prabhu Deva, Sonu Sood, Sapthagiri, Murli Sharma, R.V. Udhaykumar, Joy Mathew, Hema</t>
        </is>
      </c>
      <c r="F703" s="19" t="inlineStr">
        <is>
          <t>India</t>
        </is>
      </c>
      <c r="G703" s="19" t="inlineStr">
        <is>
          <t>2018-05-01</t>
        </is>
      </c>
      <c r="H703" s="19" t="n">
        <v>2016</v>
      </c>
      <c r="I703" s="19" t="inlineStr">
        <is>
          <t>TV-14</t>
        </is>
      </c>
      <c r="J703" s="19" t="inlineStr">
        <is>
          <t>131 min</t>
        </is>
      </c>
      <c r="K703" s="19" t="inlineStr">
        <is>
          <t>Comedies, International Movies, Sci-Fi &amp; Fantasy</t>
        </is>
      </c>
      <c r="L703" s="19" t="inlineStr">
        <is>
          <t>Due to family pressure, a corporate man reluctantly marries a woman from the village, but in their new home, she abruptly assumes a different persona.</t>
        </is>
      </c>
      <c r="M703" s="19" t="n">
        <v>2018</v>
      </c>
      <c r="N703" s="19">
        <f>IF(AND(OR(YearFilter="All",$M703=YearFilter),OR(RatingFilter="All",$I703=RatingFilter),OR(TypeFilter="All",$B703=TypeFilter),OR(GenreFilter="All",COUNTIFS(tblGenre[show_id],$A703,tblGenre[Genre],GenreFilter)&gt;0)),1,0)</f>
        <v/>
      </c>
    </row>
    <row r="704" ht="15" customHeight="1" s="20">
      <c r="A704" s="19" t="inlineStr">
        <is>
          <t>s6093</t>
        </is>
      </c>
      <c r="B704" s="19" t="inlineStr">
        <is>
          <t>Movie</t>
        </is>
      </c>
      <c r="C704" s="19" t="inlineStr">
        <is>
          <t>Adrishya</t>
        </is>
      </c>
      <c r="D704" s="19" t="inlineStr">
        <is>
          <t>Sandeep Chatterjee</t>
        </is>
      </c>
      <c r="E704" s="19" t="inlineStr">
        <is>
          <t>Ravi Kumar, Ayesha Singh, Nishat Mallick, Archana Kotwal, Rakesh Chaturvedi Om, Nidhi Mahavan, Abhijit Sinha, Abdur Rehman</t>
        </is>
      </c>
      <c r="F704" s="19" t="inlineStr">
        <is>
          <t>India</t>
        </is>
      </c>
      <c r="G704" s="19" t="inlineStr">
        <is>
          <t>2019-12-31</t>
        </is>
      </c>
      <c r="H704" s="19" t="n">
        <v>2017</v>
      </c>
      <c r="I704" s="19" t="inlineStr">
        <is>
          <t>TV-14</t>
        </is>
      </c>
      <c r="J704" s="19" t="inlineStr">
        <is>
          <t>99 min</t>
        </is>
      </c>
      <c r="K704" s="19" t="inlineStr">
        <is>
          <t>Horror Movies, Independent Movies, International Movies</t>
        </is>
      </c>
      <c r="L704" s="19" t="inlineStr">
        <is>
          <t>A family’s harmonious existence is interrupted when the young son begins showing symptoms of anxiety that seem linked to disturbing events at home.</t>
        </is>
      </c>
      <c r="M704" s="19" t="n">
        <v>2019</v>
      </c>
      <c r="N704" s="19">
        <f>IF(AND(OR(YearFilter="All",$M704=YearFilter),OR(RatingFilter="All",$I704=RatingFilter),OR(TypeFilter="All",$B704=TypeFilter),OR(GenreFilter="All",COUNTIFS(tblGenre[show_id],$A704,tblGenre[Genre],GenreFilter)&gt;0)),1,0)</f>
        <v/>
      </c>
    </row>
    <row r="705" ht="15" customHeight="1" s="20">
      <c r="A705" s="19" t="inlineStr">
        <is>
          <t>s6103</t>
        </is>
      </c>
      <c r="B705" s="19" t="inlineStr">
        <is>
          <t>TV Show</t>
        </is>
      </c>
      <c r="C705" s="19" t="inlineStr">
        <is>
          <t>Agent Raghav</t>
        </is>
      </c>
      <c r="E705" s="19" t="inlineStr">
        <is>
          <t>Sharad Kelkar, Aahana Kumra, Mahesh Manjrekar, Deepali Pansare, Danish Pandor, Jason Tham, Reena Aggarwal, Swati Rajput</t>
        </is>
      </c>
      <c r="F705" s="19" t="inlineStr">
        <is>
          <t>India</t>
        </is>
      </c>
      <c r="G705" s="19" t="inlineStr">
        <is>
          <t>2017-04-15</t>
        </is>
      </c>
      <c r="H705" s="19" t="n">
        <v>2015</v>
      </c>
      <c r="I705" s="19" t="inlineStr">
        <is>
          <t>TV-14</t>
        </is>
      </c>
      <c r="J705" s="19" t="inlineStr">
        <is>
          <t>1 Season</t>
        </is>
      </c>
      <c r="K705" s="19" t="inlineStr">
        <is>
          <t>Crime TV Shows, International TV Shows, TV Action &amp; Adventure</t>
        </is>
      </c>
      <c r="L705" s="19" t="inlineStr">
        <is>
          <t>A mix of brilliance, erudition and skill enables a modern Sherlock Holmes to solve impossible cases, all while he tries to heal personal wounds.</t>
        </is>
      </c>
      <c r="M705" s="19" t="n">
        <v>2017</v>
      </c>
      <c r="N705" s="19">
        <f>IF(AND(OR(YearFilter="All",$M705=YearFilter),OR(RatingFilter="All",$I705=RatingFilter),OR(TypeFilter="All",$B705=TypeFilter),OR(GenreFilter="All",COUNTIFS(tblGenre[show_id],$A705,tblGenre[Genre],GenreFilter)&gt;0)),1,0)</f>
        <v/>
      </c>
    </row>
    <row r="706" ht="15" customHeight="1" s="20">
      <c r="A706" s="19" t="inlineStr">
        <is>
          <t>s6104</t>
        </is>
      </c>
      <c r="B706" s="19" t="inlineStr">
        <is>
          <t>Movie</t>
        </is>
      </c>
      <c r="C706" s="19" t="inlineStr">
        <is>
          <t>Ahista Ahista</t>
        </is>
      </c>
      <c r="D706" s="19" t="inlineStr">
        <is>
          <t>Shivam Nair</t>
        </is>
      </c>
      <c r="E706" s="19" t="inlineStr">
        <is>
          <t>Abhay Deol, Soha Ali Khan, Shayan Munshi, Kamini Khanna, Sohrab Ardeshir, Murad Ali, Shakeel Khan, Natasha Sinha, Brijendra Kala</t>
        </is>
      </c>
      <c r="F706" s="19" t="inlineStr">
        <is>
          <t>India</t>
        </is>
      </c>
      <c r="G706" s="19" t="inlineStr">
        <is>
          <t>2019-12-31</t>
        </is>
      </c>
      <c r="H706" s="19" t="n">
        <v>2006</v>
      </c>
      <c r="I706" s="19" t="inlineStr">
        <is>
          <t>TV-14</t>
        </is>
      </c>
      <c r="J706" s="19" t="inlineStr">
        <is>
          <t>122 min</t>
        </is>
      </c>
      <c r="K706" s="19" t="inlineStr">
        <is>
          <t>Dramas, International Movies, Romantic Movies</t>
        </is>
      </c>
      <c r="L706" s="19" t="inlineStr">
        <is>
          <t>Stood up by her groom at the altar, a young woman finds help and healing from another man – until her ex-fiancé returns, hoping to win her back.</t>
        </is>
      </c>
      <c r="M706" s="19" t="n">
        <v>2019</v>
      </c>
      <c r="N706" s="19">
        <f>IF(AND(OR(YearFilter="All",$M706=YearFilter),OR(RatingFilter="All",$I706=RatingFilter),OR(TypeFilter="All",$B706=TypeFilter),OR(GenreFilter="All",COUNTIFS(tblGenre[show_id],$A706,tblGenre[Genre],GenreFilter)&gt;0)),1,0)</f>
        <v/>
      </c>
    </row>
    <row r="707" ht="15" customHeight="1" s="20">
      <c r="A707" s="19" t="inlineStr">
        <is>
          <t>s6107</t>
        </is>
      </c>
      <c r="B707" s="19" t="inlineStr">
        <is>
          <t>Movie</t>
        </is>
      </c>
      <c r="C707" s="19" t="inlineStr">
        <is>
          <t>Aisa Yeh Jahaan</t>
        </is>
      </c>
      <c r="D707" s="19" t="inlineStr">
        <is>
          <t>Biswajeet Bora</t>
        </is>
      </c>
      <c r="E707" s="19" t="inlineStr">
        <is>
          <t>Palash Sen, Ira Dubey, Yashpal Sharma, Tinnu Anand, Prisha Dabbas, Kymsleen Kholie, Satish Sharma</t>
        </is>
      </c>
      <c r="F707" s="19" t="inlineStr">
        <is>
          <t>India</t>
        </is>
      </c>
      <c r="G707" s="19" t="inlineStr">
        <is>
          <t>2017-10-15</t>
        </is>
      </c>
      <c r="H707" s="19" t="n">
        <v>2015</v>
      </c>
      <c r="I707" s="19" t="inlineStr">
        <is>
          <t>TV-14</t>
        </is>
      </c>
      <c r="J707" s="19" t="inlineStr">
        <is>
          <t>127 min</t>
        </is>
      </c>
      <c r="K707" s="19" t="inlineStr">
        <is>
          <t>Dramas, Independent Movies, International Movies</t>
        </is>
      </c>
      <c r="L707" s="19" t="inlineStr">
        <is>
          <t>During a vacation with her parents, away from her concrete urban existence, a young girl learns to appreciate the joys of connecting with nature.</t>
        </is>
      </c>
      <c r="M707" s="19" t="n">
        <v>2017</v>
      </c>
      <c r="N707" s="19">
        <f>IF(AND(OR(YearFilter="All",$M707=YearFilter),OR(RatingFilter="All",$I707=RatingFilter),OR(TypeFilter="All",$B707=TypeFilter),OR(GenreFilter="All",COUNTIFS(tblGenre[show_id],$A707,tblGenre[Genre],GenreFilter)&gt;0)),1,0)</f>
        <v/>
      </c>
    </row>
    <row r="708" ht="15" customHeight="1" s="20">
      <c r="A708" s="19" t="inlineStr">
        <is>
          <t>s6108</t>
        </is>
      </c>
      <c r="B708" s="19" t="inlineStr">
        <is>
          <t>Movie</t>
        </is>
      </c>
      <c r="C708" s="19" t="inlineStr">
        <is>
          <t>Aitraaz</t>
        </is>
      </c>
      <c r="D708" s="19" t="inlineStr">
        <is>
          <t>Abbas Alibhai Burmawalla, Mastan Alibhai Burmawalla</t>
        </is>
      </c>
      <c r="E708" s="19" t="inlineStr">
        <is>
          <t>Akshay Kumar, Kareena Kapoor, Priyanka Chopra, Amrish Puri, Paresh Rawal, Annu Kapoor</t>
        </is>
      </c>
      <c r="F708" s="19" t="inlineStr">
        <is>
          <t>India</t>
        </is>
      </c>
      <c r="G708" s="19" t="inlineStr">
        <is>
          <t>2018-03-01</t>
        </is>
      </c>
      <c r="H708" s="19" t="n">
        <v>2004</v>
      </c>
      <c r="I708" s="19" t="inlineStr">
        <is>
          <t>TV-14</t>
        </is>
      </c>
      <c r="J708" s="19" t="inlineStr">
        <is>
          <t>153 min</t>
        </is>
      </c>
      <c r="K708" s="19" t="inlineStr">
        <is>
          <t>International Movies, Music &amp; Musicals, Romantic Movies</t>
        </is>
      </c>
      <c r="L708" s="19" t="inlineStr">
        <is>
          <t>A happily married business executive is forced to deal with an episode from his past that he had long thought was put behind him.</t>
        </is>
      </c>
      <c r="M708" s="19" t="n">
        <v>2018</v>
      </c>
      <c r="N708" s="19">
        <f>IF(AND(OR(YearFilter="All",$M708=YearFilter),OR(RatingFilter="All",$I708=RatingFilter),OR(TypeFilter="All",$B708=TypeFilter),OR(GenreFilter="All",COUNTIFS(tblGenre[show_id],$A708,tblGenre[Genre],GenreFilter)&gt;0)),1,0)</f>
        <v/>
      </c>
    </row>
    <row r="709" ht="15" customHeight="1" s="20">
      <c r="A709" s="19" t="inlineStr">
        <is>
          <t>s6126</t>
        </is>
      </c>
      <c r="B709" s="19" t="inlineStr">
        <is>
          <t>Movie</t>
        </is>
      </c>
      <c r="C709" s="19" t="inlineStr">
        <is>
          <t>Alpha and Omega: The Legend of the Saw Tooth Cave</t>
        </is>
      </c>
      <c r="D709" s="19" t="inlineStr">
        <is>
          <t>Richard Rich</t>
        </is>
      </c>
      <c r="E709" s="19" t="inlineStr">
        <is>
          <t>Debi Derryberry, Ben Diskin, Kate Higgins, Lindsay Torrance, Larry Thomas, Bill Lader, Cindy Robinson</t>
        </is>
      </c>
      <c r="F709" s="19" t="inlineStr">
        <is>
          <t>United States, India</t>
        </is>
      </c>
      <c r="G709" s="19" t="inlineStr">
        <is>
          <t>2020-01-01</t>
        </is>
      </c>
      <c r="H709" s="19" t="n">
        <v>2014</v>
      </c>
      <c r="I709" s="19" t="inlineStr">
        <is>
          <t>TV-Y7</t>
        </is>
      </c>
      <c r="J709" s="19" t="inlineStr">
        <is>
          <t>45 min</t>
        </is>
      </c>
      <c r="K709" s="19" t="inlineStr">
        <is>
          <t>Children &amp; Family Movies</t>
        </is>
      </c>
      <c r="L709" s="19" t="inlineStr">
        <is>
          <t>When a wolf pup named Runt sneaks off to explore a mysterious cave, he meets and befriends a wolf driven from her pack because she's blind.</t>
        </is>
      </c>
      <c r="M709" s="19" t="n">
        <v>2020</v>
      </c>
      <c r="N709" s="19">
        <f>IF(AND(OR(YearFilter="All",$M709=YearFilter),OR(RatingFilter="All",$I709=RatingFilter),OR(TypeFilter="All",$B709=TypeFilter),OR(GenreFilter="All",COUNTIFS(tblGenre[show_id],$A709,tblGenre[Genre],GenreFilter)&gt;0)),1,0)</f>
        <v/>
      </c>
    </row>
    <row r="710" ht="15" customHeight="1" s="20">
      <c r="A710" s="19" t="inlineStr">
        <is>
          <t>s6131</t>
        </is>
      </c>
      <c r="B710" s="19" t="inlineStr">
        <is>
          <t>Movie</t>
        </is>
      </c>
      <c r="C710" s="19" t="inlineStr">
        <is>
          <t>Amar Akbar Anthony</t>
        </is>
      </c>
      <c r="D710" s="19" t="inlineStr">
        <is>
          <t>Manmohan Desai</t>
        </is>
      </c>
      <c r="E710" s="19" t="inlineStr">
        <is>
          <t>Vinod Khanna, Rishi Kapoor, Amitabh Bachchan, Neetu Singh, Parveen Babi, Shabana Azmi, Nirupa Roy, Pran</t>
        </is>
      </c>
      <c r="F710" s="19" t="inlineStr">
        <is>
          <t>India</t>
        </is>
      </c>
      <c r="G710" s="19" t="inlineStr">
        <is>
          <t>2019-12-31</t>
        </is>
      </c>
      <c r="H710" s="19" t="n">
        <v>1977</v>
      </c>
      <c r="I710" s="19" t="inlineStr">
        <is>
          <t>TV-14</t>
        </is>
      </c>
      <c r="J710" s="19" t="inlineStr">
        <is>
          <t>172 min</t>
        </is>
      </c>
      <c r="K710" s="19" t="inlineStr">
        <is>
          <t>Action &amp; Adventure, Classic Movies, Comedies</t>
        </is>
      </c>
      <c r="L710" s="19" t="inlineStr">
        <is>
          <t>Abandoned in a park by their father, Amar, Akbar and Anthony grow up independently and have no knowledge of one another. They're reunited as adults when, by coincidence, they all give blood at the same hospital.</t>
        </is>
      </c>
      <c r="M710" s="19" t="n">
        <v>2019</v>
      </c>
      <c r="N710" s="19">
        <f>IF(AND(OR(YearFilter="All",$M710=YearFilter),OR(RatingFilter="All",$I710=RatingFilter),OR(TypeFilter="All",$B710=TypeFilter),OR(GenreFilter="All",COUNTIFS(tblGenre[show_id],$A710,tblGenre[Genre],GenreFilter)&gt;0)),1,0)</f>
        <v/>
      </c>
    </row>
    <row r="711" ht="15" customHeight="1" s="20">
      <c r="A711" s="19" t="inlineStr">
        <is>
          <t>s6151</t>
        </is>
      </c>
      <c r="B711" s="19" t="inlineStr">
        <is>
          <t>Movie</t>
        </is>
      </c>
      <c r="C711" s="19" t="inlineStr">
        <is>
          <t>An American in Madras</t>
        </is>
      </c>
      <c r="D711" s="19" t="inlineStr">
        <is>
          <t>Karan Bali</t>
        </is>
      </c>
      <c r="F711" s="19" t="inlineStr">
        <is>
          <t>India</t>
        </is>
      </c>
      <c r="G711" s="19" t="inlineStr">
        <is>
          <t>2017-01-01</t>
        </is>
      </c>
      <c r="H711" s="19" t="n">
        <v>2013</v>
      </c>
      <c r="I711" s="19" t="inlineStr">
        <is>
          <t>TV-PG</t>
        </is>
      </c>
      <c r="J711" s="19" t="inlineStr">
        <is>
          <t>80 min</t>
        </is>
      </c>
      <c r="K711" s="19" t="inlineStr">
        <is>
          <t>Documentaries, International Movies</t>
        </is>
      </c>
      <c r="L711" s="19" t="inlineStr">
        <is>
          <t>Extensive film clips and interviews tell the story of American filmmaker Ellis R. Dungan, who spent 15 years in India and helped define Tamil cinema.</t>
        </is>
      </c>
      <c r="M711" s="19" t="n">
        <v>2017</v>
      </c>
      <c r="N711" s="19">
        <f>IF(AND(OR(YearFilter="All",$M711=YearFilter),OR(RatingFilter="All",$I711=RatingFilter),OR(TypeFilter="All",$B711=TypeFilter),OR(GenreFilter="All",COUNTIFS(tblGenre[show_id],$A711,tblGenre[Genre],GenreFilter)&gt;0)),1,0)</f>
        <v/>
      </c>
    </row>
    <row r="712" ht="15" customHeight="1" s="20">
      <c r="A712" s="19" t="inlineStr">
        <is>
          <t>s6160</t>
        </is>
      </c>
      <c r="B712" s="19" t="inlineStr">
        <is>
          <t>Movie</t>
        </is>
      </c>
      <c r="C712" s="19" t="inlineStr">
        <is>
          <t>Anarkali of Aarah</t>
        </is>
      </c>
      <c r="D712" s="19" t="inlineStr">
        <is>
          <t>Avinash Das</t>
        </is>
      </c>
      <c r="E712" s="19" t="inlineStr">
        <is>
          <t>Swara Bhaskar, Sanjay Mishra, Vijay Kumar, Pankaj Tripathi, Mayur More, Ishtiyak Khan</t>
        </is>
      </c>
      <c r="F712" s="19" t="inlineStr">
        <is>
          <t>India</t>
        </is>
      </c>
      <c r="G712" s="19" t="inlineStr">
        <is>
          <t>2017-08-01</t>
        </is>
      </c>
      <c r="H712" s="19" t="n">
        <v>2017</v>
      </c>
      <c r="I712" s="19" t="inlineStr">
        <is>
          <t>TV-MA</t>
        </is>
      </c>
      <c r="J712" s="19" t="inlineStr">
        <is>
          <t>111 min</t>
        </is>
      </c>
      <c r="K712" s="19" t="inlineStr">
        <is>
          <t>Dramas, Independent Movies, International Movies</t>
        </is>
      </c>
      <c r="L712" s="19" t="inlineStr">
        <is>
          <t>After being sexually harassed by a drunken politician while performing at a public event, a village dancer plots revenge to clear her name.</t>
        </is>
      </c>
      <c r="M712" s="19" t="n">
        <v>2017</v>
      </c>
      <c r="N712" s="19">
        <f>IF(AND(OR(YearFilter="All",$M712=YearFilter),OR(RatingFilter="All",$I712=RatingFilter),OR(TypeFilter="All",$B712=TypeFilter),OR(GenreFilter="All",COUNTIFS(tblGenre[show_id],$A712,tblGenre[Genre],GenreFilter)&gt;0)),1,0)</f>
        <v/>
      </c>
    </row>
    <row r="713" ht="15" customHeight="1" s="20">
      <c r="A713" s="19" t="inlineStr">
        <is>
          <t>s6166</t>
        </is>
      </c>
      <c r="B713" s="19" t="inlineStr">
        <is>
          <t>Movie</t>
        </is>
      </c>
      <c r="C713" s="19" t="inlineStr">
        <is>
          <t>Angry Indian Goddesses</t>
        </is>
      </c>
      <c r="D713" s="19" t="inlineStr">
        <is>
          <t>Pan Nalin</t>
        </is>
      </c>
      <c r="E713" s="19" t="inlineStr">
        <is>
          <t>Amrit Maghera, Rajshri Deshpande, Pavleen Gujral, Anushka Manchanda, Sandhya Mridul, Sarah-Jane Dias, Tannishtha Chatterjee, Adil Hussain, Arjun Mathur, Anuj Choudhry</t>
        </is>
      </c>
      <c r="F713" s="19" t="inlineStr">
        <is>
          <t>India, Germany</t>
        </is>
      </c>
      <c r="G713" s="19" t="inlineStr">
        <is>
          <t>2017-03-14</t>
        </is>
      </c>
      <c r="H713" s="19" t="n">
        <v>2015</v>
      </c>
      <c r="I713" s="19" t="inlineStr">
        <is>
          <t>TV-MA</t>
        </is>
      </c>
      <c r="J713" s="19" t="inlineStr">
        <is>
          <t>104 min</t>
        </is>
      </c>
      <c r="K713" s="19" t="inlineStr">
        <is>
          <t>Dramas, Independent Movies, International Movies</t>
        </is>
      </c>
      <c r="L713" s="19" t="inlineStr">
        <is>
          <t>A photographer invites a close-knit group of female pals to her Goa home to announce her engagement, which stirs up a riot of emotion in all of them.</t>
        </is>
      </c>
      <c r="M713" s="19" t="n">
        <v>2017</v>
      </c>
      <c r="N713" s="19">
        <f>IF(AND(OR(YearFilter="All",$M713=YearFilter),OR(RatingFilter="All",$I713=RatingFilter),OR(TypeFilter="All",$B713=TypeFilter),OR(GenreFilter="All",COUNTIFS(tblGenre[show_id],$A713,tblGenre[Genre],GenreFilter)&gt;0)),1,0)</f>
        <v/>
      </c>
    </row>
    <row r="714" ht="15" customHeight="1" s="20">
      <c r="A714" s="19" t="inlineStr">
        <is>
          <t>s6167</t>
        </is>
      </c>
      <c r="B714" s="19" t="inlineStr">
        <is>
          <t>TV Show</t>
        </is>
      </c>
      <c r="C714" s="19" t="inlineStr">
        <is>
          <t>Anjaan: Rural Myths</t>
        </is>
      </c>
      <c r="F714" s="19" t="inlineStr">
        <is>
          <t>India</t>
        </is>
      </c>
      <c r="G714" s="19" t="inlineStr">
        <is>
          <t>2018-12-15</t>
        </is>
      </c>
      <c r="H714" s="19" t="n">
        <v>2018</v>
      </c>
      <c r="I714" s="19" t="inlineStr">
        <is>
          <t>TV-14</t>
        </is>
      </c>
      <c r="J714" s="19" t="inlineStr">
        <is>
          <t>1 Season</t>
        </is>
      </c>
      <c r="K714" s="19" t="inlineStr">
        <is>
          <t>International TV Shows, TV Horror, TV Thrillers</t>
        </is>
      </c>
      <c r="L714" s="19" t="inlineStr">
        <is>
          <t>Spine-chilling stories of malevolent spirits unfold in villages, jungles and haunted buildings across India.</t>
        </is>
      </c>
      <c r="M714" s="19" t="n">
        <v>2018</v>
      </c>
      <c r="N714" s="19">
        <f>IF(AND(OR(YearFilter="All",$M714=YearFilter),OR(RatingFilter="All",$I714=RatingFilter),OR(TypeFilter="All",$B714=TypeFilter),OR(GenreFilter="All",COUNTIFS(tblGenre[show_id],$A714,tblGenre[Genre],GenreFilter)&gt;0)),1,0)</f>
        <v/>
      </c>
    </row>
    <row r="715" ht="15" customHeight="1" s="20">
      <c r="A715" s="19" t="inlineStr">
        <is>
          <t>s6168</t>
        </is>
      </c>
      <c r="B715" s="19" t="inlineStr">
        <is>
          <t>TV Show</t>
        </is>
      </c>
      <c r="C715" s="19" t="inlineStr">
        <is>
          <t>Anjaan: Special Crimes Unit</t>
        </is>
      </c>
      <c r="E715" s="19" t="inlineStr">
        <is>
          <t>Gashmeer Mahajani, Heena Parmar</t>
        </is>
      </c>
      <c r="F715" s="19" t="inlineStr">
        <is>
          <t>India</t>
        </is>
      </c>
      <c r="G715" s="19" t="inlineStr">
        <is>
          <t>2018-05-01</t>
        </is>
      </c>
      <c r="H715" s="19" t="n">
        <v>2018</v>
      </c>
      <c r="I715" s="19" t="inlineStr">
        <is>
          <t>TV-14</t>
        </is>
      </c>
      <c r="J715" s="19" t="inlineStr">
        <is>
          <t>1 Season</t>
        </is>
      </c>
      <c r="K715" s="19" t="inlineStr">
        <is>
          <t>International TV Shows, TV Horror, TV Mysteries</t>
        </is>
      </c>
      <c r="L715" s="19" t="inlineStr">
        <is>
          <t>The cases are supernatural; the police officers human. Together, cops Aditi and Vikrant must solve mysteries from the realm of the paranormal.</t>
        </is>
      </c>
      <c r="M715" s="19" t="n">
        <v>2018</v>
      </c>
      <c r="N715" s="19">
        <f>IF(AND(OR(YearFilter="All",$M715=YearFilter),OR(RatingFilter="All",$I715=RatingFilter),OR(TypeFilter="All",$B715=TypeFilter),OR(GenreFilter="All",COUNTIFS(tblGenre[show_id],$A715,tblGenre[Genre],GenreFilter)&gt;0)),1,0)</f>
        <v/>
      </c>
    </row>
    <row r="716" ht="15" customHeight="1" s="20">
      <c r="A716" s="19" t="inlineStr">
        <is>
          <t>s6169</t>
        </is>
      </c>
      <c r="B716" s="19" t="inlineStr">
        <is>
          <t>Movie</t>
        </is>
      </c>
      <c r="C716" s="19" t="inlineStr">
        <is>
          <t>Ankur Arora Murder Case</t>
        </is>
      </c>
      <c r="D716" s="19" t="inlineStr">
        <is>
          <t>Sohail Tatari</t>
        </is>
      </c>
      <c r="E716" s="19" t="inlineStr">
        <is>
          <t>Kay Kay Menon, Tisca Chopra, Arjun Mathur, Paoli Dam, Vishakha Singh, Manish Chaudhary, Vishesh Tiwari, Harsh Chhaya</t>
        </is>
      </c>
      <c r="F716" s="19" t="inlineStr">
        <is>
          <t>India</t>
        </is>
      </c>
      <c r="G716" s="19" t="inlineStr">
        <is>
          <t>2017-10-15</t>
        </is>
      </c>
      <c r="H716" s="19" t="n">
        <v>2013</v>
      </c>
      <c r="I716" s="19" t="inlineStr">
        <is>
          <t>TV-14</t>
        </is>
      </c>
      <c r="J716" s="19" t="inlineStr">
        <is>
          <t>127 min</t>
        </is>
      </c>
      <c r="K716" s="19" t="inlineStr">
        <is>
          <t>Dramas, International Movies, Thrillers</t>
        </is>
      </c>
      <c r="L716" s="19" t="inlineStr">
        <is>
          <t>A young medical intern sets out to fight for justice after the negligence of the surgeon he looked up to ends in tragedy.</t>
        </is>
      </c>
      <c r="M716" s="19" t="n">
        <v>2017</v>
      </c>
      <c r="N716" s="19">
        <f>IF(AND(OR(YearFilter="All",$M716=YearFilter),OR(RatingFilter="All",$I716=RatingFilter),OR(TypeFilter="All",$B716=TypeFilter),OR(GenreFilter="All",COUNTIFS(tblGenre[show_id],$A716,tblGenre[Genre],GenreFilter)&gt;0)),1,0)</f>
        <v/>
      </c>
    </row>
    <row r="717" ht="15" customHeight="1" s="20">
      <c r="A717" s="19" t="inlineStr">
        <is>
          <t>s6177</t>
        </is>
      </c>
      <c r="B717" s="19" t="inlineStr">
        <is>
          <t>Movie</t>
        </is>
      </c>
      <c r="C717" s="19" t="inlineStr">
        <is>
          <t>Anwar</t>
        </is>
      </c>
      <c r="D717" s="19" t="inlineStr">
        <is>
          <t>Manish Jha</t>
        </is>
      </c>
      <c r="E717" s="19" t="inlineStr">
        <is>
          <t>Siddharth Koirala, Nauheed Cyrusi, Manisha Koirala, Rajpal Yadav, Yashpal Sharma, Vijay Raaz, Hiten Tejwani, Sudhir Pandey, Sanjay Mishra, Lalit Tiwari</t>
        </is>
      </c>
      <c r="F717" s="19" t="inlineStr">
        <is>
          <t>India</t>
        </is>
      </c>
      <c r="G717" s="19" t="inlineStr">
        <is>
          <t>2019-12-31</t>
        </is>
      </c>
      <c r="H717" s="19" t="n">
        <v>2007</v>
      </c>
      <c r="I717" s="19" t="inlineStr">
        <is>
          <t>TV-14</t>
        </is>
      </c>
      <c r="J717" s="19" t="inlineStr">
        <is>
          <t>134 min</t>
        </is>
      </c>
      <c r="K717" s="19" t="inlineStr">
        <is>
          <t>Dramas, Independent Movies, International Movies</t>
        </is>
      </c>
      <c r="L717" s="19" t="inlineStr">
        <is>
          <t>Seeking refuge in a Hindu temple after the tragic death of the girl he loved, a Muslim youth is caught by the police, who mistake him for an enemy.</t>
        </is>
      </c>
      <c r="M717" s="19" t="n">
        <v>2019</v>
      </c>
      <c r="N717" s="19">
        <f>IF(AND(OR(YearFilter="All",$M717=YearFilter),OR(RatingFilter="All",$I717=RatingFilter),OR(TypeFilter="All",$B717=TypeFilter),OR(GenreFilter="All",COUNTIFS(tblGenre[show_id],$A717,tblGenre[Genre],GenreFilter)&gt;0)),1,0)</f>
        <v/>
      </c>
    </row>
    <row r="718" ht="15" customHeight="1" s="20">
      <c r="A718" s="19" t="inlineStr">
        <is>
          <t>s6203</t>
        </is>
      </c>
      <c r="B718" s="19" t="inlineStr">
        <is>
          <t>Movie</t>
        </is>
      </c>
      <c r="C718" s="19" t="inlineStr">
        <is>
          <t>Azhar</t>
        </is>
      </c>
      <c r="D718" s="19" t="inlineStr">
        <is>
          <t>Anthony D'Souza</t>
        </is>
      </c>
      <c r="E718" s="19" t="inlineStr">
        <is>
          <t>Emraan Hashmi, Prachi Desai, Nargis Fakhri, Lara Dutta, Kunaal Roy Kapur, Gautam Gulati, Anikie Maguire, Kulbhushan Kharbanda, Rajesh Sharma, Shernaz Patel, Veerendra Saxena</t>
        </is>
      </c>
      <c r="F718" s="19" t="inlineStr">
        <is>
          <t>India</t>
        </is>
      </c>
      <c r="G718" s="19" t="inlineStr">
        <is>
          <t>2019-04-12</t>
        </is>
      </c>
      <c r="H718" s="19" t="n">
        <v>2016</v>
      </c>
      <c r="I718" s="19" t="inlineStr">
        <is>
          <t>TV-14</t>
        </is>
      </c>
      <c r="J718" s="19" t="inlineStr">
        <is>
          <t>129 min</t>
        </is>
      </c>
      <c r="K718" s="19" t="inlineStr">
        <is>
          <t>Dramas, International Movies, Sports Movies</t>
        </is>
      </c>
      <c r="L718" s="19" t="inlineStr">
        <is>
          <t>This biopic traces the tumultuous life and career of top cricket player Mohammad Azharuddin, who led India's national team in the 1990s.</t>
        </is>
      </c>
      <c r="M718" s="19" t="n">
        <v>2019</v>
      </c>
      <c r="N718" s="19">
        <f>IF(AND(OR(YearFilter="All",$M718=YearFilter),OR(RatingFilter="All",$I718=RatingFilter),OR(TypeFilter="All",$B718=TypeFilter),OR(GenreFilter="All",COUNTIFS(tblGenre[show_id],$A718,tblGenre[Genre],GenreFilter)&gt;0)),1,0)</f>
        <v/>
      </c>
    </row>
    <row r="719" ht="15" customHeight="1" s="20">
      <c r="A719" s="19" t="inlineStr">
        <is>
          <t>s6204</t>
        </is>
      </c>
      <c r="B719" s="19" t="inlineStr">
        <is>
          <t>Movie</t>
        </is>
      </c>
      <c r="C719" s="19" t="inlineStr">
        <is>
          <t>B.A. Pass</t>
        </is>
      </c>
      <c r="D719" s="19" t="inlineStr">
        <is>
          <t>Ajay Bahl</t>
        </is>
      </c>
      <c r="E719" s="19" t="inlineStr">
        <is>
          <t>Shadab Kamal, Shilpa Shukla, Rajesh Sharma, Dibyendu Bhattacharya, Vijay Kaushik, Anula Navlekar, Happy Ranjit, Raveena Singh, Padam Mishra</t>
        </is>
      </c>
      <c r="F719" s="19" t="inlineStr">
        <is>
          <t>India</t>
        </is>
      </c>
      <c r="G719" s="19" t="inlineStr">
        <is>
          <t>2018-06-07</t>
        </is>
      </c>
      <c r="H719" s="19" t="n">
        <v>2013</v>
      </c>
      <c r="I719" s="19" t="inlineStr">
        <is>
          <t>TV-14</t>
        </is>
      </c>
      <c r="J719" s="19" t="inlineStr">
        <is>
          <t>99 min</t>
        </is>
      </c>
      <c r="K719" s="19" t="inlineStr">
        <is>
          <t>Dramas, Independent Movies, International Movies</t>
        </is>
      </c>
      <c r="L719" s="19" t="inlineStr">
        <is>
          <t>Orphaned and at loose ends, young Mukesh falls into the seductive orbit of married Sarika, who leads him ever deeper into a world of sex and betrayal.</t>
        </is>
      </c>
      <c r="M719" s="19" t="n">
        <v>2018</v>
      </c>
      <c r="N719" s="19">
        <f>IF(AND(OR(YearFilter="All",$M719=YearFilter),OR(RatingFilter="All",$I719=RatingFilter),OR(TypeFilter="All",$B719=TypeFilter),OR(GenreFilter="All",COUNTIFS(tblGenre[show_id],$A719,tblGenre[Genre],GenreFilter)&gt;0)),1,0)</f>
        <v/>
      </c>
    </row>
    <row r="720" ht="15" customHeight="1" s="20">
      <c r="A720" s="19" t="inlineStr">
        <is>
          <t>s6207</t>
        </is>
      </c>
      <c r="B720" s="19" t="inlineStr">
        <is>
          <t>Movie</t>
        </is>
      </c>
      <c r="C720" s="19" t="inlineStr">
        <is>
          <t>Bachelor Girls</t>
        </is>
      </c>
      <c r="D720" s="19" t="inlineStr">
        <is>
          <t>Shikha Makan</t>
        </is>
      </c>
      <c r="F720" s="19" t="inlineStr">
        <is>
          <t>India</t>
        </is>
      </c>
      <c r="G720" s="19" t="inlineStr">
        <is>
          <t>2018-03-01</t>
        </is>
      </c>
      <c r="H720" s="19" t="n">
        <v>2016</v>
      </c>
      <c r="I720" s="19" t="inlineStr">
        <is>
          <t>TV-MA</t>
        </is>
      </c>
      <c r="J720" s="19" t="inlineStr">
        <is>
          <t>61 min</t>
        </is>
      </c>
      <c r="K720" s="19" t="inlineStr">
        <is>
          <t>Documentaries, International Movies</t>
        </is>
      </c>
      <c r="L720" s="19" t="inlineStr">
        <is>
          <t>Through intimate interviews, this documentary explores the stigma facing independent women who seek housing in modern Mumbai.</t>
        </is>
      </c>
      <c r="M720" s="19" t="n">
        <v>2018</v>
      </c>
      <c r="N720" s="19">
        <f>IF(AND(OR(YearFilter="All",$M720=YearFilter),OR(RatingFilter="All",$I720=RatingFilter),OR(TypeFilter="All",$B720=TypeFilter),OR(GenreFilter="All",COUNTIFS(tblGenre[show_id],$A720,tblGenre[Genre],GenreFilter)&gt;0)),1,0)</f>
        <v/>
      </c>
    </row>
    <row r="721" ht="15" customHeight="1" s="20">
      <c r="A721" s="19" t="inlineStr">
        <is>
          <t>s6217</t>
        </is>
      </c>
      <c r="B721" s="19" t="inlineStr">
        <is>
          <t>TV Show</t>
        </is>
      </c>
      <c r="C721" s="19" t="inlineStr">
        <is>
          <t>Badalte Rishton Ki Dastaan</t>
        </is>
      </c>
      <c r="E721" s="19" t="inlineStr">
        <is>
          <t>Additi Gupta, Sanjeeda Sheikh, Kiran Karmarkar, Abhinav Shukla, Tanushree Kaushal, Mona Ambegaonkar</t>
        </is>
      </c>
      <c r="F721" s="19" t="inlineStr">
        <is>
          <t>India</t>
        </is>
      </c>
      <c r="G721" s="19" t="inlineStr">
        <is>
          <t>2017-04-01</t>
        </is>
      </c>
      <c r="H721" s="19" t="n">
        <v>2013</v>
      </c>
      <c r="I721" s="19" t="inlineStr">
        <is>
          <t>TV-14</t>
        </is>
      </c>
      <c r="J721" s="19" t="inlineStr">
        <is>
          <t>1 Season</t>
        </is>
      </c>
      <c r="K721" s="19" t="inlineStr">
        <is>
          <t>International TV Shows, TV Dramas</t>
        </is>
      </c>
      <c r="L721" s="19" t="inlineStr">
        <is>
          <t>When a man is killed, his wife and his lover – both of whom are pregnant with his children – come under the thumb of his brutal, dictatorial father.</t>
        </is>
      </c>
      <c r="M721" s="19" t="n">
        <v>2017</v>
      </c>
      <c r="N721" s="19">
        <f>IF(AND(OR(YearFilter="All",$M721=YearFilter),OR(RatingFilter="All",$I721=RatingFilter),OR(TypeFilter="All",$B721=TypeFilter),OR(GenreFilter="All",COUNTIFS(tblGenre[show_id],$A721,tblGenre[Genre],GenreFilter)&gt;0)),1,0)</f>
        <v/>
      </c>
    </row>
    <row r="722" ht="15" customHeight="1" s="20">
      <c r="A722" s="19" t="inlineStr">
        <is>
          <t>s6218</t>
        </is>
      </c>
      <c r="B722" s="19" t="inlineStr">
        <is>
          <t>Movie</t>
        </is>
      </c>
      <c r="C722" s="19" t="inlineStr">
        <is>
          <t>Badha</t>
        </is>
      </c>
      <c r="D722" s="19" t="inlineStr">
        <is>
          <t>Sumitra Bhave, Sunil Sukthankar</t>
        </is>
      </c>
      <c r="E722" s="19" t="inlineStr">
        <is>
          <t>Amruta Subhash, Rajesh More, Devika Daftardar, Renuka Daftardar, Uttara Baokar, Jyoti Subhash, Milind Shinde, Sachin Mondkar</t>
        </is>
      </c>
      <c r="F722" s="19" t="inlineStr">
        <is>
          <t>India</t>
        </is>
      </c>
      <c r="G722" s="19" t="inlineStr">
        <is>
          <t>2018-01-01</t>
        </is>
      </c>
      <c r="H722" s="19" t="n">
        <v>2006</v>
      </c>
      <c r="I722" s="19" t="inlineStr">
        <is>
          <t>TV-14</t>
        </is>
      </c>
      <c r="J722" s="19" t="inlineStr">
        <is>
          <t>91 min</t>
        </is>
      </c>
      <c r="K722" s="19" t="inlineStr">
        <is>
          <t>Dramas, International Movies</t>
        </is>
      </c>
      <c r="L722" s="19" t="inlineStr">
        <is>
          <t>A young woman who is suspected of practicing black magic and witchcraft is demonized and forced to live apart from her family.</t>
        </is>
      </c>
      <c r="M722" s="19" t="n">
        <v>2018</v>
      </c>
      <c r="N722" s="19">
        <f>IF(AND(OR(YearFilter="All",$M722=YearFilter),OR(RatingFilter="All",$I722=RatingFilter),OR(TypeFilter="All",$B722=TypeFilter),OR(GenreFilter="All",COUNTIFS(tblGenre[show_id],$A722,tblGenre[Genre],GenreFilter)&gt;0)),1,0)</f>
        <v/>
      </c>
    </row>
    <row r="723" ht="15" customHeight="1" s="20">
      <c r="A723" s="19" t="inlineStr">
        <is>
          <t>s6233</t>
        </is>
      </c>
      <c r="B723" s="19" t="inlineStr">
        <is>
          <t>Movie</t>
        </is>
      </c>
      <c r="C723" s="19" t="inlineStr">
        <is>
          <t>Barah Aana</t>
        </is>
      </c>
      <c r="D723" s="19" t="inlineStr">
        <is>
          <t>Raja Menon</t>
        </is>
      </c>
      <c r="E723" s="19" t="inlineStr">
        <is>
          <t>Naseeruddin Shah, Arjun Mathur, Vijay Raaz, Tannishtha Chatterjee, Violante Placido, Benjamin Gilani</t>
        </is>
      </c>
      <c r="F723" s="19" t="inlineStr">
        <is>
          <t>India</t>
        </is>
      </c>
      <c r="G723" s="19" t="inlineStr">
        <is>
          <t>2019-12-31</t>
        </is>
      </c>
      <c r="H723" s="19" t="n">
        <v>2009</v>
      </c>
      <c r="I723" s="19" t="inlineStr">
        <is>
          <t>TV-14</t>
        </is>
      </c>
      <c r="J723" s="19" t="inlineStr">
        <is>
          <t>95 min</t>
        </is>
      </c>
      <c r="K723" s="19" t="inlineStr">
        <is>
          <t>Dramas, International Movies</t>
        </is>
      </c>
      <c r="L723" s="19" t="inlineStr">
        <is>
          <t>After futile attempts to better their lives with honest work, three broke friends opt for a more dubious means of making money: kidnapping for ransom.</t>
        </is>
      </c>
      <c r="M723" s="19" t="n">
        <v>2019</v>
      </c>
      <c r="N723" s="19">
        <f>IF(AND(OR(YearFilter="All",$M723=YearFilter),OR(RatingFilter="All",$I723=RatingFilter),OR(TypeFilter="All",$B723=TypeFilter),OR(GenreFilter="All",COUNTIFS(tblGenre[show_id],$A723,tblGenre[Genre],GenreFilter)&gt;0)),1,0)</f>
        <v/>
      </c>
    </row>
    <row r="724" ht="15" customHeight="1" s="20">
      <c r="A724" s="19" t="inlineStr">
        <is>
          <t>s6247</t>
        </is>
      </c>
      <c r="B724" s="19" t="inlineStr">
        <is>
          <t>Movie</t>
        </is>
      </c>
      <c r="C724" s="19" t="inlineStr">
        <is>
          <t>Barsaat</t>
        </is>
      </c>
      <c r="D724" s="19" t="inlineStr">
        <is>
          <t>Rajkumar Santoshi</t>
        </is>
      </c>
      <c r="E724" s="19" t="inlineStr">
        <is>
          <t>Twinkle Khanna, Bobby Deol, Danny Denzongpa, Raj Babbar, Ashwin Kaushal, Mukesh Khanna, Harish Patel</t>
        </is>
      </c>
      <c r="F724" s="19" t="inlineStr">
        <is>
          <t>India</t>
        </is>
      </c>
      <c r="G724" s="19" t="inlineStr">
        <is>
          <t>2018-04-01</t>
        </is>
      </c>
      <c r="H724" s="19" t="n">
        <v>1995</v>
      </c>
      <c r="I724" s="19" t="inlineStr">
        <is>
          <t>TV-PG</t>
        </is>
      </c>
      <c r="J724" s="19" t="inlineStr">
        <is>
          <t>166 min</t>
        </is>
      </c>
      <c r="K724" s="19" t="inlineStr">
        <is>
          <t>Action &amp; Adventure, International Movies, Music &amp; Musicals</t>
        </is>
      </c>
      <c r="L724" s="19" t="inlineStr">
        <is>
          <t>A naïve young man and a rich city girl fall in love. Her stepfather, however, doesn't approve of the match and will stop at nothing to split the pair.</t>
        </is>
      </c>
      <c r="M724" s="19" t="n">
        <v>2018</v>
      </c>
      <c r="N724" s="19">
        <f>IF(AND(OR(YearFilter="All",$M724=YearFilter),OR(RatingFilter="All",$I724=RatingFilter),OR(TypeFilter="All",$B724=TypeFilter),OR(GenreFilter="All",COUNTIFS(tblGenre[show_id],$A724,tblGenre[Genre],GenreFilter)&gt;0)),1,0)</f>
        <v/>
      </c>
    </row>
    <row r="725" ht="15" customHeight="1" s="20">
      <c r="A725" s="19" t="inlineStr">
        <is>
          <t>s6255</t>
        </is>
      </c>
      <c r="B725" s="19" t="inlineStr">
        <is>
          <t>Movie</t>
        </is>
      </c>
      <c r="C725" s="19" t="inlineStr">
        <is>
          <t>Bawarchi</t>
        </is>
      </c>
      <c r="D725" s="19" t="inlineStr">
        <is>
          <t>Hrishikesh Mukherjee</t>
        </is>
      </c>
      <c r="E725" s="19" t="inlineStr">
        <is>
          <t>Rajesh Khanna, A.K. Hangal, Durga Khote, Jaya Bhaduri, Kali Bannerjee, Usha Kiran, Asrani, Paintal</t>
        </is>
      </c>
      <c r="F725" s="19" t="inlineStr">
        <is>
          <t>India</t>
        </is>
      </c>
      <c r="G725" s="19" t="inlineStr">
        <is>
          <t>2019-12-31</t>
        </is>
      </c>
      <c r="H725" s="19" t="n">
        <v>1972</v>
      </c>
      <c r="I725" s="19" t="inlineStr">
        <is>
          <t>TV-PG</t>
        </is>
      </c>
      <c r="J725" s="19" t="inlineStr">
        <is>
          <t>125 min</t>
        </is>
      </c>
      <c r="K725" s="19" t="inlineStr">
        <is>
          <t>Classic Movies, Comedies, Dramas</t>
        </is>
      </c>
      <c r="L725" s="19" t="inlineStr">
        <is>
          <t>A dysfunctional middle-class family is transformed by the attentions of their talented new chef – until he vanishes along with their valuable jewels.</t>
        </is>
      </c>
      <c r="M725" s="19" t="n">
        <v>2019</v>
      </c>
      <c r="N725" s="19">
        <f>IF(AND(OR(YearFilter="All",$M725=YearFilter),OR(RatingFilter="All",$I725=RatingFilter),OR(TypeFilter="All",$B725=TypeFilter),OR(GenreFilter="All",COUNTIFS(tblGenre[show_id],$A725,tblGenre[Genre],GenreFilter)&gt;0)),1,0)</f>
        <v/>
      </c>
    </row>
    <row r="726" ht="15" customHeight="1" s="20">
      <c r="A726" s="19" t="inlineStr">
        <is>
          <t>s6256</t>
        </is>
      </c>
      <c r="B726" s="19" t="inlineStr">
        <is>
          <t>Movie</t>
        </is>
      </c>
      <c r="C726" s="19" t="inlineStr">
        <is>
          <t>Bazaar</t>
        </is>
      </c>
      <c r="D726" s="19" t="inlineStr">
        <is>
          <t>Sagar Sarhadi</t>
        </is>
      </c>
      <c r="E726" s="19" t="inlineStr">
        <is>
          <t>Farooq Shaikh, Smita Patil, Naseeruddin Shah, Bharat Kapoor, Supriya Pathak, Rita Rani Kaul, Malika</t>
        </is>
      </c>
      <c r="F726" s="19" t="inlineStr">
        <is>
          <t>India</t>
        </is>
      </c>
      <c r="G726" s="19" t="inlineStr">
        <is>
          <t>2019-12-31</t>
        </is>
      </c>
      <c r="H726" s="19" t="n">
        <v>1982</v>
      </c>
      <c r="I726" s="19" t="inlineStr">
        <is>
          <t>TV-14</t>
        </is>
      </c>
      <c r="J726" s="19" t="inlineStr">
        <is>
          <t>121 min</t>
        </is>
      </c>
      <c r="K726" s="19" t="inlineStr">
        <is>
          <t>Dramas, Independent Movies, International Movies</t>
        </is>
      </c>
      <c r="L726" s="19" t="inlineStr">
        <is>
          <t>A young man challenges traditional customs by standing up to the father of the woman he loves, who has promised her to a wealthy expatriate.</t>
        </is>
      </c>
      <c r="M726" s="19" t="n">
        <v>2019</v>
      </c>
      <c r="N726" s="19">
        <f>IF(AND(OR(YearFilter="All",$M726=YearFilter),OR(RatingFilter="All",$I726=RatingFilter),OR(TypeFilter="All",$B726=TypeFilter),OR(GenreFilter="All",COUNTIFS(tblGenre[show_id],$A726,tblGenre[Genre],GenreFilter)&gt;0)),1,0)</f>
        <v/>
      </c>
    </row>
    <row r="727" ht="15" customHeight="1" s="20">
      <c r="A727" s="19" t="inlineStr">
        <is>
          <t>s6278</t>
        </is>
      </c>
      <c r="B727" s="19" t="inlineStr">
        <is>
          <t>Movie</t>
        </is>
      </c>
      <c r="C727" s="19" t="inlineStr">
        <is>
          <t>Beiimaan Love</t>
        </is>
      </c>
      <c r="D727" s="19" t="inlineStr">
        <is>
          <t>Rajeev Chaudhari</t>
        </is>
      </c>
      <c r="E727" s="19" t="inlineStr">
        <is>
          <t>Sunny Leone, Rajneesh Duggal, Rajeev Verma, Daniel Weber, Yuvraj Siddharth Singh, Ziesha Nancy</t>
        </is>
      </c>
      <c r="F727" s="19" t="inlineStr">
        <is>
          <t>India</t>
        </is>
      </c>
      <c r="G727" s="19" t="inlineStr">
        <is>
          <t>2017-11-01</t>
        </is>
      </c>
      <c r="H727" s="19" t="n">
        <v>2016</v>
      </c>
      <c r="I727" s="19" t="inlineStr">
        <is>
          <t>TV-MA</t>
        </is>
      </c>
      <c r="J727" s="19" t="inlineStr">
        <is>
          <t>115 min</t>
        </is>
      </c>
      <c r="K727" s="19" t="inlineStr">
        <is>
          <t>Dramas, International Movies, Romantic Movies</t>
        </is>
      </c>
      <c r="L727" s="19" t="inlineStr">
        <is>
          <t>After having her heart broken by a man who seduced her at a party, a young, ambitious woman concocts a scheme to get revenge.</t>
        </is>
      </c>
      <c r="M727" s="19" t="n">
        <v>2017</v>
      </c>
      <c r="N727" s="19">
        <f>IF(AND(OR(YearFilter="All",$M727=YearFilter),OR(RatingFilter="All",$I727=RatingFilter),OR(TypeFilter="All",$B727=TypeFilter),OR(GenreFilter="All",COUNTIFS(tblGenre[show_id],$A727,tblGenre[Genre],GenreFilter)&gt;0)),1,0)</f>
        <v/>
      </c>
    </row>
    <row r="728" ht="15" customHeight="1" s="20">
      <c r="A728" s="19" t="inlineStr">
        <is>
          <t>s6290</t>
        </is>
      </c>
      <c r="B728" s="19" t="inlineStr">
        <is>
          <t>Movie</t>
        </is>
      </c>
      <c r="C728" s="19" t="inlineStr">
        <is>
          <t>Bewafaa</t>
        </is>
      </c>
      <c r="D728" s="19" t="inlineStr">
        <is>
          <t>Dharmesh Darshan</t>
        </is>
      </c>
      <c r="E728" s="19" t="inlineStr">
        <is>
          <t>Anil Kapoor, Akshay Kumar, Kareena Kapoor, Sushmita Sen, Shamita Shetty, Manoj Bajpayee, Kabir Bedi, Nafisa Ali, Supriya Pathak, Raj Premi, Supriya Karnik</t>
        </is>
      </c>
      <c r="F728" s="19" t="inlineStr">
        <is>
          <t>India</t>
        </is>
      </c>
      <c r="G728" s="19" t="inlineStr">
        <is>
          <t>2019-07-21</t>
        </is>
      </c>
      <c r="H728" s="19" t="n">
        <v>2005</v>
      </c>
      <c r="I728" s="19" t="inlineStr">
        <is>
          <t>TV-PG</t>
        </is>
      </c>
      <c r="J728" s="19" t="inlineStr">
        <is>
          <t>149 min</t>
        </is>
      </c>
      <c r="K728" s="19" t="inlineStr">
        <is>
          <t>Dramas, International Movies, Romantic Movies</t>
        </is>
      </c>
      <c r="L728" s="19" t="inlineStr">
        <is>
          <t>A young woman faces pressure to marry her brother-in-law, after her sister dies while giving birth. But she's secretly in love with someone else.</t>
        </is>
      </c>
      <c r="M728" s="19" t="n">
        <v>2019</v>
      </c>
      <c r="N728" s="19">
        <f>IF(AND(OR(YearFilter="All",$M728=YearFilter),OR(RatingFilter="All",$I728=RatingFilter),OR(TypeFilter="All",$B728=TypeFilter),OR(GenreFilter="All",COUNTIFS(tblGenre[show_id],$A728,tblGenre[Genre],GenreFilter)&gt;0)),1,0)</f>
        <v/>
      </c>
    </row>
    <row r="729" ht="15" customHeight="1" s="20">
      <c r="A729" s="19" t="inlineStr">
        <is>
          <t>s6293</t>
        </is>
      </c>
      <c r="B729" s="19" t="inlineStr">
        <is>
          <t>Movie</t>
        </is>
      </c>
      <c r="C729" s="19" t="inlineStr">
        <is>
          <t>Beyond All Boundaries</t>
        </is>
      </c>
      <c r="D729" s="19" t="inlineStr">
        <is>
          <t>Sushrut Jain</t>
        </is>
      </c>
      <c r="E729" s="19" t="inlineStr">
        <is>
          <t>Kunal Nayyar</t>
        </is>
      </c>
      <c r="F729" s="19" t="inlineStr">
        <is>
          <t>United States, India</t>
        </is>
      </c>
      <c r="G729" s="19" t="inlineStr">
        <is>
          <t>2017-04-01</t>
        </is>
      </c>
      <c r="H729" s="19" t="n">
        <v>2013</v>
      </c>
      <c r="I729" s="19" t="inlineStr">
        <is>
          <t>TV-14</t>
        </is>
      </c>
      <c r="J729" s="19" t="inlineStr">
        <is>
          <t>98 min</t>
        </is>
      </c>
      <c r="K729" s="19" t="inlineStr">
        <is>
          <t>Documentaries, International Movies, Sports Movies</t>
        </is>
      </c>
      <c r="L729" s="19" t="inlineStr">
        <is>
          <t>As the 2011 Cricket World Cup begins, three Indians demonstrate their passion and the sacrifices they've made for the country's most popular sport.</t>
        </is>
      </c>
      <c r="M729" s="19" t="n">
        <v>2017</v>
      </c>
      <c r="N729" s="19">
        <f>IF(AND(OR(YearFilter="All",$M729=YearFilter),OR(RatingFilter="All",$I729=RatingFilter),OR(TypeFilter="All",$B729=TypeFilter),OR(GenreFilter="All",COUNTIFS(tblGenre[show_id],$A729,tblGenre[Genre],GenreFilter)&gt;0)),1,0)</f>
        <v/>
      </c>
    </row>
    <row r="730" ht="15" customHeight="1" s="20">
      <c r="A730" s="19" t="inlineStr">
        <is>
          <t>s6294</t>
        </is>
      </c>
      <c r="B730" s="19" t="inlineStr">
        <is>
          <t>Movie</t>
        </is>
      </c>
      <c r="C730" s="19" t="inlineStr">
        <is>
          <t>Beyond the Clouds</t>
        </is>
      </c>
      <c r="D730" s="19" t="inlineStr">
        <is>
          <t>Majid Majidi</t>
        </is>
      </c>
      <c r="E730" s="19" t="inlineStr">
        <is>
          <t>Ishaan Khattar, Malavika Mohanan, Goutam Ghose, Sharada, Tannishtha Chatterjee, Shashank Shende, Hema Singh, Akash Gopal</t>
        </is>
      </c>
      <c r="F730" s="19" t="inlineStr">
        <is>
          <t>India, Iran</t>
        </is>
      </c>
      <c r="G730" s="19" t="inlineStr">
        <is>
          <t>2018-08-10</t>
        </is>
      </c>
      <c r="H730" s="19" t="n">
        <v>2018</v>
      </c>
      <c r="I730" s="19" t="inlineStr">
        <is>
          <t>TV-14</t>
        </is>
      </c>
      <c r="J730" s="19" t="inlineStr">
        <is>
          <t>120 min</t>
        </is>
      </c>
      <c r="K730" s="19" t="inlineStr">
        <is>
          <t>Dramas, Independent Movies, International Movies</t>
        </is>
      </c>
      <c r="L730" s="19" t="inlineStr">
        <is>
          <t>A youthful drug dealer in Mumbai must change his ways when the sister who raised him is assaulted by her boss and imprisoned for defending herself.</t>
        </is>
      </c>
      <c r="M730" s="19" t="n">
        <v>2018</v>
      </c>
      <c r="N730" s="19">
        <f>IF(AND(OR(YearFilter="All",$M730=YearFilter),OR(RatingFilter="All",$I730=RatingFilter),OR(TypeFilter="All",$B730=TypeFilter),OR(GenreFilter="All",COUNTIFS(tblGenre[show_id],$A730,tblGenre[Genre],GenreFilter)&gt;0)),1,0)</f>
        <v/>
      </c>
    </row>
    <row r="731" ht="15" customHeight="1" s="20">
      <c r="A731" s="19" t="inlineStr">
        <is>
          <t>s6295</t>
        </is>
      </c>
      <c r="B731" s="19" t="inlineStr">
        <is>
          <t>TV Show</t>
        </is>
      </c>
      <c r="C731" s="19" t="inlineStr">
        <is>
          <t>Bh Se Bhade</t>
        </is>
      </c>
      <c r="E731" s="19" t="inlineStr">
        <is>
          <t>Deven Bhojani, Suchita Trivedi, Sarita Joshi, Varun Khandelwal, Bhavna Khatri, Dushyant Wagh, Gulfam Khan, Atul Parchure</t>
        </is>
      </c>
      <c r="F731" s="19" t="inlineStr">
        <is>
          <t>India</t>
        </is>
      </c>
      <c r="G731" s="19" t="inlineStr">
        <is>
          <t>2018-04-01</t>
        </is>
      </c>
      <c r="H731" s="19" t="n">
        <v>2013</v>
      </c>
      <c r="I731" s="19" t="inlineStr">
        <is>
          <t>TV-PG</t>
        </is>
      </c>
      <c r="J731" s="19" t="inlineStr">
        <is>
          <t>1 Season</t>
        </is>
      </c>
      <c r="K731" s="19" t="inlineStr">
        <is>
          <t>International TV Shows, TV Comedies</t>
        </is>
      </c>
      <c r="L731" s="19" t="inlineStr">
        <is>
          <t>A kind-hearted insurance agent has the mysterious power to temporarily shoulder the problems and pain of others, with comic results in his own life.</t>
        </is>
      </c>
      <c r="M731" s="19" t="n">
        <v>2018</v>
      </c>
      <c r="N731" s="19">
        <f>IF(AND(OR(YearFilter="All",$M731=YearFilter),OR(RatingFilter="All",$I731=RatingFilter),OR(TypeFilter="All",$B731=TypeFilter),OR(GenreFilter="All",COUNTIFS(tblGenre[show_id],$A731,tblGenre[Genre],GenreFilter)&gt;0)),1,0)</f>
        <v/>
      </c>
    </row>
    <row r="732" ht="15" customHeight="1" s="20">
      <c r="A732" s="19" t="inlineStr">
        <is>
          <t>s6296</t>
        </is>
      </c>
      <c r="B732" s="19" t="inlineStr">
        <is>
          <t>TV Show</t>
        </is>
      </c>
      <c r="C732" s="19" t="inlineStr">
        <is>
          <t>Bhaage Re Mann</t>
        </is>
      </c>
      <c r="E732" s="19" t="inlineStr">
        <is>
          <t>Karuna Pandey, Chandan Anand, Kanika Shivpuri, Ved Thappar, Nupur Alankar, Tarun Mehta, Priya Marathe, Vasundhara Kaul, Ankit Narang, Arshima Thapar</t>
        </is>
      </c>
      <c r="F732" s="19" t="inlineStr">
        <is>
          <t>India</t>
        </is>
      </c>
      <c r="G732" s="19" t="inlineStr">
        <is>
          <t>2017-04-15</t>
        </is>
      </c>
      <c r="H732" s="19" t="n">
        <v>2015</v>
      </c>
      <c r="I732" s="19" t="inlineStr">
        <is>
          <t>TV-14</t>
        </is>
      </c>
      <c r="J732" s="19" t="inlineStr">
        <is>
          <t>1 Season</t>
        </is>
      </c>
      <c r="K732" s="19" t="inlineStr">
        <is>
          <t>International TV Shows, Romantic TV Shows, TV Dramas</t>
        </is>
      </c>
      <c r="L732" s="19" t="inlineStr">
        <is>
          <t>An impulsive, free-spirited woman who's defied convention for much of her life suddenly finds herself flirting with a classic romance.</t>
        </is>
      </c>
      <c r="M732" s="19" t="n">
        <v>2017</v>
      </c>
      <c r="N732" s="19">
        <f>IF(AND(OR(YearFilter="All",$M732=YearFilter),OR(RatingFilter="All",$I732=RatingFilter),OR(TypeFilter="All",$B732=TypeFilter),OR(GenreFilter="All",COUNTIFS(tblGenre[show_id],$A732,tblGenre[Genre],GenreFilter)&gt;0)),1,0)</f>
        <v/>
      </c>
    </row>
    <row r="733" ht="15" customHeight="1" s="20">
      <c r="A733" s="19" t="inlineStr">
        <is>
          <t>s6297</t>
        </is>
      </c>
      <c r="B733" s="19" t="inlineStr">
        <is>
          <t>Movie</t>
        </is>
      </c>
      <c r="C733" s="19" t="inlineStr">
        <is>
          <t>Bhagam Bhag</t>
        </is>
      </c>
      <c r="D733" s="19" t="inlineStr">
        <is>
          <t>Priyadarshan</t>
        </is>
      </c>
      <c r="E733" s="19" t="inlineStr">
        <is>
          <t>Akshay Kumar, Govinda, Lara Dutta, Paresh Rawal, Rajpal Yadav, Jackie Shroff, Arbaaz Khan, Tanushree Dutta, Asrani, Shakti Kapoor</t>
        </is>
      </c>
      <c r="F733" s="19" t="inlineStr">
        <is>
          <t>India</t>
        </is>
      </c>
      <c r="G733" s="19" t="inlineStr">
        <is>
          <t>2019-12-31</t>
        </is>
      </c>
      <c r="H733" s="19" t="n">
        <v>2006</v>
      </c>
      <c r="I733" s="19" t="inlineStr">
        <is>
          <t>TV-14</t>
        </is>
      </c>
      <c r="J733" s="19" t="inlineStr">
        <is>
          <t>151 min</t>
        </is>
      </c>
      <c r="K733" s="19" t="inlineStr">
        <is>
          <t>Comedies, International Movies, Romantic Movies</t>
        </is>
      </c>
      <c r="L733" s="19" t="inlineStr">
        <is>
          <t>A theater group lands in trouble when its new actress takes her own life, two of its members are framed for murder and no one is who they appear to be.</t>
        </is>
      </c>
      <c r="M733" s="19" t="n">
        <v>2019</v>
      </c>
      <c r="N733" s="19">
        <f>IF(AND(OR(YearFilter="All",$M733=YearFilter),OR(RatingFilter="All",$I733=RatingFilter),OR(TypeFilter="All",$B733=TypeFilter),OR(GenreFilter="All",COUNTIFS(tblGenre[show_id],$A733,tblGenre[Genre],GenreFilter)&gt;0)),1,0)</f>
        <v/>
      </c>
    </row>
    <row r="734" ht="15" customHeight="1" s="20">
      <c r="A734" s="19" t="inlineStr">
        <is>
          <t>s6299</t>
        </is>
      </c>
      <c r="B734" s="19" t="inlineStr">
        <is>
          <t>Movie</t>
        </is>
      </c>
      <c r="C734" s="19" t="inlineStr">
        <is>
          <t>Bhool Bhulaiyaa</t>
        </is>
      </c>
      <c r="D734" s="19" t="inlineStr">
        <is>
          <t>Priyadarshan</t>
        </is>
      </c>
      <c r="E734" s="19" t="inlineStr">
        <is>
          <t>Akshay Kumar, Vidya Balan, Ameesha Patel, Shiney Ahuja, Paresh Rawal, Rajpal Yadav, Manoj Joshi, Asrani, Vikram Gokhale, Rasika Joshi</t>
        </is>
      </c>
      <c r="F734" s="19" t="inlineStr">
        <is>
          <t>India</t>
        </is>
      </c>
      <c r="G734" s="19" t="inlineStr">
        <is>
          <t>2017-10-22</t>
        </is>
      </c>
      <c r="H734" s="19" t="n">
        <v>2007</v>
      </c>
      <c r="I734" s="19" t="inlineStr">
        <is>
          <t>TV-14</t>
        </is>
      </c>
      <c r="J734" s="19" t="inlineStr">
        <is>
          <t>148 min</t>
        </is>
      </c>
      <c r="K734" s="19" t="inlineStr">
        <is>
          <t>Dramas, International Movies, Thrillers</t>
        </is>
      </c>
      <c r="L734" s="19" t="inlineStr">
        <is>
          <t>Siddharth dismisses warnings that his palace might be haunted, until ghostly occurrences force him to reconsider his beliefs.</t>
        </is>
      </c>
      <c r="M734" s="19" t="n">
        <v>2017</v>
      </c>
      <c r="N734" s="19">
        <f>IF(AND(OR(YearFilter="All",$M734=YearFilter),OR(RatingFilter="All",$I734=RatingFilter),OR(TypeFilter="All",$B734=TypeFilter),OR(GenreFilter="All",COUNTIFS(tblGenre[show_id],$A734,tblGenre[Genre],GenreFilter)&gt;0)),1,0)</f>
        <v/>
      </c>
    </row>
    <row r="735" ht="15" customHeight="1" s="20">
      <c r="A735" s="19" t="inlineStr">
        <is>
          <t>s6300</t>
        </is>
      </c>
      <c r="B735" s="19" t="inlineStr">
        <is>
          <t>Movie</t>
        </is>
      </c>
      <c r="C735" s="19" t="inlineStr">
        <is>
          <t>Bhoot</t>
        </is>
      </c>
      <c r="D735" s="19" t="inlineStr">
        <is>
          <t>Ram Gopal Varma</t>
        </is>
      </c>
      <c r="E735" s="19" t="inlineStr">
        <is>
          <t>Ajay Devgn, Urmila Matondkar, Nana Patekar, Rekha, Fardeen Khan, Victor Banerjee, Tanuja, Seema Biswas</t>
        </is>
      </c>
      <c r="F735" s="19" t="inlineStr">
        <is>
          <t>India</t>
        </is>
      </c>
      <c r="G735" s="19" t="inlineStr">
        <is>
          <t>2019-12-31</t>
        </is>
      </c>
      <c r="H735" s="19" t="n">
        <v>2003</v>
      </c>
      <c r="I735" s="19" t="inlineStr">
        <is>
          <t>TV-MA</t>
        </is>
      </c>
      <c r="J735" s="19" t="inlineStr">
        <is>
          <t>114 min</t>
        </is>
      </c>
      <c r="K735" s="19" t="inlineStr">
        <is>
          <t>Horror Movies, International Movies, Thrillers</t>
        </is>
      </c>
      <c r="L735" s="19" t="inlineStr">
        <is>
          <t>After a couple moves into an apartment, the wife’s increasingly disturbing behavior unravels chilling secrets about their new home’s past.</t>
        </is>
      </c>
      <c r="M735" s="19" t="n">
        <v>2019</v>
      </c>
      <c r="N735" s="19">
        <f>IF(AND(OR(YearFilter="All",$M735=YearFilter),OR(RatingFilter="All",$I735=RatingFilter),OR(TypeFilter="All",$B735=TypeFilter),OR(GenreFilter="All",COUNTIFS(tblGenre[show_id],$A735,tblGenre[Genre],GenreFilter)&gt;0)),1,0)</f>
        <v/>
      </c>
    </row>
    <row r="736" ht="15" customHeight="1" s="20">
      <c r="A736" s="19" t="inlineStr">
        <is>
          <t>s6301</t>
        </is>
      </c>
      <c r="B736" s="19" t="inlineStr">
        <is>
          <t>Movie</t>
        </is>
      </c>
      <c r="C736" s="19" t="inlineStr">
        <is>
          <t>Bhouri</t>
        </is>
      </c>
      <c r="D736" s="19" t="inlineStr">
        <is>
          <t>Jasbir Bijendra Bhati</t>
        </is>
      </c>
      <c r="E736" s="19" t="inlineStr">
        <is>
          <t>Raghuvir Yadav, Masha Paur, Mohan Joshi, Manoj Joshi, Mukesh Tiwari, Shakti Kapoor, Sitaram Panchal, Kunika Lall</t>
        </is>
      </c>
      <c r="F736" s="19" t="inlineStr">
        <is>
          <t>India</t>
        </is>
      </c>
      <c r="G736" s="19" t="inlineStr">
        <is>
          <t>2017-12-01</t>
        </is>
      </c>
      <c r="H736" s="19" t="n">
        <v>2017</v>
      </c>
      <c r="I736" s="19" t="inlineStr">
        <is>
          <t>TV-14</t>
        </is>
      </c>
      <c r="J736" s="19" t="inlineStr">
        <is>
          <t>123 min</t>
        </is>
      </c>
      <c r="K736" s="19" t="inlineStr">
        <is>
          <t>Dramas, Independent Movies, International Movies</t>
        </is>
      </c>
      <c r="L736" s="19" t="inlineStr">
        <is>
          <t>A 23-year-old girl who's married to a man more than twice her age is forced to contend with the predatory nature of a male-dominated society.</t>
        </is>
      </c>
      <c r="M736" s="19" t="n">
        <v>2017</v>
      </c>
      <c r="N736" s="19">
        <f>IF(AND(OR(YearFilter="All",$M736=YearFilter),OR(RatingFilter="All",$I736=RatingFilter),OR(TypeFilter="All",$B736=TypeFilter),OR(GenreFilter="All",COUNTIFS(tblGenre[show_id],$A736,tblGenre[Genre],GenreFilter)&gt;0)),1,0)</f>
        <v/>
      </c>
    </row>
    <row r="737" ht="15" customHeight="1" s="20">
      <c r="A737" s="19" t="inlineStr">
        <is>
          <t>s6314</t>
        </is>
      </c>
      <c r="B737" s="19" t="inlineStr">
        <is>
          <t>Movie</t>
        </is>
      </c>
      <c r="C737" s="19" t="inlineStr">
        <is>
          <t>Bilu Rakkhosh</t>
        </is>
      </c>
      <c r="D737" s="19" t="inlineStr">
        <is>
          <t>Indrasis Acharya</t>
        </is>
      </c>
      <c r="E737" s="19" t="inlineStr">
        <is>
          <t>Joy Sengupta, Koneenica Banerjee, Kanchana Moitra, Pradip Mukherjee</t>
        </is>
      </c>
      <c r="F737" s="19" t="inlineStr">
        <is>
          <t>India</t>
        </is>
      </c>
      <c r="G737" s="19" t="inlineStr">
        <is>
          <t>2018-03-15</t>
        </is>
      </c>
      <c r="H737" s="19" t="n">
        <v>2017</v>
      </c>
      <c r="I737" s="19" t="inlineStr">
        <is>
          <t>TV-MA</t>
        </is>
      </c>
      <c r="J737" s="19" t="inlineStr">
        <is>
          <t>127 min</t>
        </is>
      </c>
      <c r="K737" s="19" t="inlineStr">
        <is>
          <t>Dramas, International Movies</t>
        </is>
      </c>
      <c r="L737" s="19" t="inlineStr">
        <is>
          <t>Torn between his demanding corporate career, his passion for music and his turbulent family life, a man struggles to keep his inner demons in check.</t>
        </is>
      </c>
      <c r="M737" s="19" t="n">
        <v>2018</v>
      </c>
      <c r="N737" s="19">
        <f>IF(AND(OR(YearFilter="All",$M737=YearFilter),OR(RatingFilter="All",$I737=RatingFilter),OR(TypeFilter="All",$B737=TypeFilter),OR(GenreFilter="All",COUNTIFS(tblGenre[show_id],$A737,tblGenre[Genre],GenreFilter)&gt;0)),1,0)</f>
        <v/>
      </c>
    </row>
    <row r="738" ht="15" customHeight="1" s="20">
      <c r="A738" s="19" t="inlineStr">
        <is>
          <t>s6315</t>
        </is>
      </c>
      <c r="B738" s="19" t="inlineStr">
        <is>
          <t>Movie</t>
        </is>
      </c>
      <c r="C738" s="19" t="inlineStr">
        <is>
          <t>Bioscope</t>
        </is>
      </c>
      <c r="D738" s="19" t="inlineStr">
        <is>
          <t>Gajendra Ahire, Viju Mane, Girish Mohite, Ravi Jadhav</t>
        </is>
      </c>
      <c r="E738" s="19" t="inlineStr">
        <is>
          <t>Nina Kulkarni, Suhas Palshikar, Kushal Badrike, Spruha Joshi, Mangesh Desai, Smita Tambe, Veena Jamkar, Sandeep Khare</t>
        </is>
      </c>
      <c r="F738" s="19" t="inlineStr">
        <is>
          <t>India</t>
        </is>
      </c>
      <c r="G738" s="19" t="inlineStr">
        <is>
          <t>2018-08-15</t>
        </is>
      </c>
      <c r="H738" s="19" t="n">
        <v>2015</v>
      </c>
      <c r="I738" s="19" t="inlineStr">
        <is>
          <t>TV-14</t>
        </is>
      </c>
      <c r="J738" s="19" t="inlineStr">
        <is>
          <t>131 min</t>
        </is>
      </c>
      <c r="K738" s="19" t="inlineStr">
        <is>
          <t>Dramas, International Movies, LGBTQ Movies</t>
        </is>
      </c>
      <c r="L738" s="19" t="inlineStr">
        <is>
          <t>Inspired by classic and contemporary literature, four renowned Marathi directors create four individual stories in this anthology of short films.</t>
        </is>
      </c>
      <c r="M738" s="19" t="n">
        <v>2018</v>
      </c>
      <c r="N738" s="19">
        <f>IF(AND(OR(YearFilter="All",$M738=YearFilter),OR(RatingFilter="All",$I738=RatingFilter),OR(TypeFilter="All",$B738=TypeFilter),OR(GenreFilter="All",COUNTIFS(tblGenre[show_id],$A738,tblGenre[Genre],GenreFilter)&gt;0)),1,0)</f>
        <v/>
      </c>
    </row>
    <row r="739" ht="15" customHeight="1" s="20">
      <c r="A739" s="19" t="inlineStr">
        <is>
          <t>s6321</t>
        </is>
      </c>
      <c r="B739" s="19" t="inlineStr">
        <is>
          <t>Movie</t>
        </is>
      </c>
      <c r="C739" s="19" t="inlineStr">
        <is>
          <t>Bittoo Boss</t>
        </is>
      </c>
      <c r="D739" s="19" t="inlineStr">
        <is>
          <t>Supavitra Babul</t>
        </is>
      </c>
      <c r="E739" s="19" t="inlineStr">
        <is>
          <t>Pulkit Samrat, Ashok Pathak, Tanvir Singh, Amita Pathak, Sunil Shetty, Rajendra Sethi, Mohan Kapoor</t>
        </is>
      </c>
      <c r="F739" s="19" t="inlineStr">
        <is>
          <t>India</t>
        </is>
      </c>
      <c r="G739" s="19" t="inlineStr">
        <is>
          <t>2020-07-05</t>
        </is>
      </c>
      <c r="H739" s="19" t="n">
        <v>2012</v>
      </c>
      <c r="I739" s="19" t="inlineStr">
        <is>
          <t>TV-14</t>
        </is>
      </c>
      <c r="J739" s="19" t="inlineStr">
        <is>
          <t>117 min</t>
        </is>
      </c>
      <c r="K739" s="19" t="inlineStr">
        <is>
          <t>Comedies, Dramas, International Movies</t>
        </is>
      </c>
      <c r="L739" s="19" t="inlineStr">
        <is>
          <t>When a small-town wedding videographer falls in love, he decides he needs to make more money and turns to shooting sexy videos – with mixed results.</t>
        </is>
      </c>
      <c r="M739" s="19" t="n">
        <v>2020</v>
      </c>
      <c r="N739" s="19">
        <f>IF(AND(OR(YearFilter="All",$M739=YearFilter),OR(RatingFilter="All",$I739=RatingFilter),OR(TypeFilter="All",$B739=TypeFilter),OR(GenreFilter="All",COUNTIFS(tblGenre[show_id],$A739,tblGenre[Genre],GenreFilter)&gt;0)),1,0)</f>
        <v/>
      </c>
    </row>
    <row r="740" ht="15" customHeight="1" s="20">
      <c r="A740" s="19" t="inlineStr">
        <is>
          <t>s6351</t>
        </is>
      </c>
      <c r="B740" s="19" t="inlineStr">
        <is>
          <t>Movie</t>
        </is>
      </c>
      <c r="C740" s="19" t="inlineStr">
        <is>
          <t>Bobby</t>
        </is>
      </c>
      <c r="D740" s="19" t="inlineStr">
        <is>
          <t>Raj Kapoor</t>
        </is>
      </c>
      <c r="E740" s="19" t="inlineStr">
        <is>
          <t>Rishi Kapoor, Dimple Kapadia, Pran, Prem Nath, Sonia Sahni, Durga Khote, Aruna Irani, Prem Chopra, Farida Jalal</t>
        </is>
      </c>
      <c r="F740" s="19" t="inlineStr">
        <is>
          <t>India</t>
        </is>
      </c>
      <c r="G740" s="19" t="inlineStr">
        <is>
          <t>2019-12-31</t>
        </is>
      </c>
      <c r="H740" s="19" t="n">
        <v>1973</v>
      </c>
      <c r="I740" s="19" t="inlineStr">
        <is>
          <t>TV-14</t>
        </is>
      </c>
      <c r="J740" s="19" t="inlineStr">
        <is>
          <t>168 min</t>
        </is>
      </c>
      <c r="K740" s="19" t="inlineStr">
        <is>
          <t>Classic Movies, Dramas, International Movies</t>
        </is>
      </c>
      <c r="L740" s="19" t="inlineStr">
        <is>
          <t>Raj, the son of strict, wealthy parents, falls in love with Bobby, the daughter of a poor Christian fisherman – a romance his parents oppose.</t>
        </is>
      </c>
      <c r="M740" s="19" t="n">
        <v>2019</v>
      </c>
      <c r="N740" s="19">
        <f>IF(AND(OR(YearFilter="All",$M740=YearFilter),OR(RatingFilter="All",$I740=RatingFilter),OR(TypeFilter="All",$B740=TypeFilter),OR(GenreFilter="All",COUNTIFS(tblGenre[show_id],$A740,tblGenre[Genre],GenreFilter)&gt;0)),1,0)</f>
        <v/>
      </c>
    </row>
    <row r="741" ht="15" customHeight="1" s="20">
      <c r="A741" s="19" t="inlineStr">
        <is>
          <t>s6360</t>
        </is>
      </c>
      <c r="B741" s="19" t="inlineStr">
        <is>
          <t>Movie</t>
        </is>
      </c>
      <c r="C741" s="19" t="inlineStr">
        <is>
          <t>Boom</t>
        </is>
      </c>
      <c r="D741" s="19" t="inlineStr">
        <is>
          <t>Kaizad Gustad</t>
        </is>
      </c>
      <c r="E741" s="19" t="inlineStr">
        <is>
          <t>Amitabh Bachchan, Gulshan Grover, Jackie Shroff, Javed Jaffrey, Katrina Kaif, Madhu Sapre, Padma Lakshmi, Seema Biswas, Zeenat Aman, Boman Irani</t>
        </is>
      </c>
      <c r="F741" s="19" t="inlineStr">
        <is>
          <t>India</t>
        </is>
      </c>
      <c r="G741" s="19" t="inlineStr">
        <is>
          <t>2018-03-01</t>
        </is>
      </c>
      <c r="H741" s="19" t="n">
        <v>2003</v>
      </c>
      <c r="I741" s="19" t="inlineStr">
        <is>
          <t>TV-MA</t>
        </is>
      </c>
      <c r="J741" s="19" t="inlineStr">
        <is>
          <t>79 min</t>
        </is>
      </c>
      <c r="K741" s="19" t="inlineStr">
        <is>
          <t>Action &amp; Adventure, Dramas, International Movies</t>
        </is>
      </c>
      <c r="L741" s="19" t="inlineStr">
        <is>
          <t>Following a fashion show mishap, three supermodels find themselves on the run from dangerous gangsters trying to recover a fortune in stolen diamonds.</t>
        </is>
      </c>
      <c r="M741" s="19" t="n">
        <v>2018</v>
      </c>
      <c r="N741" s="19">
        <f>IF(AND(OR(YearFilter="All",$M741=YearFilter),OR(RatingFilter="All",$I741=RatingFilter),OR(TypeFilter="All",$B741=TypeFilter),OR(GenreFilter="All",COUNTIFS(tblGenre[show_id],$A741,tblGenre[Genre],GenreFilter)&gt;0)),1,0)</f>
        <v/>
      </c>
    </row>
    <row r="742" ht="15" customHeight="1" s="20">
      <c r="A742" s="19" t="inlineStr">
        <is>
          <t>s6375</t>
        </is>
      </c>
      <c r="B742" s="19" t="inlineStr">
        <is>
          <t>Movie</t>
        </is>
      </c>
      <c r="C742" s="19" t="inlineStr">
        <is>
          <t>Breaking Free</t>
        </is>
      </c>
      <c r="D742" s="19" t="inlineStr">
        <is>
          <t>Sridhar Rangayan</t>
        </is>
      </c>
      <c r="E742" s="19" t="inlineStr">
        <is>
          <t>Sridhar Rangayan</t>
        </is>
      </c>
      <c r="F742" s="19" t="inlineStr">
        <is>
          <t>India</t>
        </is>
      </c>
      <c r="G742" s="19" t="inlineStr">
        <is>
          <t>2017-12-15</t>
        </is>
      </c>
      <c r="H742" s="19" t="n">
        <v>2015</v>
      </c>
      <c r="I742" s="19" t="inlineStr">
        <is>
          <t>TV-MA</t>
        </is>
      </c>
      <c r="J742" s="19" t="inlineStr">
        <is>
          <t>81 min</t>
        </is>
      </c>
      <c r="K742" s="19" t="inlineStr">
        <is>
          <t>Documentaries, International Movies, LGBTQ Movies</t>
        </is>
      </c>
      <c r="L742" s="19" t="inlineStr">
        <is>
          <t>One filmmaker’s quest to expose the human rights violations faced by India’s LGBTQ community was a project of passion seven years in the making.</t>
        </is>
      </c>
      <c r="M742" s="19" t="n">
        <v>2017</v>
      </c>
      <c r="N742" s="19">
        <f>IF(AND(OR(YearFilter="All",$M742=YearFilter),OR(RatingFilter="All",$I742=RatingFilter),OR(TypeFilter="All",$B742=TypeFilter),OR(GenreFilter="All",COUNTIFS(tblGenre[show_id],$A742,tblGenre[Genre],GenreFilter)&gt;0)),1,0)</f>
        <v/>
      </c>
    </row>
    <row r="743" ht="15" customHeight="1" s="20">
      <c r="A743" s="19" t="inlineStr">
        <is>
          <t>s6404</t>
        </is>
      </c>
      <c r="B743" s="19" t="inlineStr">
        <is>
          <t>Movie</t>
        </is>
      </c>
      <c r="C743" s="19" t="inlineStr">
        <is>
          <t>Calendar Girls</t>
        </is>
      </c>
      <c r="D743" s="19" t="inlineStr">
        <is>
          <t>Madhur Bhandarkar</t>
        </is>
      </c>
      <c r="E743" s="19" t="inlineStr">
        <is>
          <t>Akanksha Puri, Avani Modi, Kyra Dutt, Ruhi Singh, Satarupa Pyne, Mita Vashisht, Keith Sequeira, Deepak Wadhwa, Indraneil Sengupta, Vikram Sakhalkar</t>
        </is>
      </c>
      <c r="F743" s="19" t="inlineStr">
        <is>
          <t>India</t>
        </is>
      </c>
      <c r="G743" s="19" t="inlineStr">
        <is>
          <t>2017-10-15</t>
        </is>
      </c>
      <c r="H743" s="19" t="n">
        <v>2015</v>
      </c>
      <c r="I743" s="19" t="inlineStr">
        <is>
          <t>TV-14</t>
        </is>
      </c>
      <c r="J743" s="19" t="inlineStr">
        <is>
          <t>126 min</t>
        </is>
      </c>
      <c r="K743" s="19" t="inlineStr">
        <is>
          <t>Dramas, International Movies</t>
        </is>
      </c>
      <c r="L743" s="19" t="inlineStr">
        <is>
          <t>Five calendar models try to navigate the twists and turns thrown in their path by the seductive and ruthless world of glamour.</t>
        </is>
      </c>
      <c r="M743" s="19" t="n">
        <v>2017</v>
      </c>
      <c r="N743" s="19">
        <f>IF(AND(OR(YearFilter="All",$M743=YearFilter),OR(RatingFilter="All",$I743=RatingFilter),OR(TypeFilter="All",$B743=TypeFilter),OR(GenreFilter="All",COUNTIFS(tblGenre[show_id],$A743,tblGenre[Genre],GenreFilter)&gt;0)),1,0)</f>
        <v/>
      </c>
    </row>
    <row r="744" ht="15" customHeight="1" s="20">
      <c r="A744" s="19" t="inlineStr">
        <is>
          <t>s6419</t>
        </is>
      </c>
      <c r="B744" s="19" t="inlineStr">
        <is>
          <t>Movie</t>
        </is>
      </c>
      <c r="C744" s="19" t="inlineStr">
        <is>
          <t>Cappuccino</t>
        </is>
      </c>
      <c r="D744" s="19" t="inlineStr">
        <is>
          <t>Noushad</t>
        </is>
      </c>
      <c r="E744" s="19" t="inlineStr">
        <is>
          <t>Dharmajan Bolgatty, Aneesh Menon, Sunil Sukhada, Anita Lukmance, Kottayam Pradeep, Natasha Doshi, Hareesh Perumanna, Sharanya, Vineeth Mohan, Sudhi Koppa</t>
        </is>
      </c>
      <c r="F744" s="19" t="inlineStr">
        <is>
          <t>India</t>
        </is>
      </c>
      <c r="G744" s="19" t="inlineStr">
        <is>
          <t>2018-07-01</t>
        </is>
      </c>
      <c r="H744" s="19" t="n">
        <v>2017</v>
      </c>
      <c r="I744" s="19" t="inlineStr">
        <is>
          <t>TV-PG</t>
        </is>
      </c>
      <c r="J744" s="19" t="inlineStr">
        <is>
          <t>126 min</t>
        </is>
      </c>
      <c r="K744" s="19" t="inlineStr">
        <is>
          <t>Comedies, Dramas, International Movies</t>
        </is>
      </c>
      <c r="L744" s="19" t="inlineStr">
        <is>
          <t>Richi is a director of commercials whose computer memory drive is accidentally switched with that of Sneha, a woman he soon falls in love with.</t>
        </is>
      </c>
      <c r="M744" s="19" t="n">
        <v>2018</v>
      </c>
      <c r="N744" s="19">
        <f>IF(AND(OR(YearFilter="All",$M744=YearFilter),OR(RatingFilter="All",$I744=RatingFilter),OR(TypeFilter="All",$B744=TypeFilter),OR(GenreFilter="All",COUNTIFS(tblGenre[show_id],$A744,tblGenre[Genre],GenreFilter)&gt;0)),1,0)</f>
        <v/>
      </c>
    </row>
    <row r="745" ht="15" customHeight="1" s="20">
      <c r="A745" s="19" t="inlineStr">
        <is>
          <t>s6433</t>
        </is>
      </c>
      <c r="B745" s="19" t="inlineStr">
        <is>
          <t>Movie</t>
        </is>
      </c>
      <c r="C745" s="19" t="inlineStr">
        <is>
          <t>Catching the Sun</t>
        </is>
      </c>
      <c r="D745" s="19" t="inlineStr">
        <is>
          <t>Shalini Kantayya</t>
        </is>
      </c>
      <c r="F745" s="19" t="inlineStr">
        <is>
          <t>China, Germany, India, United States</t>
        </is>
      </c>
      <c r="G745" s="19" t="inlineStr">
        <is>
          <t>2016-04-22</t>
        </is>
      </c>
      <c r="H745" s="19" t="n">
        <v>2015</v>
      </c>
      <c r="I745" s="19" t="inlineStr">
        <is>
          <t>TV-14</t>
        </is>
      </c>
      <c r="J745" s="19" t="inlineStr">
        <is>
          <t>74 min</t>
        </is>
      </c>
      <c r="K745" s="19" t="inlineStr">
        <is>
          <t>Documentaries</t>
        </is>
      </c>
      <c r="L745" s="19" t="inlineStr">
        <is>
          <t>This documentary explores the worldwide economics of the burgeoning solar energy industry and its impact on hopeful job seekers in the United States.</t>
        </is>
      </c>
      <c r="M745" s="19" t="n">
        <v>2016</v>
      </c>
      <c r="N745" s="19">
        <f>IF(AND(OR(YearFilter="All",$M745=YearFilter),OR(RatingFilter="All",$I745=RatingFilter),OR(TypeFilter="All",$B745=TypeFilter),OR(GenreFilter="All",COUNTIFS(tblGenre[show_id],$A745,tblGenre[Genre],GenreFilter)&gt;0)),1,0)</f>
        <v/>
      </c>
    </row>
    <row r="746" ht="15" customHeight="1" s="20">
      <c r="A746" s="19" t="inlineStr">
        <is>
          <t>s6437</t>
        </is>
      </c>
      <c r="B746" s="19" t="inlineStr">
        <is>
          <t>Movie</t>
        </is>
      </c>
      <c r="C746" s="19" t="inlineStr">
        <is>
          <t>Celluloid Man</t>
        </is>
      </c>
      <c r="D746" s="19" t="inlineStr">
        <is>
          <t>Shivendra Singh Dungarpur</t>
        </is>
      </c>
      <c r="E746" s="19" t="inlineStr">
        <is>
          <t>P.K. Nair</t>
        </is>
      </c>
      <c r="F746" s="19" t="inlineStr">
        <is>
          <t>India</t>
        </is>
      </c>
      <c r="G746" s="19" t="inlineStr">
        <is>
          <t>2017-04-01</t>
        </is>
      </c>
      <c r="H746" s="19" t="n">
        <v>2012</v>
      </c>
      <c r="I746" s="19" t="inlineStr">
        <is>
          <t>TV-PG</t>
        </is>
      </c>
      <c r="J746" s="19" t="inlineStr">
        <is>
          <t>156 min</t>
        </is>
      </c>
      <c r="K746" s="19" t="inlineStr">
        <is>
          <t>Documentaries, International Movies</t>
        </is>
      </c>
      <c r="L746" s="19" t="inlineStr">
        <is>
          <t>This documentary chronicles the philosophy and life's work of archivist P.K. Nair, who made a mission of preserving Indian cinema’s rich history.</t>
        </is>
      </c>
      <c r="M746" s="19" t="n">
        <v>2017</v>
      </c>
      <c r="N746" s="19">
        <f>IF(AND(OR(YearFilter="All",$M746=YearFilter),OR(RatingFilter="All",$I746=RatingFilter),OR(TypeFilter="All",$B746=TypeFilter),OR(GenreFilter="All",COUNTIFS(tblGenre[show_id],$A746,tblGenre[Genre],GenreFilter)&gt;0)),1,0)</f>
        <v/>
      </c>
    </row>
    <row r="747" ht="15" customHeight="1" s="20">
      <c r="A747" s="19" t="inlineStr">
        <is>
          <t>s6439</t>
        </is>
      </c>
      <c r="B747" s="19" t="inlineStr">
        <is>
          <t>Movie</t>
        </is>
      </c>
      <c r="C747" s="19" t="inlineStr">
        <is>
          <t>Chaar Sahibzaade</t>
        </is>
      </c>
      <c r="D747" s="19" t="inlineStr">
        <is>
          <t>Harry Baweja</t>
        </is>
      </c>
      <c r="E747" s="19" t="inlineStr">
        <is>
          <t>Om Puri</t>
        </is>
      </c>
      <c r="F747" s="19" t="inlineStr">
        <is>
          <t>India</t>
        </is>
      </c>
      <c r="G747" s="19" t="inlineStr">
        <is>
          <t>2018-11-01</t>
        </is>
      </c>
      <c r="H747" s="19" t="n">
        <v>2014</v>
      </c>
      <c r="I747" s="19" t="inlineStr">
        <is>
          <t>TV-PG</t>
        </is>
      </c>
      <c r="J747" s="19" t="inlineStr">
        <is>
          <t>126 min</t>
        </is>
      </c>
      <c r="K747" s="19" t="inlineStr">
        <is>
          <t>Dramas, Faith &amp; Spirituality, International Movies</t>
        </is>
      </c>
      <c r="L747" s="19" t="inlineStr">
        <is>
          <t>With a horde of enemy invaders bearing down, four sons of an illustrious Sikh guru lead a tiny but valiant army into a desperate fight for freedom.</t>
        </is>
      </c>
      <c r="M747" s="19" t="n">
        <v>2018</v>
      </c>
      <c r="N747" s="19">
        <f>IF(AND(OR(YearFilter="All",$M747=YearFilter),OR(RatingFilter="All",$I747=RatingFilter),OR(TypeFilter="All",$B747=TypeFilter),OR(GenreFilter="All",COUNTIFS(tblGenre[show_id],$A747,tblGenre[Genre],GenreFilter)&gt;0)),1,0)</f>
        <v/>
      </c>
    </row>
    <row r="748" ht="15" customHeight="1" s="20">
      <c r="A748" s="19" t="inlineStr">
        <is>
          <t>s6440</t>
        </is>
      </c>
      <c r="B748" s="19" t="inlineStr">
        <is>
          <t>Movie</t>
        </is>
      </c>
      <c r="C748" s="19" t="inlineStr">
        <is>
          <t>Chal Dhar Pakad</t>
        </is>
      </c>
      <c r="D748" s="19" t="inlineStr">
        <is>
          <t>Aatmaram Dharne</t>
        </is>
      </c>
      <c r="E748" s="19" t="inlineStr">
        <is>
          <t>Nagesh Bhonsle</t>
        </is>
      </c>
      <c r="F748" s="19" t="inlineStr">
        <is>
          <t>India</t>
        </is>
      </c>
      <c r="G748" s="19" t="inlineStr">
        <is>
          <t>2018-03-15</t>
        </is>
      </c>
      <c r="H748" s="19" t="n">
        <v>2010</v>
      </c>
      <c r="I748" s="19" t="inlineStr">
        <is>
          <t>TV-14</t>
        </is>
      </c>
      <c r="J748" s="19" t="inlineStr">
        <is>
          <t>129 min</t>
        </is>
      </c>
      <c r="K748" s="19" t="inlineStr">
        <is>
          <t>Comedies, Dramas, International Movies</t>
        </is>
      </c>
      <c r="L748" s="19" t="inlineStr">
        <is>
          <t>After her fat-shaming husband brings home a new lover, a wife in Maharashtra recruits a group of women to challenge him in a kabaddi match.</t>
        </is>
      </c>
      <c r="M748" s="19" t="n">
        <v>2018</v>
      </c>
      <c r="N748" s="19">
        <f>IF(AND(OR(YearFilter="All",$M748=YearFilter),OR(RatingFilter="All",$I748=RatingFilter),OR(TypeFilter="All",$B748=TypeFilter),OR(GenreFilter="All",COUNTIFS(tblGenre[show_id],$A748,tblGenre[Genre],GenreFilter)&gt;0)),1,0)</f>
        <v/>
      </c>
    </row>
    <row r="749" ht="15" customHeight="1" s="20">
      <c r="A749" s="19" t="inlineStr">
        <is>
          <t>s6441</t>
        </is>
      </c>
      <c r="B749" s="19" t="inlineStr">
        <is>
          <t>Movie</t>
        </is>
      </c>
      <c r="C749" s="19" t="inlineStr">
        <is>
          <t>Chal Mere Bhai</t>
        </is>
      </c>
      <c r="D749" s="19" t="inlineStr">
        <is>
          <t>David Dhawan</t>
        </is>
      </c>
      <c r="E749" s="19" t="inlineStr">
        <is>
          <t>Sanjay Dutt, Salman Khan, Karisma Kapoor, Dalip Tahil, Sushma Seth, Shakti Kapoor, Nagma, Sonali Bendre, Twinkle Khanna, Ravi Baswani</t>
        </is>
      </c>
      <c r="F749" s="19" t="inlineStr">
        <is>
          <t>India</t>
        </is>
      </c>
      <c r="G749" s="19" t="inlineStr">
        <is>
          <t>2019-12-31</t>
        </is>
      </c>
      <c r="H749" s="19" t="n">
        <v>2000</v>
      </c>
      <c r="I749" s="19" t="inlineStr">
        <is>
          <t>TV-14</t>
        </is>
      </c>
      <c r="J749" s="19" t="inlineStr">
        <is>
          <t>132 min</t>
        </is>
      </c>
      <c r="K749" s="19" t="inlineStr">
        <is>
          <t>Comedies, International Movies, Romantic Movies</t>
        </is>
      </c>
      <c r="L749" s="19" t="inlineStr">
        <is>
          <t>When a secretary saves her tycoon boss's life, his family hears wedding bells. Problem is, she's already in love – with his younger brother.</t>
        </is>
      </c>
      <c r="M749" s="19" t="n">
        <v>2019</v>
      </c>
      <c r="N749" s="19">
        <f>IF(AND(OR(YearFilter="All",$M749=YearFilter),OR(RatingFilter="All",$I749=RatingFilter),OR(TypeFilter="All",$B749=TypeFilter),OR(GenreFilter="All",COUNTIFS(tblGenre[show_id],$A749,tblGenre[Genre],GenreFilter)&gt;0)),1,0)</f>
        <v/>
      </c>
    </row>
    <row r="750" ht="15" customHeight="1" s="20">
      <c r="A750" s="19" t="inlineStr">
        <is>
          <t>s6450</t>
        </is>
      </c>
      <c r="B750" s="19" t="inlineStr">
        <is>
          <t>Movie</t>
        </is>
      </c>
      <c r="C750" s="19" t="inlineStr">
        <is>
          <t>Chashme Buddoor</t>
        </is>
      </c>
      <c r="D750" s="19" t="inlineStr">
        <is>
          <t>David Dhawan</t>
        </is>
      </c>
      <c r="E750" s="19" t="inlineStr">
        <is>
          <t>Ali Zafar, Siddharth, Divyendu Sharma, Tapsee Pannu, Rishi Kapoor, Anupam Kher, Bharati Achrekar, Varun Dhawan, Lillete Dubey, Ayaz Khan, Ashish Verma</t>
        </is>
      </c>
      <c r="F750" s="19" t="inlineStr">
        <is>
          <t>India</t>
        </is>
      </c>
      <c r="G750" s="19" t="inlineStr">
        <is>
          <t>2017-05-01</t>
        </is>
      </c>
      <c r="H750" s="19" t="n">
        <v>2013</v>
      </c>
      <c r="I750" s="19" t="inlineStr">
        <is>
          <t>TV-PG</t>
        </is>
      </c>
      <c r="J750" s="19" t="inlineStr">
        <is>
          <t>121 min</t>
        </is>
      </c>
      <c r="K750" s="19" t="inlineStr">
        <is>
          <t>Comedies, International Movies, Music &amp; Musicals</t>
        </is>
      </c>
      <c r="L750" s="19" t="inlineStr">
        <is>
          <t>When pretty new neighbor Seema falls for their shy roommate Sid, jealous womanizers Omi and Jai plot to break up the new lovebirds.</t>
        </is>
      </c>
      <c r="M750" s="19" t="n">
        <v>2017</v>
      </c>
      <c r="N750" s="19">
        <f>IF(AND(OR(YearFilter="All",$M750=YearFilter),OR(RatingFilter="All",$I750=RatingFilter),OR(TypeFilter="All",$B750=TypeFilter),OR(GenreFilter="All",COUNTIFS(tblGenre[show_id],$A750,tblGenre[Genre],GenreFilter)&gt;0)),1,0)</f>
        <v/>
      </c>
    </row>
    <row r="751" ht="15" customHeight="1" s="20">
      <c r="A751" s="19" t="inlineStr">
        <is>
          <t>s6455</t>
        </is>
      </c>
      <c r="B751" s="19" t="inlineStr">
        <is>
          <t>Movie</t>
        </is>
      </c>
      <c r="C751" s="19" t="inlineStr">
        <is>
          <t>Chauthi Koot</t>
        </is>
      </c>
      <c r="D751" s="19" t="inlineStr">
        <is>
          <t>Gurvinder Singh</t>
        </is>
      </c>
      <c r="E751" s="19" t="inlineStr">
        <is>
          <t>Suvinder Vikky, Rajbir Kaur, Gurpreet Kaur Bhangu, Taranjit Singh, Harleen Kaur, Kanwaljeet Singh, Harnek Aulakh, Tejpal Singh, Gulshan Saggi</t>
        </is>
      </c>
      <c r="F751" s="19" t="inlineStr">
        <is>
          <t>India, France</t>
        </is>
      </c>
      <c r="G751" s="19" t="inlineStr">
        <is>
          <t>2017-02-01</t>
        </is>
      </c>
      <c r="H751" s="19" t="n">
        <v>2015</v>
      </c>
      <c r="I751" s="19" t="inlineStr">
        <is>
          <t>TV-14</t>
        </is>
      </c>
      <c r="J751" s="19" t="inlineStr">
        <is>
          <t>116 min</t>
        </is>
      </c>
      <c r="K751" s="19" t="inlineStr">
        <is>
          <t>Dramas, Independent Movies, International Movies</t>
        </is>
      </c>
      <c r="L751" s="19" t="inlineStr">
        <is>
          <t>Related tales of a family seeking refuge and two men on a train to Amritsar evoke the dreadful unease surrounding Hindu-Sikh tensions in 1980s Punjab.</t>
        </is>
      </c>
      <c r="M751" s="19" t="n">
        <v>2017</v>
      </c>
      <c r="N751" s="19">
        <f>IF(AND(OR(YearFilter="All",$M751=YearFilter),OR(RatingFilter="All",$I751=RatingFilter),OR(TypeFilter="All",$B751=TypeFilter),OR(GenreFilter="All",COUNTIFS(tblGenre[show_id],$A751,tblGenre[Genre],GenreFilter)&gt;0)),1,0)</f>
        <v/>
      </c>
    </row>
    <row r="752" ht="15" customHeight="1" s="20">
      <c r="A752" s="19" t="inlineStr">
        <is>
          <t>s6465</t>
        </is>
      </c>
      <c r="B752" s="19" t="inlineStr">
        <is>
          <t>Movie</t>
        </is>
      </c>
      <c r="C752" s="19" t="inlineStr">
        <is>
          <t>Chhota Bheem Kungfu Dhamaka</t>
        </is>
      </c>
      <c r="D752" s="19" t="inlineStr">
        <is>
          <t>Rajiv Chilaka, Binayak Das</t>
        </is>
      </c>
      <c r="E752" s="19" t="inlineStr">
        <is>
          <t>Sonal Kaushal, Rupa Bhimani, Jigna Bharadhwaj, Sabina Malik, Julie Tejwani, Rajesh Kava, Vaibhav Thakkar, Samriddhi Shuklaa, Aditya Raj Sharma, Vinod Kulkarni</t>
        </is>
      </c>
      <c r="F752" s="19" t="inlineStr">
        <is>
          <t>India</t>
        </is>
      </c>
      <c r="G752" s="19" t="inlineStr">
        <is>
          <t>2019-08-15</t>
        </is>
      </c>
      <c r="H752" s="19" t="n">
        <v>2019</v>
      </c>
      <c r="I752" s="19" t="inlineStr">
        <is>
          <t>TV-Y7</t>
        </is>
      </c>
      <c r="J752" s="19" t="inlineStr">
        <is>
          <t>112 min</t>
        </is>
      </c>
      <c r="K752" s="19" t="inlineStr">
        <is>
          <t>Children &amp; Family Movies</t>
        </is>
      </c>
      <c r="L752" s="19" t="inlineStr">
        <is>
          <t>Chhota Bheem is in China for a martial arts competition but his real challenge: to save the emperor’s daughter from being kidnapped by the villain Zuhu!</t>
        </is>
      </c>
      <c r="M752" s="19" t="n">
        <v>2019</v>
      </c>
      <c r="N752" s="19">
        <f>IF(AND(OR(YearFilter="All",$M752=YearFilter),OR(RatingFilter="All",$I752=RatingFilter),OR(TypeFilter="All",$B752=TypeFilter),OR(GenreFilter="All",COUNTIFS(tblGenre[show_id],$A752,tblGenre[Genre],GenreFilter)&gt;0)),1,0)</f>
        <v/>
      </c>
    </row>
    <row r="753" ht="15" customHeight="1" s="20">
      <c r="A753" s="19" t="inlineStr">
        <is>
          <t>s6466</t>
        </is>
      </c>
      <c r="B753" s="19" t="inlineStr">
        <is>
          <t>Movie</t>
        </is>
      </c>
      <c r="C753" s="19" t="inlineStr">
        <is>
          <t>Chicken Kokkachi</t>
        </is>
      </c>
      <c r="D753" s="19" t="inlineStr">
        <is>
          <t>Anuranjan Premji</t>
        </is>
      </c>
      <c r="E753" s="19" t="inlineStr">
        <is>
          <t>Anuranjan Premji, Indrans, Dharmajan Bolgatty, Sudhi Koppa, Bijukuttan, Neha Rathanakaran, Prasanth</t>
        </is>
      </c>
      <c r="F753" s="19" t="inlineStr">
        <is>
          <t>India</t>
        </is>
      </c>
      <c r="G753" s="19" t="inlineStr">
        <is>
          <t>2018-07-01</t>
        </is>
      </c>
      <c r="H753" s="19" t="n">
        <v>2017</v>
      </c>
      <c r="I753" s="19" t="inlineStr">
        <is>
          <t>TV-14</t>
        </is>
      </c>
      <c r="J753" s="19" t="inlineStr">
        <is>
          <t>113 min</t>
        </is>
      </c>
      <c r="K753" s="19" t="inlineStr">
        <is>
          <t>Comedies, International Movies</t>
        </is>
      </c>
      <c r="L753" s="19" t="inlineStr">
        <is>
          <t>In the wake of his sister's marriage, a young middle-class man leaves his village and learns that supporting one's self is easier said than done.</t>
        </is>
      </c>
      <c r="M753" s="19" t="n">
        <v>2018</v>
      </c>
      <c r="N753" s="19">
        <f>IF(AND(OR(YearFilter="All",$M753=YearFilter),OR(RatingFilter="All",$I753=RatingFilter),OR(TypeFilter="All",$B753=TypeFilter),OR(GenreFilter="All",COUNTIFS(tblGenre[show_id],$A753,tblGenre[Genre],GenreFilter)&gt;0)),1,0)</f>
        <v/>
      </c>
    </row>
    <row r="754" ht="15" customHeight="1" s="20">
      <c r="A754" s="19" t="inlineStr">
        <is>
          <t>s6473</t>
        </is>
      </c>
      <c r="B754" s="19" t="inlineStr">
        <is>
          <t>Movie</t>
        </is>
      </c>
      <c r="C754" s="19" t="inlineStr">
        <is>
          <t>Chittagong</t>
        </is>
      </c>
      <c r="D754" s="19" t="inlineStr">
        <is>
          <t>Bedabrata Pain</t>
        </is>
      </c>
      <c r="E754" s="19" t="inlineStr">
        <is>
          <t>Manoj Bajpayee, Barry John, Delzad Hiwale, Vega Tamotia, Nawazuddin Siddiqui, Rajkummar Rao, Jaideep Ahlawat, Vijay Varma, Dibyendu Bhattacharya</t>
        </is>
      </c>
      <c r="F754" s="19" t="inlineStr">
        <is>
          <t>United States, India, Bangladesh</t>
        </is>
      </c>
      <c r="G754" s="19" t="inlineStr">
        <is>
          <t>2018-01-01</t>
        </is>
      </c>
      <c r="H754" s="19" t="n">
        <v>2012</v>
      </c>
      <c r="I754" s="19" t="inlineStr">
        <is>
          <t>NR</t>
        </is>
      </c>
      <c r="J754" s="19" t="inlineStr">
        <is>
          <t>105 min</t>
        </is>
      </c>
      <c r="K754" s="19" t="inlineStr">
        <is>
          <t>Dramas, Independent Movies, International Movies</t>
        </is>
      </c>
      <c r="L754" s="19" t="inlineStr">
        <is>
          <t>In the turbulent 1930s of British colonial India, a teenager joins a ragtag army of schoolboys determined to overthrow their foreign conquerors.</t>
        </is>
      </c>
      <c r="M754" s="19" t="n">
        <v>2018</v>
      </c>
      <c r="N754" s="19">
        <f>IF(AND(OR(YearFilter="All",$M754=YearFilter),OR(RatingFilter="All",$I754=RatingFilter),OR(TypeFilter="All",$B754=TypeFilter),OR(GenreFilter="All",COUNTIFS(tblGenre[show_id],$A754,tblGenre[Genre],GenreFilter)&gt;0)),1,0)</f>
        <v/>
      </c>
    </row>
    <row r="755" ht="15" customHeight="1" s="20">
      <c r="A755" s="19" t="inlineStr">
        <is>
          <t>s6486</t>
        </is>
      </c>
      <c r="B755" s="19" t="inlineStr">
        <is>
          <t>Movie</t>
        </is>
      </c>
      <c r="C755" s="19" t="inlineStr">
        <is>
          <t>Chupke Chupke</t>
        </is>
      </c>
      <c r="D755" s="19" t="inlineStr">
        <is>
          <t>Hrishikesh Mukherjee</t>
        </is>
      </c>
      <c r="E755" s="19" t="inlineStr">
        <is>
          <t>Dharmendra, Sharmila Tagore, Amitabh Bachchan, Jaya Bhaduri, Om Prakash, Asrani, David Abraham, Usha Kiran, Lily Chakravarty, Keshto Mukherjee</t>
        </is>
      </c>
      <c r="F755" s="19" t="inlineStr">
        <is>
          <t>India</t>
        </is>
      </c>
      <c r="G755" s="19" t="inlineStr">
        <is>
          <t>2019-12-31</t>
        </is>
      </c>
      <c r="H755" s="19" t="n">
        <v>1975</v>
      </c>
      <c r="I755" s="19" t="inlineStr">
        <is>
          <t>TV-PG</t>
        </is>
      </c>
      <c r="J755" s="19" t="inlineStr">
        <is>
          <t>127 min</t>
        </is>
      </c>
      <c r="K755" s="19" t="inlineStr">
        <is>
          <t>Classic Movies, Comedies, International Movies</t>
        </is>
      </c>
      <c r="L755" s="19" t="inlineStr">
        <is>
          <t>Jealous of the high regard in which his new wife holds their brother-in-law, a botany professor stages an elaborate prank that will even the score.</t>
        </is>
      </c>
      <c r="M755" s="19" t="n">
        <v>2019</v>
      </c>
      <c r="N755" s="19">
        <f>IF(AND(OR(YearFilter="All",$M755=YearFilter),OR(RatingFilter="All",$I755=RatingFilter),OR(TypeFilter="All",$B755=TypeFilter),OR(GenreFilter="All",COUNTIFS(tblGenre[show_id],$A755,tblGenre[Genre],GenreFilter)&gt;0)),1,0)</f>
        <v/>
      </c>
    </row>
    <row r="756" ht="15" customHeight="1" s="20">
      <c r="A756" s="19" t="inlineStr">
        <is>
          <t>s6496</t>
        </is>
      </c>
      <c r="B756" s="19" t="inlineStr">
        <is>
          <t>TV Show</t>
        </is>
      </c>
      <c r="C756" s="19" t="inlineStr">
        <is>
          <t>Classic Legends</t>
        </is>
      </c>
      <c r="E756" s="19" t="inlineStr">
        <is>
          <t>Javed Akhtar</t>
        </is>
      </c>
      <c r="F756" s="19" t="inlineStr">
        <is>
          <t>India</t>
        </is>
      </c>
      <c r="G756" s="19" t="inlineStr">
        <is>
          <t>2017-05-15</t>
        </is>
      </c>
      <c r="H756" s="19" t="n">
        <v>2012</v>
      </c>
      <c r="I756" s="19" t="inlineStr">
        <is>
          <t>TV-PG</t>
        </is>
      </c>
      <c r="J756" s="19" t="inlineStr">
        <is>
          <t>1 Season</t>
        </is>
      </c>
      <c r="K756" s="19" t="inlineStr">
        <is>
          <t>Docuseries, International TV Shows</t>
        </is>
      </c>
      <c r="L756" s="19" t="inlineStr">
        <is>
          <t>This documentary series explores the glamour of Bollywood through the stories of the men and women who have illuminated its screens.</t>
        </is>
      </c>
      <c r="M756" s="19" t="n">
        <v>2017</v>
      </c>
      <c r="N756" s="19">
        <f>IF(AND(OR(YearFilter="All",$M756=YearFilter),OR(RatingFilter="All",$I756=RatingFilter),OR(TypeFilter="All",$B756=TypeFilter),OR(GenreFilter="All",COUNTIFS(tblGenre[show_id],$A756,tblGenre[Genre],GenreFilter)&gt;0)),1,0)</f>
        <v/>
      </c>
    </row>
    <row r="757" ht="15" customHeight="1" s="20">
      <c r="A757" s="19" t="inlineStr">
        <is>
          <t>s6513</t>
        </is>
      </c>
      <c r="B757" s="19" t="inlineStr">
        <is>
          <t>Movie</t>
        </is>
      </c>
      <c r="C757" s="19" t="inlineStr">
        <is>
          <t>Coffee with D</t>
        </is>
      </c>
      <c r="D757" s="19" t="inlineStr">
        <is>
          <t>Vishal Mishra</t>
        </is>
      </c>
      <c r="E757" s="19" t="inlineStr">
        <is>
          <t>Sunil Grover, Zakir Hussain, Anjana Sukhani, Dipannita Sharma, Pankaj Tripathi, Rajesh Sharma, Vinod Ramani, Guru Singh</t>
        </is>
      </c>
      <c r="F757" s="19" t="inlineStr">
        <is>
          <t>India</t>
        </is>
      </c>
      <c r="G757" s="19" t="inlineStr">
        <is>
          <t>2017-11-01</t>
        </is>
      </c>
      <c r="H757" s="19" t="n">
        <v>2017</v>
      </c>
      <c r="I757" s="19" t="inlineStr">
        <is>
          <t>TV-PG</t>
        </is>
      </c>
      <c r="J757" s="19" t="inlineStr">
        <is>
          <t>120 min</t>
        </is>
      </c>
      <c r="K757" s="19" t="inlineStr">
        <is>
          <t>Comedies, Independent Movies, International Movies</t>
        </is>
      </c>
      <c r="L757" s="19" t="inlineStr">
        <is>
          <t>Low TV ratings drive a well-known journalist to concoct a plan to interview a notorious underworld figure who is also a suspected terrorist.</t>
        </is>
      </c>
      <c r="M757" s="19" t="n">
        <v>2017</v>
      </c>
      <c r="N757" s="19">
        <f>IF(AND(OR(YearFilter="All",$M757=YearFilter),OR(RatingFilter="All",$I757=RatingFilter),OR(TypeFilter="All",$B757=TypeFilter),OR(GenreFilter="All",COUNTIFS(tblGenre[show_id],$A757,tblGenre[Genre],GenreFilter)&gt;0)),1,0)</f>
        <v/>
      </c>
    </row>
    <row r="758" ht="15" customHeight="1" s="20">
      <c r="A758" s="19" t="inlineStr">
        <is>
          <t>s6516</t>
        </is>
      </c>
      <c r="B758" s="19" t="inlineStr">
        <is>
          <t>Movie</t>
        </is>
      </c>
      <c r="C758" s="19" t="inlineStr">
        <is>
          <t>Colkatay Columbus</t>
        </is>
      </c>
      <c r="D758" s="19" t="inlineStr">
        <is>
          <t>Saurav Palodhi</t>
        </is>
      </c>
      <c r="E758" s="19" t="inlineStr">
        <is>
          <t>Mir Afsar Ali, Gaurav Chakrabarty, Tanusree Chakraborty, Anirban Bhattacharya, Ritabhari Chakraborty, Suchandra Vaaniya, Arijit Dutt</t>
        </is>
      </c>
      <c r="F758" s="19" t="inlineStr">
        <is>
          <t>India</t>
        </is>
      </c>
      <c r="G758" s="19" t="inlineStr">
        <is>
          <t>2017-03-30</t>
        </is>
      </c>
      <c r="H758" s="19" t="n">
        <v>2016</v>
      </c>
      <c r="I758" s="19" t="inlineStr">
        <is>
          <t>TV-14</t>
        </is>
      </c>
      <c r="J758" s="19" t="inlineStr">
        <is>
          <t>118 min</t>
        </is>
      </c>
      <c r="K758" s="19" t="inlineStr">
        <is>
          <t>Comedies, Dramas, Independent Movies</t>
        </is>
      </c>
      <c r="L758" s="19" t="inlineStr">
        <is>
          <t>When Christopher Columbus mysteriously appears in modern-day Kolkata, India, two struggling young men look to him for advice on achieving success.</t>
        </is>
      </c>
      <c r="M758" s="19" t="n">
        <v>2017</v>
      </c>
      <c r="N758" s="19">
        <f>IF(AND(OR(YearFilter="All",$M758=YearFilter),OR(RatingFilter="All",$I758=RatingFilter),OR(TypeFilter="All",$B758=TypeFilter),OR(GenreFilter="All",COUNTIFS(tblGenre[show_id],$A758,tblGenre[Genre],GenreFilter)&gt;0)),1,0)</f>
        <v/>
      </c>
    </row>
    <row r="759" ht="15" customHeight="1" s="20">
      <c r="A759" s="19" t="inlineStr">
        <is>
          <t>s6518</t>
        </is>
      </c>
      <c r="B759" s="19" t="inlineStr">
        <is>
          <t>Movie</t>
        </is>
      </c>
      <c r="C759" s="19" t="inlineStr">
        <is>
          <t>Colours of Passion</t>
        </is>
      </c>
      <c r="D759" s="19" t="inlineStr">
        <is>
          <t>Ketan Mehta</t>
        </is>
      </c>
      <c r="E759" s="19" t="inlineStr">
        <is>
          <t>Randeep Hooda, Nandana Sen, Jim Boeven, Paresh Rawal, Tom Alter, Vikram Gokhale, Vipin Sharma, Gaurav Dwivedi</t>
        </is>
      </c>
      <c r="F759" s="19" t="inlineStr">
        <is>
          <t>India</t>
        </is>
      </c>
      <c r="G759" s="19" t="inlineStr">
        <is>
          <t>2018-05-25</t>
        </is>
      </c>
      <c r="H759" s="19" t="n">
        <v>2008</v>
      </c>
      <c r="I759" s="19" t="inlineStr">
        <is>
          <t>TV-14</t>
        </is>
      </c>
      <c r="J759" s="19" t="inlineStr">
        <is>
          <t>114 min</t>
        </is>
      </c>
      <c r="K759" s="19" t="inlineStr">
        <is>
          <t>Dramas, International Movies</t>
        </is>
      </c>
      <c r="L759" s="19" t="inlineStr">
        <is>
          <t>Seeking inspiration, a young 19th-century painter finds a woman who is his love, his muse and his willing subject, but his work becomes controversial.</t>
        </is>
      </c>
      <c r="M759" s="19" t="n">
        <v>2018</v>
      </c>
      <c r="N759" s="19">
        <f>IF(AND(OR(YearFilter="All",$M759=YearFilter),OR(RatingFilter="All",$I759=RatingFilter),OR(TypeFilter="All",$B759=TypeFilter),OR(GenreFilter="All",COUNTIFS(tblGenre[show_id],$A759,tblGenre[Genre],GenreFilter)&gt;0)),1,0)</f>
        <v/>
      </c>
    </row>
    <row r="760" ht="15" customHeight="1" s="20">
      <c r="A760" s="19" t="inlineStr">
        <is>
          <t>s6523</t>
        </is>
      </c>
      <c r="B760" s="19" t="inlineStr">
        <is>
          <t>Movie</t>
        </is>
      </c>
      <c r="C760" s="19" t="inlineStr">
        <is>
          <t>Company</t>
        </is>
      </c>
      <c r="D760" s="19" t="inlineStr">
        <is>
          <t>Ram Gopal Varma</t>
        </is>
      </c>
      <c r="E760" s="19" t="inlineStr">
        <is>
          <t>Ajay Devgn, Vivek Oberoi, Mohanlal, Manisha Koirala, Seema Biswas, Antara Mali, Akash Khurana, Madan Joshi, Vijay Raaz, Rajpal Yadav</t>
        </is>
      </c>
      <c r="F760" s="19" t="inlineStr">
        <is>
          <t>India</t>
        </is>
      </c>
      <c r="G760" s="19" t="inlineStr">
        <is>
          <t>2018-03-01</t>
        </is>
      </c>
      <c r="H760" s="19" t="n">
        <v>2002</v>
      </c>
      <c r="I760" s="19" t="inlineStr">
        <is>
          <t>TV-MA</t>
        </is>
      </c>
      <c r="J760" s="19" t="inlineStr">
        <is>
          <t>137 min</t>
        </is>
      </c>
      <c r="K760" s="19" t="inlineStr">
        <is>
          <t>Action &amp; Adventure, Dramas, International Movies</t>
        </is>
      </c>
      <c r="L760" s="19" t="inlineStr">
        <is>
          <t>Following a misunderstanding, a gangster and his boss part ways and become bitter enemies – with devastating consequences.</t>
        </is>
      </c>
      <c r="M760" s="19" t="n">
        <v>2018</v>
      </c>
      <c r="N760" s="19">
        <f>IF(AND(OR(YearFilter="All",$M760=YearFilter),OR(RatingFilter="All",$I760=RatingFilter),OR(TypeFilter="All",$B760=TypeFilter),OR(GenreFilter="All",COUNTIFS(tblGenre[show_id],$A760,tblGenre[Genre],GenreFilter)&gt;0)),1,0)</f>
        <v/>
      </c>
    </row>
    <row r="761" ht="15" customHeight="1" s="20">
      <c r="A761" s="19" t="inlineStr">
        <is>
          <t>s6531</t>
        </is>
      </c>
      <c r="B761" s="19" t="inlineStr">
        <is>
          <t>Movie</t>
        </is>
      </c>
      <c r="C761" s="19" t="inlineStr">
        <is>
          <t>Contract</t>
        </is>
      </c>
      <c r="D761" s="19" t="inlineStr">
        <is>
          <t>Ram Gopal Varma</t>
        </is>
      </c>
      <c r="E761" s="19" t="inlineStr">
        <is>
          <t>Adhvik Mahajan, Prasad Purandhare, Sakshi Gulati, Zakir Hussain, Amruta Subhash, Kishore Kadam, Sumeet Nijhawan, Upyendra Limaye</t>
        </is>
      </c>
      <c r="F761" s="19" t="inlineStr">
        <is>
          <t>India</t>
        </is>
      </c>
      <c r="G761" s="19" t="inlineStr">
        <is>
          <t>2019-03-02</t>
        </is>
      </c>
      <c r="H761" s="19" t="n">
        <v>2008</v>
      </c>
      <c r="I761" s="19" t="inlineStr">
        <is>
          <t>TV-14</t>
        </is>
      </c>
      <c r="J761" s="19" t="inlineStr">
        <is>
          <t>116 min</t>
        </is>
      </c>
      <c r="K761" s="19" t="inlineStr">
        <is>
          <t>Action &amp; Adventure, Dramas, Independent Movies</t>
        </is>
      </c>
      <c r="L761" s="19" t="inlineStr">
        <is>
          <t>Following the death of his wife and daughter in a terrorist attack, an ex-Indian army commando agrees to infiltrate a terrorist cell.</t>
        </is>
      </c>
      <c r="M761" s="19" t="n">
        <v>2019</v>
      </c>
      <c r="N761" s="19">
        <f>IF(AND(OR(YearFilter="All",$M761=YearFilter),OR(RatingFilter="All",$I761=RatingFilter),OR(TypeFilter="All",$B761=TypeFilter),OR(GenreFilter="All",COUNTIFS(tblGenre[show_id],$A761,tblGenre[Genre],GenreFilter)&gt;0)),1,0)</f>
        <v/>
      </c>
    </row>
    <row r="762" ht="15" customHeight="1" s="20">
      <c r="A762" s="19" t="inlineStr">
        <is>
          <t>s6542</t>
        </is>
      </c>
      <c r="B762" s="19" t="inlineStr">
        <is>
          <t>Movie</t>
        </is>
      </c>
      <c r="C762" s="19" t="inlineStr">
        <is>
          <t>CRD</t>
        </is>
      </c>
      <c r="D762" s="19" t="inlineStr">
        <is>
          <t>Kranti Kanade</t>
        </is>
      </c>
      <c r="E762" s="19" t="inlineStr">
        <is>
          <t>Mrinmayee Godbole, Vinay Sharma, Saurabh Saraswat, Isha Keskar, Abhay Mahajan, Geetika Tyagi</t>
        </is>
      </c>
      <c r="F762" s="19" t="inlineStr">
        <is>
          <t>India</t>
        </is>
      </c>
      <c r="G762" s="19" t="inlineStr">
        <is>
          <t>2019-04-29</t>
        </is>
      </c>
      <c r="H762" s="19" t="n">
        <v>2016</v>
      </c>
      <c r="I762" s="19" t="inlineStr">
        <is>
          <t>TV-MA</t>
        </is>
      </c>
      <c r="J762" s="19" t="inlineStr">
        <is>
          <t>110 min</t>
        </is>
      </c>
      <c r="K762" s="19" t="inlineStr">
        <is>
          <t>Comedies, Dramas, Independent Movies</t>
        </is>
      </c>
      <c r="L762" s="19" t="inlineStr">
        <is>
          <t>At odds with his radical instructor's ruthless methods, a drama student assembles his own troupe of misfit actors ahead of a prestigious competition.</t>
        </is>
      </c>
      <c r="M762" s="19" t="n">
        <v>2019</v>
      </c>
      <c r="N762" s="19">
        <f>IF(AND(OR(YearFilter="All",$M762=YearFilter),OR(RatingFilter="All",$I762=RatingFilter),OR(TypeFilter="All",$B762=TypeFilter),OR(GenreFilter="All",COUNTIFS(tblGenre[show_id],$A762,tblGenre[Genre],GenreFilter)&gt;0)),1,0)</f>
        <v/>
      </c>
    </row>
    <row r="763" ht="15" customHeight="1" s="20">
      <c r="A763" s="19" t="inlineStr">
        <is>
          <t>s6547</t>
        </is>
      </c>
      <c r="B763" s="19" t="inlineStr">
        <is>
          <t>Movie</t>
        </is>
      </c>
      <c r="C763" s="19" t="inlineStr">
        <is>
          <t>Daagdi Chaawl</t>
        </is>
      </c>
      <c r="D763" s="19" t="inlineStr">
        <is>
          <t>Chandrakant Kanse</t>
        </is>
      </c>
      <c r="E763" s="19" t="inlineStr">
        <is>
          <t>Ankush Chaudhari, Makrand Deshpande, Pooja Sawant, Sanjay Khapre, Yatin Karyekar, Kamlesh Sawant, Sandeep Gaikwad, Digvijay Rohidas</t>
        </is>
      </c>
      <c r="F763" s="19" t="inlineStr">
        <is>
          <t>India</t>
        </is>
      </c>
      <c r="G763" s="19" t="inlineStr">
        <is>
          <t>2018-02-15</t>
        </is>
      </c>
      <c r="H763" s="19" t="n">
        <v>2015</v>
      </c>
      <c r="I763" s="19" t="inlineStr">
        <is>
          <t>TV-14</t>
        </is>
      </c>
      <c r="J763" s="19" t="inlineStr">
        <is>
          <t>118 min</t>
        </is>
      </c>
      <c r="K763" s="19" t="inlineStr">
        <is>
          <t>Action &amp; Adventure, Dramas, International Movies</t>
        </is>
      </c>
      <c r="L763" s="19" t="inlineStr">
        <is>
          <t>A simple man's peaceful life is complicated when an incident brings him in contact with a gangster and launches his journey into the underworld.</t>
        </is>
      </c>
      <c r="M763" s="19" t="n">
        <v>2018</v>
      </c>
      <c r="N763" s="19">
        <f>IF(AND(OR(YearFilter="All",$M763=YearFilter),OR(RatingFilter="All",$I763=RatingFilter),OR(TypeFilter="All",$B763=TypeFilter),OR(GenreFilter="All",COUNTIFS(tblGenre[show_id],$A763,tblGenre[Genre],GenreFilter)&gt;0)),1,0)</f>
        <v/>
      </c>
    </row>
    <row r="764" ht="15" customHeight="1" s="20">
      <c r="A764" s="19" t="inlineStr">
        <is>
          <t>s6554</t>
        </is>
      </c>
      <c r="B764" s="19" t="inlineStr">
        <is>
          <t>Movie</t>
        </is>
      </c>
      <c r="C764" s="19" t="inlineStr">
        <is>
          <t>Daffedar</t>
        </is>
      </c>
      <c r="D764" s="19" t="inlineStr">
        <is>
          <t>Johnson Esthappan</t>
        </is>
      </c>
      <c r="E764" s="19" t="inlineStr">
        <is>
          <t>Tini Tom, Malavikka, Sudheer Karamana, Indrans</t>
        </is>
      </c>
      <c r="F764" s="19" t="inlineStr">
        <is>
          <t>India</t>
        </is>
      </c>
      <c r="G764" s="19" t="inlineStr">
        <is>
          <t>2018-07-01</t>
        </is>
      </c>
      <c r="H764" s="19" t="n">
        <v>2017</v>
      </c>
      <c r="I764" s="19" t="inlineStr">
        <is>
          <t>TV-14</t>
        </is>
      </c>
      <c r="J764" s="19" t="inlineStr">
        <is>
          <t>151 min</t>
        </is>
      </c>
      <c r="K764" s="19" t="inlineStr">
        <is>
          <t>Dramas, International Movies</t>
        </is>
      </c>
      <c r="L764" s="19" t="inlineStr">
        <is>
          <t>A retired government worker continues to dedicate himself to public service, but his principled ways soon clash with those of his extravagant sons.</t>
        </is>
      </c>
      <c r="M764" s="19" t="n">
        <v>2018</v>
      </c>
      <c r="N764" s="19">
        <f>IF(AND(OR(YearFilter="All",$M764=YearFilter),OR(RatingFilter="All",$I764=RatingFilter),OR(TypeFilter="All",$B764=TypeFilter),OR(GenreFilter="All",COUNTIFS(tblGenre[show_id],$A764,tblGenre[Genre],GenreFilter)&gt;0)),1,0)</f>
        <v/>
      </c>
    </row>
    <row r="765" ht="15" customHeight="1" s="20">
      <c r="A765" s="19" t="inlineStr">
        <is>
          <t>s6555</t>
        </is>
      </c>
      <c r="B765" s="19" t="inlineStr">
        <is>
          <t>Movie</t>
        </is>
      </c>
      <c r="C765" s="19" t="inlineStr">
        <is>
          <t>Dagh Ujala</t>
        </is>
      </c>
      <c r="D765" s="19" t="inlineStr">
        <is>
          <t>Raj Amit Kumar</t>
        </is>
      </c>
      <c r="E765" s="19" t="inlineStr">
        <is>
          <t>Victor Banerjee, Adil Hussain, Bhanu Uday, Preeti Gupta, Bhavani Lee, Ankur Vikal, Seema Rahmani, Samrat Chakrabarti</t>
        </is>
      </c>
      <c r="F765" s="19" t="inlineStr">
        <is>
          <t>United States, India</t>
        </is>
      </c>
      <c r="G765" s="19" t="inlineStr">
        <is>
          <t>2018-04-01</t>
        </is>
      </c>
      <c r="H765" s="19" t="n">
        <v>2015</v>
      </c>
      <c r="I765" s="19" t="inlineStr">
        <is>
          <t>TV-MA</t>
        </is>
      </c>
      <c r="J765" s="19" t="inlineStr">
        <is>
          <t>103 min</t>
        </is>
      </c>
      <c r="K765" s="19" t="inlineStr">
        <is>
          <t>Dramas, Independent Movies, International Movies</t>
        </is>
      </c>
      <c r="L765" s="19" t="inlineStr">
        <is>
          <t>A lesbian daughter fights off an arranged marriage in India while an Islamic fundamentalist targets an anti-extremist Muslim scholar in New York.</t>
        </is>
      </c>
      <c r="M765" s="19" t="n">
        <v>2018</v>
      </c>
      <c r="N765" s="19">
        <f>IF(AND(OR(YearFilter="All",$M765=YearFilter),OR(RatingFilter="All",$I765=RatingFilter),OR(TypeFilter="All",$B765=TypeFilter),OR(GenreFilter="All",COUNTIFS(tblGenre[show_id],$A765,tblGenre[Genre],GenreFilter)&gt;0)),1,0)</f>
        <v/>
      </c>
    </row>
    <row r="766" ht="15" customHeight="1" s="20">
      <c r="A766" s="19" t="inlineStr">
        <is>
          <t>s6565</t>
        </is>
      </c>
      <c r="B766" s="19" t="inlineStr">
        <is>
          <t>Movie</t>
        </is>
      </c>
      <c r="C766" s="19" t="inlineStr">
        <is>
          <t>Dark Chocolate (Bengali Version)</t>
        </is>
      </c>
      <c r="D766" s="19" t="inlineStr">
        <is>
          <t>Agnidev Chatterjee</t>
        </is>
      </c>
      <c r="E766" s="19" t="inlineStr">
        <is>
          <t>Riya Sen, Mahima Chaudhry, Rajesh Sharma, Indrasish Roy, Mumtaz Sorcar, Sudip Mukherjee, Shataf Figar, Koushik Sen</t>
        </is>
      </c>
      <c r="F766" s="19" t="inlineStr">
        <is>
          <t>India</t>
        </is>
      </c>
      <c r="G766" s="19" t="inlineStr">
        <is>
          <t>2017-12-15</t>
        </is>
      </c>
      <c r="H766" s="19" t="n">
        <v>2016</v>
      </c>
      <c r="I766" s="19" t="inlineStr">
        <is>
          <t>TV-MA</t>
        </is>
      </c>
      <c r="J766" s="19" t="inlineStr">
        <is>
          <t>91 min</t>
        </is>
      </c>
      <c r="K766" s="19" t="inlineStr">
        <is>
          <t>Dramas, International Movies, Thrillers</t>
        </is>
      </c>
      <c r="L766" s="19" t="inlineStr">
        <is>
          <t>In this Bangla thriller inspired by a true story, the discovery of a charred corpse in the woods leads to a high-profile murder investigation.</t>
        </is>
      </c>
      <c r="M766" s="19" t="n">
        <v>2017</v>
      </c>
      <c r="N766" s="19">
        <f>IF(AND(OR(YearFilter="All",$M766=YearFilter),OR(RatingFilter="All",$I766=RatingFilter),OR(TypeFilter="All",$B766=TypeFilter),OR(GenreFilter="All",COUNTIFS(tblGenre[show_id],$A766,tblGenre[Genre],GenreFilter)&gt;0)),1,0)</f>
        <v/>
      </c>
    </row>
    <row r="767" ht="15" customHeight="1" s="20">
      <c r="A767" s="19" t="inlineStr">
        <is>
          <t>s6568</t>
        </is>
      </c>
      <c r="B767" s="19" t="inlineStr">
        <is>
          <t>Movie</t>
        </is>
      </c>
      <c r="C767" s="19" t="inlineStr">
        <is>
          <t>Darna Mana Hai</t>
        </is>
      </c>
      <c r="D767" s="19" t="inlineStr">
        <is>
          <t>Prawal Raman</t>
        </is>
      </c>
      <c r="E767" s="19" t="inlineStr">
        <is>
          <t>Aftab Shivdasani, Antara Mali, Boman Irani, Isha Koppikar, Nana Patekar, Raghuvir Yadav, Rajpal Yadav, Revathy, Saif Ali Khan, Sameera Reddy, Sanjay Kapoor, Shilpa Shetty, Sohail Khan, Vivek Oberoi</t>
        </is>
      </c>
      <c r="F767" s="19" t="inlineStr">
        <is>
          <t>India</t>
        </is>
      </c>
      <c r="G767" s="19" t="inlineStr">
        <is>
          <t>2019-08-01</t>
        </is>
      </c>
      <c r="H767" s="19" t="n">
        <v>2003</v>
      </c>
      <c r="I767" s="19" t="inlineStr">
        <is>
          <t>TV-MA</t>
        </is>
      </c>
      <c r="J767" s="19" t="inlineStr">
        <is>
          <t>116 min</t>
        </is>
      </c>
      <c r="K767" s="19" t="inlineStr">
        <is>
          <t>Horror Movies, International Movies, Thrillers</t>
        </is>
      </c>
      <c r="L767" s="19" t="inlineStr">
        <is>
          <t>Stranded in a jungle when their car breaks down, six friends pass their time exchanging horror stories, unaware that they may be part of one themselves.</t>
        </is>
      </c>
      <c r="M767" s="19" t="n">
        <v>2019</v>
      </c>
      <c r="N767" s="19">
        <f>IF(AND(OR(YearFilter="All",$M767=YearFilter),OR(RatingFilter="All",$I767=RatingFilter),OR(TypeFilter="All",$B767=TypeFilter),OR(GenreFilter="All",COUNTIFS(tblGenre[show_id],$A767,tblGenre[Genre],GenreFilter)&gt;0)),1,0)</f>
        <v/>
      </c>
    </row>
    <row r="768" ht="15" customHeight="1" s="20">
      <c r="A768" s="19" t="inlineStr">
        <is>
          <t>s6569</t>
        </is>
      </c>
      <c r="B768" s="19" t="inlineStr">
        <is>
          <t>TV Show</t>
        </is>
      </c>
      <c r="C768" s="19" t="inlineStr">
        <is>
          <t>Darr Sabko Lagta Hai</t>
        </is>
      </c>
      <c r="E768" s="19" t="inlineStr">
        <is>
          <t>Bipasha Basu</t>
        </is>
      </c>
      <c r="F768" s="19" t="inlineStr">
        <is>
          <t>India</t>
        </is>
      </c>
      <c r="G768" s="19" t="inlineStr">
        <is>
          <t>2018-03-01</t>
        </is>
      </c>
      <c r="H768" s="19" t="n">
        <v>2015</v>
      </c>
      <c r="I768" s="19" t="inlineStr">
        <is>
          <t>TV-MA</t>
        </is>
      </c>
      <c r="J768" s="19" t="inlineStr">
        <is>
          <t>1 Season</t>
        </is>
      </c>
      <c r="K768" s="19" t="inlineStr">
        <is>
          <t>International TV Shows, TV Horror, TV Thrillers</t>
        </is>
      </c>
      <c r="L768" s="19" t="inlineStr">
        <is>
          <t>In this chilling horror anthology series, actress and model Bipasha Basu meets people who have had disconcerting paranormal experiences.</t>
        </is>
      </c>
      <c r="M768" s="19" t="n">
        <v>2018</v>
      </c>
      <c r="N768" s="19">
        <f>IF(AND(OR(YearFilter="All",$M768=YearFilter),OR(RatingFilter="All",$I768=RatingFilter),OR(TypeFilter="All",$B768=TypeFilter),OR(GenreFilter="All",COUNTIFS(tblGenre[show_id],$A768,tblGenre[Genre],GenreFilter)&gt;0)),1,0)</f>
        <v/>
      </c>
    </row>
    <row r="769" ht="15" customHeight="1" s="20">
      <c r="A769" s="19" t="inlineStr">
        <is>
          <t>s6570</t>
        </is>
      </c>
      <c r="B769" s="19" t="inlineStr">
        <is>
          <t>Movie</t>
        </is>
      </c>
      <c r="C769" s="19" t="inlineStr">
        <is>
          <t>Darra</t>
        </is>
      </c>
      <c r="D769" s="19" t="inlineStr">
        <is>
          <t>Parveen Kumar</t>
        </is>
      </c>
      <c r="E769" s="19" t="inlineStr">
        <is>
          <t>Gurpreet Ghuggi, Happy Raikoti, Kartar Cheema, Sardar Sohi, Shavendra Mahal, Karamjit Anmol, Pammi Bai, Nirmal Rishi, Manpreet Saggu</t>
        </is>
      </c>
      <c r="F769" s="19" t="inlineStr">
        <is>
          <t>India</t>
        </is>
      </c>
      <c r="G769" s="19" t="inlineStr">
        <is>
          <t>2017-10-15</t>
        </is>
      </c>
      <c r="H769" s="19" t="n">
        <v>2016</v>
      </c>
      <c r="I769" s="19" t="inlineStr">
        <is>
          <t>TV-14</t>
        </is>
      </c>
      <c r="J769" s="19" t="inlineStr">
        <is>
          <t>121 min</t>
        </is>
      </c>
      <c r="K769" s="19" t="inlineStr">
        <is>
          <t>Dramas, International Movies</t>
        </is>
      </c>
      <c r="L769" s="19" t="inlineStr">
        <is>
          <t>After returning from school and getting married, a popular farmer begins to arouse resentment and jealousy among those around him.</t>
        </is>
      </c>
      <c r="M769" s="19" t="n">
        <v>2017</v>
      </c>
      <c r="N769" s="19">
        <f>IF(AND(OR(YearFilter="All",$M769=YearFilter),OR(RatingFilter="All",$I769=RatingFilter),OR(TypeFilter="All",$B769=TypeFilter),OR(GenreFilter="All",COUNTIFS(tblGenre[show_id],$A769,tblGenre[Genre],GenreFilter)&gt;0)),1,0)</f>
        <v/>
      </c>
    </row>
    <row r="770" ht="15" customHeight="1" s="20">
      <c r="A770" s="19" t="inlineStr">
        <is>
          <t>s6578</t>
        </is>
      </c>
      <c r="B770" s="19" t="inlineStr">
        <is>
          <t>Movie</t>
        </is>
      </c>
      <c r="C770" s="19" t="inlineStr">
        <is>
          <t>Deadline: Sirf 24 Ghante</t>
        </is>
      </c>
      <c r="D770" s="19" t="inlineStr">
        <is>
          <t>Tanveer Khan</t>
        </is>
      </c>
      <c r="E770" s="19" t="inlineStr">
        <is>
          <t>Irrfan Khan, Konkona Sen Sharma, Rajit Kapoor, Sandhya Mridul, Zakir Hussain, Rajeev Verma, Princey Shukla</t>
        </is>
      </c>
      <c r="F770" s="19" t="inlineStr">
        <is>
          <t>India</t>
        </is>
      </c>
      <c r="G770" s="19" t="inlineStr">
        <is>
          <t>2019-12-31</t>
        </is>
      </c>
      <c r="H770" s="19" t="n">
        <v>2006</v>
      </c>
      <c r="I770" s="19" t="inlineStr">
        <is>
          <t>TV-14</t>
        </is>
      </c>
      <c r="J770" s="19" t="inlineStr">
        <is>
          <t>97 min</t>
        </is>
      </c>
      <c r="K770" s="19" t="inlineStr">
        <is>
          <t>Independent Movies, International Movies, Thrillers</t>
        </is>
      </c>
      <c r="L770" s="19" t="inlineStr">
        <is>
          <t>A surgeon’s perfect life is rattled when his daughter is taken hostage in their own home and he's given 24 hours to pay a hefty ransom.</t>
        </is>
      </c>
      <c r="M770" s="19" t="n">
        <v>2019</v>
      </c>
      <c r="N770" s="19">
        <f>IF(AND(OR(YearFilter="All",$M770=YearFilter),OR(RatingFilter="All",$I770=RatingFilter),OR(TypeFilter="All",$B770=TypeFilter),OR(GenreFilter="All",COUNTIFS(tblGenre[show_id],$A770,tblGenre[Genre],GenreFilter)&gt;0)),1,0)</f>
        <v/>
      </c>
    </row>
    <row r="771" ht="15" customHeight="1" s="20">
      <c r="A771" s="19" t="inlineStr">
        <is>
          <t>s6581</t>
        </is>
      </c>
      <c r="B771" s="19" t="inlineStr">
        <is>
          <t>Movie</t>
        </is>
      </c>
      <c r="C771" s="19" t="inlineStr">
        <is>
          <t>Dear Dad</t>
        </is>
      </c>
      <c r="D771" s="19" t="inlineStr">
        <is>
          <t>Tanuj Bhramar</t>
        </is>
      </c>
      <c r="E771" s="19" t="inlineStr">
        <is>
          <t>Arvind Swamy, Himanshu Sharma, Ekavali Khanna, Aman Uppal, Bhavika Bhasin</t>
        </is>
      </c>
      <c r="F771" s="19" t="inlineStr">
        <is>
          <t>India</t>
        </is>
      </c>
      <c r="G771" s="19" t="inlineStr">
        <is>
          <t>2019-03-02</t>
        </is>
      </c>
      <c r="H771" s="19" t="n">
        <v>2016</v>
      </c>
      <c r="I771" s="19" t="inlineStr">
        <is>
          <t>TV-14</t>
        </is>
      </c>
      <c r="J771" s="19" t="inlineStr">
        <is>
          <t>83 min</t>
        </is>
      </c>
      <c r="K771" s="19" t="inlineStr">
        <is>
          <t>Comedies, Dramas, Independent Movies</t>
        </is>
      </c>
      <c r="L771" s="19" t="inlineStr">
        <is>
          <t>A father and son bond on an impromptu road trip over deep conversations, unexpected confessions, strange encounters ... and a drunken escapade.</t>
        </is>
      </c>
      <c r="M771" s="19" t="n">
        <v>2019</v>
      </c>
      <c r="N771" s="19">
        <f>IF(AND(OR(YearFilter="All",$M771=YearFilter),OR(RatingFilter="All",$I771=RatingFilter),OR(TypeFilter="All",$B771=TypeFilter),OR(GenreFilter="All",COUNTIFS(tblGenre[show_id],$A771,tblGenre[Genre],GenreFilter)&gt;0)),1,0)</f>
        <v/>
      </c>
    </row>
    <row r="772" ht="15" customHeight="1" s="20">
      <c r="A772" s="19" t="inlineStr">
        <is>
          <t>s6589</t>
        </is>
      </c>
      <c r="B772" s="19" t="inlineStr">
        <is>
          <t>Movie</t>
        </is>
      </c>
      <c r="C772" s="19" t="inlineStr">
        <is>
          <t>Deewangee</t>
        </is>
      </c>
      <c r="D772" s="19" t="inlineStr">
        <is>
          <t>Anees Bazmee</t>
        </is>
      </c>
      <c r="E772" s="19" t="inlineStr">
        <is>
          <t>Ajay Devgn, Akshaye Khanna, Urmila Matondkar, Farida Jalal, Vijayendra Ghatge</t>
        </is>
      </c>
      <c r="F772" s="19" t="inlineStr">
        <is>
          <t>India</t>
        </is>
      </c>
      <c r="G772" s="19" t="inlineStr">
        <is>
          <t>2020-01-03</t>
        </is>
      </c>
      <c r="H772" s="19" t="n">
        <v>2002</v>
      </c>
      <c r="I772" s="19" t="inlineStr">
        <is>
          <t>TV-MA</t>
        </is>
      </c>
      <c r="J772" s="19" t="inlineStr">
        <is>
          <t>156 min</t>
        </is>
      </c>
      <c r="K772" s="19" t="inlineStr">
        <is>
          <t>International Movies, Thrillers</t>
        </is>
      </c>
      <c r="L772" s="19" t="inlineStr">
        <is>
          <t>Hired by a singer to defend her friend, who has been accused of murder, a formidable lawyer learns that the man he represents may not be innocent.</t>
        </is>
      </c>
      <c r="M772" s="19" t="n">
        <v>2020</v>
      </c>
      <c r="N772" s="19">
        <f>IF(AND(OR(YearFilter="All",$M772=YearFilter),OR(RatingFilter="All",$I772=RatingFilter),OR(TypeFilter="All",$B772=TypeFilter),OR(GenreFilter="All",COUNTIFS(tblGenre[show_id],$A772,tblGenre[Genre],GenreFilter)&gt;0)),1,0)</f>
        <v/>
      </c>
    </row>
    <row r="773" ht="15" customHeight="1" s="20">
      <c r="A773" s="19" t="inlineStr">
        <is>
          <t>s6602</t>
        </is>
      </c>
      <c r="B773" s="19" t="inlineStr">
        <is>
          <t>TV Show</t>
        </is>
      </c>
      <c r="C773" s="19" t="inlineStr">
        <is>
          <t>Devlok with Devdutt Pattanaik</t>
        </is>
      </c>
      <c r="E773" s="19" t="inlineStr">
        <is>
          <t>Rasika Dugal, Devdutt Pattanaik</t>
        </is>
      </c>
      <c r="F773" s="19" t="inlineStr">
        <is>
          <t>India</t>
        </is>
      </c>
      <c r="G773" s="19" t="inlineStr">
        <is>
          <t>2018-10-15</t>
        </is>
      </c>
      <c r="H773" s="19" t="n">
        <v>2017</v>
      </c>
      <c r="I773" s="19" t="inlineStr">
        <is>
          <t>TV-PG</t>
        </is>
      </c>
      <c r="J773" s="19" t="inlineStr">
        <is>
          <t>1 Season</t>
        </is>
      </c>
      <c r="K773" s="19" t="inlineStr">
        <is>
          <t>International TV Shows</t>
        </is>
      </c>
      <c r="L773" s="19" t="inlineStr">
        <is>
          <t>Through chats with host Rasika Dugal, mythologist Devdutt Pattanaik explores the meaning and modern-day relevance of Indian folklore and philosophy.</t>
        </is>
      </c>
      <c r="M773" s="19" t="n">
        <v>2018</v>
      </c>
      <c r="N773" s="19">
        <f>IF(AND(OR(YearFilter="All",$M773=YearFilter),OR(RatingFilter="All",$I773=RatingFilter),OR(TypeFilter="All",$B773=TypeFilter),OR(GenreFilter="All",COUNTIFS(tblGenre[show_id],$A773,tblGenre[Genre],GenreFilter)&gt;0)),1,0)</f>
        <v/>
      </c>
    </row>
    <row r="774" ht="15" customHeight="1" s="20">
      <c r="A774" s="19" t="inlineStr">
        <is>
          <t>s6603</t>
        </is>
      </c>
      <c r="B774" s="19" t="inlineStr">
        <is>
          <t>Movie</t>
        </is>
      </c>
      <c r="C774" s="19" t="inlineStr">
        <is>
          <t>Devrai</t>
        </is>
      </c>
      <c r="D774" s="19" t="inlineStr">
        <is>
          <t>Sumitra Bhave, Sunil Sukthankar</t>
        </is>
      </c>
      <c r="E774" s="19" t="inlineStr">
        <is>
          <t>Atul Kulkarni, Sonali Kulkarni, Tushar Dalvi, Devika Daftardar, Amruta Subhash, Mohan Agashe, Ashwin Chitale, Jyoti Subhash</t>
        </is>
      </c>
      <c r="F774" s="19" t="inlineStr">
        <is>
          <t>India</t>
        </is>
      </c>
      <c r="G774" s="19" t="inlineStr">
        <is>
          <t>2018-01-01</t>
        </is>
      </c>
      <c r="H774" s="19" t="n">
        <v>2004</v>
      </c>
      <c r="I774" s="19" t="inlineStr">
        <is>
          <t>TV-PG</t>
        </is>
      </c>
      <c r="J774" s="19" t="inlineStr">
        <is>
          <t>123 min</t>
        </is>
      </c>
      <c r="K774" s="19" t="inlineStr">
        <is>
          <t>Dramas, International Movies</t>
        </is>
      </c>
      <c r="L774" s="19" t="inlineStr">
        <is>
          <t>After science student Shesh Shahi – a shy eccentric with a strange connection to nature – is examined by a team of mental hospital doctors, a gripping portrait of schizophrenia emerges.</t>
        </is>
      </c>
      <c r="M774" s="19" t="n">
        <v>2018</v>
      </c>
      <c r="N774" s="19">
        <f>IF(AND(OR(YearFilter="All",$M774=YearFilter),OR(RatingFilter="All",$I774=RatingFilter),OR(TypeFilter="All",$B774=TypeFilter),OR(GenreFilter="All",COUNTIFS(tblGenre[show_id],$A774,tblGenre[Genre],GenreFilter)&gt;0)),1,0)</f>
        <v/>
      </c>
    </row>
    <row r="775" ht="15" customHeight="1" s="20">
      <c r="A775" s="19" t="inlineStr">
        <is>
          <t>s6605</t>
        </is>
      </c>
      <c r="B775" s="19" t="inlineStr">
        <is>
          <t>Movie</t>
        </is>
      </c>
      <c r="C775" s="19" t="inlineStr">
        <is>
          <t>Dhamaal</t>
        </is>
      </c>
      <c r="D775" s="19" t="inlineStr">
        <is>
          <t>Indra Kumar</t>
        </is>
      </c>
      <c r="E775" s="19" t="inlineStr">
        <is>
          <t>Sanjay Dutt, Riteish Deshmukh, Arshad Warsi, Aashish Chaudhary, Javed Jaffrey, Prem Chopra, Asrani, Tiku Talsania</t>
        </is>
      </c>
      <c r="F775" s="19" t="inlineStr">
        <is>
          <t>India</t>
        </is>
      </c>
      <c r="G775" s="19" t="inlineStr">
        <is>
          <t>2019-12-31</t>
        </is>
      </c>
      <c r="H775" s="19" t="n">
        <v>2007</v>
      </c>
      <c r="I775" s="19" t="inlineStr">
        <is>
          <t>TV-14</t>
        </is>
      </c>
      <c r="J775" s="19" t="inlineStr">
        <is>
          <t>128 min</t>
        </is>
      </c>
      <c r="K775" s="19" t="inlineStr">
        <is>
          <t>Action &amp; Adventure, Comedies, International Movies</t>
        </is>
      </c>
      <c r="L775" s="19" t="inlineStr">
        <is>
          <t>Tipped off about buried money in Goa, four ne’er-do-well friends go on the hunt, chased by a police officer who wants the treasure for himself.</t>
        </is>
      </c>
      <c r="M775" s="19" t="n">
        <v>2019</v>
      </c>
      <c r="N775" s="19">
        <f>IF(AND(OR(YearFilter="All",$M775=YearFilter),OR(RatingFilter="All",$I775=RatingFilter),OR(TypeFilter="All",$B775=TypeFilter),OR(GenreFilter="All",COUNTIFS(tblGenre[show_id],$A775,tblGenre[Genre],GenreFilter)&gt;0)),1,0)</f>
        <v/>
      </c>
    </row>
    <row r="776" ht="15" customHeight="1" s="20">
      <c r="A776" s="19" t="inlineStr">
        <is>
          <t>s6611</t>
        </is>
      </c>
      <c r="B776" s="19" t="inlineStr">
        <is>
          <t>Movie</t>
        </is>
      </c>
      <c r="C776" s="19" t="inlineStr">
        <is>
          <t>Dil Hai Tumhaara</t>
        </is>
      </c>
      <c r="D776" s="19" t="inlineStr">
        <is>
          <t>Kundan Shah</t>
        </is>
      </c>
      <c r="E776" s="19" t="inlineStr">
        <is>
          <t>Rekha, Preity Zinta, Mahima Chaudhry, Arjun Rampal, Jimmy Shergill, Alok Nath, Dilip Joshi, Govind Namdeo</t>
        </is>
      </c>
      <c r="F776" s="19" t="inlineStr">
        <is>
          <t>India</t>
        </is>
      </c>
      <c r="G776" s="19" t="inlineStr">
        <is>
          <t>2018-04-01</t>
        </is>
      </c>
      <c r="H776" s="19" t="n">
        <v>2002</v>
      </c>
      <c r="I776" s="19" t="inlineStr">
        <is>
          <t>TV-14</t>
        </is>
      </c>
      <c r="J776" s="19" t="inlineStr">
        <is>
          <t>176 min</t>
        </is>
      </c>
      <c r="K776" s="19" t="inlineStr">
        <is>
          <t>Dramas, International Movies, Music &amp; Musicals</t>
        </is>
      </c>
      <c r="L776" s="19" t="inlineStr">
        <is>
          <t>The sophisticated son of a powerful businessman falls for a simple, free-spirited girl whose older sister is in love with him.</t>
        </is>
      </c>
      <c r="M776" s="19" t="n">
        <v>2018</v>
      </c>
      <c r="N776" s="19">
        <f>IF(AND(OR(YearFilter="All",$M776=YearFilter),OR(RatingFilter="All",$I776=RatingFilter),OR(TypeFilter="All",$B776=TypeFilter),OR(GenreFilter="All",COUNTIFS(tblGenre[show_id],$A776,tblGenre[Genre],GenreFilter)&gt;0)),1,0)</f>
        <v/>
      </c>
    </row>
    <row r="777" ht="15" customHeight="1" s="20">
      <c r="A777" s="19" t="inlineStr">
        <is>
          <t>s6655</t>
        </is>
      </c>
      <c r="B777" s="19" t="inlineStr">
        <is>
          <t>Movie</t>
        </is>
      </c>
      <c r="C777" s="19" t="inlineStr">
        <is>
          <t>Dum</t>
        </is>
      </c>
      <c r="D777" s="19" t="inlineStr">
        <is>
          <t>Eeshwar Nivas</t>
        </is>
      </c>
      <c r="E777" s="19" t="inlineStr">
        <is>
          <t>Vivek Oberoi, Diya Mirza, Atul Kulkarni, Govind Namdeo, Mukesh Rishi, Sushant Singh, Yashpal Sharma, Sheeba</t>
        </is>
      </c>
      <c r="F777" s="19" t="inlineStr">
        <is>
          <t>India</t>
        </is>
      </c>
      <c r="G777" s="19" t="inlineStr">
        <is>
          <t>2018-03-01</t>
        </is>
      </c>
      <c r="H777" s="19" t="n">
        <v>2003</v>
      </c>
      <c r="I777" s="19" t="inlineStr">
        <is>
          <t>TV-14</t>
        </is>
      </c>
      <c r="J777" s="19" t="inlineStr">
        <is>
          <t>162 min</t>
        </is>
      </c>
      <c r="K777" s="19" t="inlineStr">
        <is>
          <t>Action &amp; Adventure, Dramas, International Movies</t>
        </is>
      </c>
      <c r="L777" s="19" t="inlineStr">
        <is>
          <t>When one of his colleagues becomes corrupted by power and goes over to the dark side, a young police officer tries to bring the offender to justice.</t>
        </is>
      </c>
      <c r="M777" s="19" t="n">
        <v>2018</v>
      </c>
      <c r="N777" s="19">
        <f>IF(AND(OR(YearFilter="All",$M777=YearFilter),OR(RatingFilter="All",$I777=RatingFilter),OR(TypeFilter="All",$B777=TypeFilter),OR(GenreFilter="All",COUNTIFS(tblGenre[show_id],$A777,tblGenre[Genre],GenreFilter)&gt;0)),1,0)</f>
        <v/>
      </c>
    </row>
    <row r="778" ht="15" customHeight="1" s="20">
      <c r="A778" s="19" t="inlineStr">
        <is>
          <t>s6667</t>
        </is>
      </c>
      <c r="B778" s="19" t="inlineStr">
        <is>
          <t>Movie</t>
        </is>
      </c>
      <c r="C778" s="19" t="inlineStr">
        <is>
          <t>Eeda</t>
        </is>
      </c>
      <c r="D778" s="19" t="inlineStr">
        <is>
          <t>Ajithkumar</t>
        </is>
      </c>
      <c r="E778" s="19" t="inlineStr">
        <is>
          <t>Shane Nigaam, Nimisha Sajayan, Manikandan R. Achari, Alencier Ley Lopez, Sujith Sankar, P. Balachandran, Sudhi Koppa</t>
        </is>
      </c>
      <c r="F778" s="19" t="inlineStr">
        <is>
          <t>India</t>
        </is>
      </c>
      <c r="G778" s="19" t="inlineStr">
        <is>
          <t>2018-09-15</t>
        </is>
      </c>
      <c r="H778" s="19" t="n">
        <v>2018</v>
      </c>
      <c r="I778" s="19" t="inlineStr">
        <is>
          <t>TV-14</t>
        </is>
      </c>
      <c r="J778" s="19" t="inlineStr">
        <is>
          <t>153 min</t>
        </is>
      </c>
      <c r="K778" s="19" t="inlineStr">
        <is>
          <t>Dramas, International Movies, Romantic Movies</t>
        </is>
      </c>
      <c r="L778" s="19" t="inlineStr">
        <is>
          <t>Two young adults with families on opposite ends of the political spectrum fall in love in a Kerala city torn by violence.</t>
        </is>
      </c>
      <c r="M778" s="19" t="n">
        <v>2018</v>
      </c>
      <c r="N778" s="19">
        <f>IF(AND(OR(YearFilter="All",$M778=YearFilter),OR(RatingFilter="All",$I778=RatingFilter),OR(TypeFilter="All",$B778=TypeFilter),OR(GenreFilter="All",COUNTIFS(tblGenre[show_id],$A778,tblGenre[Genre],GenreFilter)&gt;0)),1,0)</f>
        <v/>
      </c>
    </row>
    <row r="779" ht="15" customHeight="1" s="20">
      <c r="A779" s="19" t="inlineStr">
        <is>
          <t>s6668</t>
        </is>
      </c>
      <c r="B779" s="19" t="inlineStr">
        <is>
          <t>Movie</t>
        </is>
      </c>
      <c r="C779" s="19" t="inlineStr">
        <is>
          <t>Eh Janam Tumhare Lekhe</t>
        </is>
      </c>
      <c r="D779" s="19" t="inlineStr">
        <is>
          <t>Harjit Singh</t>
        </is>
      </c>
      <c r="E779" s="19" t="inlineStr">
        <is>
          <t>Pavan Malhotra, Sudhanshu Aggarwal, Arjuna Bhalla, Avrinder Kaur, Arvinder Bhatti, Master Yuvraj, Jai Bharti, Gagandeep Singh</t>
        </is>
      </c>
      <c r="F779" s="19" t="inlineStr">
        <is>
          <t>India</t>
        </is>
      </c>
      <c r="G779" s="19" t="inlineStr">
        <is>
          <t>2017-12-01</t>
        </is>
      </c>
      <c r="H779" s="19" t="n">
        <v>2015</v>
      </c>
      <c r="I779" s="19" t="inlineStr">
        <is>
          <t>TV-14</t>
        </is>
      </c>
      <c r="J779" s="19" t="inlineStr">
        <is>
          <t>124 min</t>
        </is>
      </c>
      <c r="K779" s="19" t="inlineStr">
        <is>
          <t>Dramas, International Movies</t>
        </is>
      </c>
      <c r="L779" s="19" t="inlineStr">
        <is>
          <t>Driven by the lessons he learned from his mother, and the values of the Sikh religion, a man sets out on a mission to serve humanity.</t>
        </is>
      </c>
      <c r="M779" s="19" t="n">
        <v>2017</v>
      </c>
      <c r="N779" s="19">
        <f>IF(AND(OR(YearFilter="All",$M779=YearFilter),OR(RatingFilter="All",$I779=RatingFilter),OR(TypeFilter="All",$B779=TypeFilter),OR(GenreFilter="All",COUNTIFS(tblGenre[show_id],$A779,tblGenre[Genre],GenreFilter)&gt;0)),1,0)</f>
        <v/>
      </c>
    </row>
    <row r="780" ht="15" customHeight="1" s="20">
      <c r="A780" s="19" t="inlineStr">
        <is>
          <t>s6669</t>
        </is>
      </c>
      <c r="B780" s="19" t="inlineStr">
        <is>
          <t>Movie</t>
        </is>
      </c>
      <c r="C780" s="19" t="inlineStr">
        <is>
          <t>Ek Cup Chya</t>
        </is>
      </c>
      <c r="D780" s="19" t="inlineStr">
        <is>
          <t>Sumitra Bhave, Sunil Sukthankar</t>
        </is>
      </c>
      <c r="E780" s="19" t="inlineStr">
        <is>
          <t>Kishore Kadam, Ashwini Giri, Kamal Desai, Devika Daftardar, Sunil Sukthankar, Shriram Ranade, Padmanabh Bind</t>
        </is>
      </c>
      <c r="F780" s="19" t="inlineStr">
        <is>
          <t>India</t>
        </is>
      </c>
      <c r="G780" s="19" t="inlineStr">
        <is>
          <t>2018-03-15</t>
        </is>
      </c>
      <c r="H780" s="19" t="n">
        <v>2009</v>
      </c>
      <c r="I780" s="19" t="inlineStr">
        <is>
          <t>TV-PG</t>
        </is>
      </c>
      <c r="J780" s="19" t="inlineStr">
        <is>
          <t>120 min</t>
        </is>
      </c>
      <c r="K780" s="19" t="inlineStr">
        <is>
          <t>Dramas, Independent Movies, International Movies</t>
        </is>
      </c>
      <c r="L780" s="19" t="inlineStr">
        <is>
          <t>A poor bus conductor's efforts at obtaining information about his enormous electricity bill are hindered by a corrupt system.</t>
        </is>
      </c>
      <c r="M780" s="19" t="n">
        <v>2018</v>
      </c>
      <c r="N780" s="19">
        <f>IF(AND(OR(YearFilter="All",$M780=YearFilter),OR(RatingFilter="All",$I780=RatingFilter),OR(TypeFilter="All",$B780=TypeFilter),OR(GenreFilter="All",COUNTIFS(tblGenre[show_id],$A780,tblGenre[Genre],GenreFilter)&gt;0)),1,0)</f>
        <v/>
      </c>
    </row>
    <row r="781" ht="15" customHeight="1" s="20">
      <c r="A781" s="19" t="inlineStr">
        <is>
          <t>s6670</t>
        </is>
      </c>
      <c r="B781" s="19" t="inlineStr">
        <is>
          <t>Movie</t>
        </is>
      </c>
      <c r="C781" s="19" t="inlineStr">
        <is>
          <t>Ek Hasina Thi</t>
        </is>
      </c>
      <c r="D781" s="19" t="inlineStr">
        <is>
          <t>Sriram Raghavan</t>
        </is>
      </c>
      <c r="E781" s="19" t="inlineStr">
        <is>
          <t>Saif Ali Khan, Urmila Matondkar, Seema Biswas, Pratima Kazmi, Aditya Srivastava, Rasika Joshi, Madan Joshi, Seema Adhikari</t>
        </is>
      </c>
      <c r="F781" s="19" t="inlineStr">
        <is>
          <t>India</t>
        </is>
      </c>
      <c r="G781" s="19" t="inlineStr">
        <is>
          <t>2019-08-01</t>
        </is>
      </c>
      <c r="H781" s="19" t="n">
        <v>2004</v>
      </c>
      <c r="I781" s="19" t="inlineStr">
        <is>
          <t>TV-MA</t>
        </is>
      </c>
      <c r="J781" s="19" t="inlineStr">
        <is>
          <t>134 min</t>
        </is>
      </c>
      <c r="K781" s="19" t="inlineStr">
        <is>
          <t>Dramas, International Movies, Thrillers</t>
        </is>
      </c>
      <c r="L781" s="19" t="inlineStr">
        <is>
          <t>Imprisoned for underworld crimes she didn’t commit, a vengeful woman breaks free and goes scorched earth on the smooth-talking suitor who framed her.</t>
        </is>
      </c>
      <c r="M781" s="19" t="n">
        <v>2019</v>
      </c>
      <c r="N781" s="19">
        <f>IF(AND(OR(YearFilter="All",$M781=YearFilter),OR(RatingFilter="All",$I781=RatingFilter),OR(TypeFilter="All",$B781=TypeFilter),OR(GenreFilter="All",COUNTIFS(tblGenre[show_id],$A781,tblGenre[Genre],GenreFilter)&gt;0)),1,0)</f>
        <v/>
      </c>
    </row>
    <row r="782" ht="15" customHeight="1" s="20">
      <c r="A782" s="19" t="inlineStr">
        <is>
          <t>s6695</t>
        </is>
      </c>
      <c r="B782" s="19" t="inlineStr">
        <is>
          <t>Movie</t>
        </is>
      </c>
      <c r="C782" s="19" t="inlineStr">
        <is>
          <t>Encounter: The Killing</t>
        </is>
      </c>
      <c r="D782" s="19" t="inlineStr">
        <is>
          <t>Ajay Phansekar</t>
        </is>
      </c>
      <c r="E782" s="19" t="inlineStr">
        <is>
          <t>Naseeruddin Shah, Tara Deshpande, Akash Khurana, Ratna Pathak Shah, Dilip Prabhavalkar, Avtar Gill</t>
        </is>
      </c>
      <c r="F782" s="19" t="inlineStr">
        <is>
          <t>India</t>
        </is>
      </c>
      <c r="G782" s="19" t="inlineStr">
        <is>
          <t>2019-12-31</t>
        </is>
      </c>
      <c r="H782" s="19" t="n">
        <v>2002</v>
      </c>
      <c r="I782" s="19" t="inlineStr">
        <is>
          <t>TV-14</t>
        </is>
      </c>
      <c r="J782" s="19" t="inlineStr">
        <is>
          <t>151 min</t>
        </is>
      </c>
      <c r="K782" s="19" t="inlineStr">
        <is>
          <t>Dramas, Independent Movies, International Movies</t>
        </is>
      </c>
      <c r="L782" s="19" t="inlineStr">
        <is>
          <t>After accidentally killing a young mobster, a guilt-stricken police officer searches for the parents who never came forward to claim their son's body.</t>
        </is>
      </c>
      <c r="M782" s="19" t="n">
        <v>2019</v>
      </c>
      <c r="N782" s="19">
        <f>IF(AND(OR(YearFilter="All",$M782=YearFilter),OR(RatingFilter="All",$I782=RatingFilter),OR(TypeFilter="All",$B782=TypeFilter),OR(GenreFilter="All",COUNTIFS(tblGenre[show_id],$A782,tblGenre[Genre],GenreFilter)&gt;0)),1,0)</f>
        <v/>
      </c>
    </row>
    <row r="783" ht="15" customHeight="1" s="20">
      <c r="A783" s="19" t="inlineStr">
        <is>
          <t>s6708</t>
        </is>
      </c>
      <c r="B783" s="19" t="inlineStr">
        <is>
          <t>Movie</t>
        </is>
      </c>
      <c r="C783" s="19" t="inlineStr">
        <is>
          <t>Ethirmarai</t>
        </is>
      </c>
      <c r="E783" s="19" t="inlineStr">
        <is>
          <t>Ramanathan, Rakesh</t>
        </is>
      </c>
      <c r="F783" s="19" t="inlineStr">
        <is>
          <t>India</t>
        </is>
      </c>
      <c r="G783" s="19" t="inlineStr">
        <is>
          <t>2018-04-01</t>
        </is>
      </c>
      <c r="H783" s="19" t="n">
        <v>2018</v>
      </c>
      <c r="I783" s="19" t="inlineStr">
        <is>
          <t>TV-14</t>
        </is>
      </c>
      <c r="J783" s="19" t="inlineStr">
        <is>
          <t>91 min</t>
        </is>
      </c>
      <c r="K783" s="19" t="inlineStr">
        <is>
          <t>International Movies, Music &amp; Musicals, Thrillers</t>
        </is>
      </c>
      <c r="L783" s="19" t="inlineStr">
        <is>
          <t>While investigating a brutal string of deaths, a detective begins to suspect that mind control may have played a part in the murders.</t>
        </is>
      </c>
      <c r="M783" s="19" t="n">
        <v>2018</v>
      </c>
      <c r="N783" s="19">
        <f>IF(AND(OR(YearFilter="All",$M783=YearFilter),OR(RatingFilter="All",$I783=RatingFilter),OR(TypeFilter="All",$B783=TypeFilter),OR(GenreFilter="All",COUNTIFS(tblGenre[show_id],$A783,tblGenre[Genre],GenreFilter)&gt;0)),1,0)</f>
        <v/>
      </c>
    </row>
    <row r="784" ht="15" customHeight="1" s="20">
      <c r="A784" s="19" t="inlineStr">
        <is>
          <t>s6734</t>
        </is>
      </c>
      <c r="B784" s="19" t="inlineStr">
        <is>
          <t>Movie</t>
        </is>
      </c>
      <c r="C784" s="19" t="inlineStr">
        <is>
          <t>Fakta Ladh Mhana</t>
        </is>
      </c>
      <c r="D784" s="19" t="inlineStr">
        <is>
          <t>Sanjay Jadhav</t>
        </is>
      </c>
      <c r="E784" s="19" t="inlineStr">
        <is>
          <t>Sachin Khedekar, Bharat Jadhav, Aniket Vishwasrao, Siddarth Jadhav, Sanjay Narvekar, Vaibhav Mangale, Santosh Juvekar, Sanjay Khapre, Mahesh Manjrekar</t>
        </is>
      </c>
      <c r="F784" s="19" t="inlineStr">
        <is>
          <t>India</t>
        </is>
      </c>
      <c r="G784" s="19" t="inlineStr">
        <is>
          <t>2018-02-15</t>
        </is>
      </c>
      <c r="H784" s="19" t="n">
        <v>2011</v>
      </c>
      <c r="I784" s="19" t="inlineStr">
        <is>
          <t>TV-14</t>
        </is>
      </c>
      <c r="J784" s="19" t="inlineStr">
        <is>
          <t>150 min</t>
        </is>
      </c>
      <c r="K784" s="19" t="inlineStr">
        <is>
          <t>Action &amp; Adventure, Dramas, International Movies</t>
        </is>
      </c>
      <c r="L784" s="19" t="inlineStr">
        <is>
          <t>A young man enlists the help of his friends to avenge his uncle's death by taking on a powerful, unscrupulous politician.</t>
        </is>
      </c>
      <c r="M784" s="19" t="n">
        <v>2018</v>
      </c>
      <c r="N784" s="19">
        <f>IF(AND(OR(YearFilter="All",$M784=YearFilter),OR(RatingFilter="All",$I784=RatingFilter),OR(TypeFilter="All",$B784=TypeFilter),OR(GenreFilter="All",COUNTIFS(tblGenre[show_id],$A784,tblGenre[Genre],GenreFilter)&gt;0)),1,0)</f>
        <v/>
      </c>
    </row>
    <row r="785" ht="15" customHeight="1" s="20">
      <c r="A785" s="19" t="inlineStr">
        <is>
          <t>s6738</t>
        </is>
      </c>
      <c r="B785" s="19" t="inlineStr">
        <is>
          <t>Movie</t>
        </is>
      </c>
      <c r="C785" s="19" t="inlineStr">
        <is>
          <t>Famous in Ahmedabad</t>
        </is>
      </c>
      <c r="D785" s="19" t="inlineStr">
        <is>
          <t>Hardik Mehta</t>
        </is>
      </c>
      <c r="F785" s="19" t="inlineStr">
        <is>
          <t>India</t>
        </is>
      </c>
      <c r="G785" s="19" t="inlineStr">
        <is>
          <t>2016-12-15</t>
        </is>
      </c>
      <c r="H785" s="19" t="n">
        <v>2015</v>
      </c>
      <c r="I785" s="19" t="inlineStr">
        <is>
          <t>TV-14</t>
        </is>
      </c>
      <c r="J785" s="19" t="inlineStr">
        <is>
          <t>29 min</t>
        </is>
      </c>
      <c r="K785" s="19" t="inlineStr">
        <is>
          <t>Documentaries, International Movies</t>
        </is>
      </c>
      <c r="L785" s="19" t="inlineStr">
        <is>
          <t>Follow an 11-year-old boy as he goes from ordinary child to colorful competitor in his quest for a big win at India’s biggest kite-flying festival.</t>
        </is>
      </c>
      <c r="M785" s="19" t="n">
        <v>2016</v>
      </c>
      <c r="N785" s="19">
        <f>IF(AND(OR(YearFilter="All",$M785=YearFilter),OR(RatingFilter="All",$I785=RatingFilter),OR(TypeFilter="All",$B785=TypeFilter),OR(GenreFilter="All",COUNTIFS(tblGenre[show_id],$A785,tblGenre[Genre],GenreFilter)&gt;0)),1,0)</f>
        <v/>
      </c>
    </row>
    <row r="786" ht="15" customHeight="1" s="20">
      <c r="A786" s="19" t="inlineStr">
        <is>
          <t>s6740</t>
        </is>
      </c>
      <c r="B786" s="19" t="inlineStr">
        <is>
          <t>Movie</t>
        </is>
      </c>
      <c r="C786" s="19" t="inlineStr">
        <is>
          <t>Fandry</t>
        </is>
      </c>
      <c r="D786" s="19" t="inlineStr">
        <is>
          <t>Nagraj Manjule</t>
        </is>
      </c>
      <c r="E786" s="19" t="inlineStr">
        <is>
          <t>Somnath Awghade, Suraj Pawar, Chhaya Kadam, Kishore Kadam, Rajeshwari Kharat, Bhushan Manjule, Nagraj Manjule, Sohail Shaikh, Sanjay Chaudhri, Vikas Pandurang Patil</t>
        </is>
      </c>
      <c r="F786" s="19" t="inlineStr">
        <is>
          <t>India</t>
        </is>
      </c>
      <c r="G786" s="19" t="inlineStr">
        <is>
          <t>2018-01-01</t>
        </is>
      </c>
      <c r="H786" s="19" t="n">
        <v>2014</v>
      </c>
      <c r="I786" s="19" t="inlineStr">
        <is>
          <t>NR</t>
        </is>
      </c>
      <c r="J786" s="19" t="inlineStr">
        <is>
          <t>102 min</t>
        </is>
      </c>
      <c r="K786" s="19" t="inlineStr">
        <is>
          <t>Dramas, Independent Movies, International Movies</t>
        </is>
      </c>
      <c r="L786" s="19" t="inlineStr">
        <is>
          <t>Spunky, lower-caste lad Jabya falls for lovely, upper-caste Shalu. But his family's derided social position proves a stubborn stumbling block to love.</t>
        </is>
      </c>
      <c r="M786" s="19" t="n">
        <v>2018</v>
      </c>
      <c r="N786" s="19">
        <f>IF(AND(OR(YearFilter="All",$M786=YearFilter),OR(RatingFilter="All",$I786=RatingFilter),OR(TypeFilter="All",$B786=TypeFilter),OR(GenreFilter="All",COUNTIFS(tblGenre[show_id],$A786,tblGenre[Genre],GenreFilter)&gt;0)),1,0)</f>
        <v/>
      </c>
    </row>
    <row r="787" ht="15" customHeight="1" s="20">
      <c r="A787" s="19" t="inlineStr">
        <is>
          <t>s6745</t>
        </is>
      </c>
      <c r="B787" s="19" t="inlineStr">
        <is>
          <t>TV Show</t>
        </is>
      </c>
      <c r="C787" s="19" t="inlineStr">
        <is>
          <t>Fear Files... Har Mod Pe Darr</t>
        </is>
      </c>
      <c r="F787" s="19" t="inlineStr">
        <is>
          <t>India</t>
        </is>
      </c>
      <c r="G787" s="19" t="inlineStr">
        <is>
          <t>2017-06-01</t>
        </is>
      </c>
      <c r="H787" s="19" t="n">
        <v>2015</v>
      </c>
      <c r="I787" s="19" t="inlineStr">
        <is>
          <t>TV-MA</t>
        </is>
      </c>
      <c r="J787" s="19" t="inlineStr">
        <is>
          <t>1 Season</t>
        </is>
      </c>
      <c r="K787" s="19" t="inlineStr">
        <is>
          <t>International TV Shows, TV Horror, TV Thrillers</t>
        </is>
      </c>
      <c r="L787" s="19" t="inlineStr">
        <is>
          <t>Possessed lovers, witches, haunted houses and more bring tales of horror to the screen in this anthology series.</t>
        </is>
      </c>
      <c r="M787" s="19" t="n">
        <v>2017</v>
      </c>
      <c r="N787" s="19">
        <f>IF(AND(OR(YearFilter="All",$M787=YearFilter),OR(RatingFilter="All",$I787=RatingFilter),OR(TypeFilter="All",$B787=TypeFilter),OR(GenreFilter="All",COUNTIFS(tblGenre[show_id],$A787,tblGenre[Genre],GenreFilter)&gt;0)),1,0)</f>
        <v/>
      </c>
    </row>
    <row r="788" ht="15" customHeight="1" s="20">
      <c r="A788" s="19" t="inlineStr">
        <is>
          <t>s6758</t>
        </is>
      </c>
      <c r="B788" s="19" t="inlineStr">
        <is>
          <t>Movie</t>
        </is>
      </c>
      <c r="C788" s="19" t="inlineStr">
        <is>
          <t>Fireflies</t>
        </is>
      </c>
      <c r="D788" s="19" t="inlineStr">
        <is>
          <t>Sabal Singh Shekawat</t>
        </is>
      </c>
      <c r="E788" s="19" t="inlineStr">
        <is>
          <t>Rahul Khanna, Arjun Mathur, Shivani Ghai, Monica Dogra, Aadya Bedi</t>
        </is>
      </c>
      <c r="F788" s="19" t="inlineStr">
        <is>
          <t>India</t>
        </is>
      </c>
      <c r="G788" s="19" t="inlineStr">
        <is>
          <t>2019-04-24</t>
        </is>
      </c>
      <c r="H788" s="19" t="n">
        <v>2013</v>
      </c>
      <c r="I788" s="19" t="inlineStr">
        <is>
          <t>TV-MA</t>
        </is>
      </c>
      <c r="J788" s="19" t="inlineStr">
        <is>
          <t>99 min</t>
        </is>
      </c>
      <c r="K788" s="19" t="inlineStr">
        <is>
          <t>Dramas, Independent Movies, International Movies</t>
        </is>
      </c>
      <c r="L788" s="19" t="inlineStr">
        <is>
          <t>Grappling with love and loss in their respective lives, two estranged brothers must confront their traumatic, unresolved past when they cross paths.</t>
        </is>
      </c>
      <c r="M788" s="19" t="n">
        <v>2019</v>
      </c>
      <c r="N788" s="19">
        <f>IF(AND(OR(YearFilter="All",$M788=YearFilter),OR(RatingFilter="All",$I788=RatingFilter),OR(TypeFilter="All",$B788=TypeFilter),OR(GenreFilter="All",COUNTIFS(tblGenre[show_id],$A788,tblGenre[Genre],GenreFilter)&gt;0)),1,0)</f>
        <v/>
      </c>
    </row>
    <row r="789" ht="15" customHeight="1" s="20">
      <c r="A789" s="19" t="inlineStr">
        <is>
          <t>s6821</t>
        </is>
      </c>
      <c r="B789" s="19" t="inlineStr">
        <is>
          <t>TV Show</t>
        </is>
      </c>
      <c r="C789" s="19" t="inlineStr">
        <is>
          <t>Gabru: Hip Hop Revolution</t>
        </is>
      </c>
      <c r="E789" s="19" t="inlineStr">
        <is>
          <t>Amol Parashar, Harleen Sethi, Chaitanya Sharma, Priya Malik, Pratik Dixit</t>
        </is>
      </c>
      <c r="F789" s="19" t="inlineStr">
        <is>
          <t>India</t>
        </is>
      </c>
      <c r="G789" s="19" t="inlineStr">
        <is>
          <t>2018-06-01</t>
        </is>
      </c>
      <c r="H789" s="19" t="n">
        <v>2018</v>
      </c>
      <c r="I789" s="19" t="inlineStr">
        <is>
          <t>TV-14</t>
        </is>
      </c>
      <c r="J789" s="19" t="inlineStr">
        <is>
          <t>1 Season</t>
        </is>
      </c>
      <c r="K789" s="19" t="inlineStr">
        <is>
          <t>International TV Shows, TV Dramas</t>
        </is>
      </c>
      <c r="L789" s="19" t="inlineStr">
        <is>
          <t>Three young, aspiring Indian rappers make their way in a cutthroat music industry, dreaming of fame, stardom and ultimate hip-hop domination .</t>
        </is>
      </c>
      <c r="M789" s="19" t="n">
        <v>2018</v>
      </c>
      <c r="N789" s="19">
        <f>IF(AND(OR(YearFilter="All",$M789=YearFilter),OR(RatingFilter="All",$I789=RatingFilter),OR(TypeFilter="All",$B789=TypeFilter),OR(GenreFilter="All",COUNTIFS(tblGenre[show_id],$A789,tblGenre[Genre],GenreFilter)&gt;0)),1,0)</f>
        <v/>
      </c>
    </row>
    <row r="790" ht="15" customHeight="1" s="20">
      <c r="A790" s="19" t="inlineStr">
        <is>
          <t>s6826</t>
        </is>
      </c>
      <c r="B790" s="19" t="inlineStr">
        <is>
          <t>TV Show</t>
        </is>
      </c>
      <c r="C790" s="19" t="inlineStr">
        <is>
          <t>Gangs of Hassepur</t>
        </is>
      </c>
      <c r="E790" s="19" t="inlineStr">
        <is>
          <t>Ragini Khanna, Mandira Bedi, Tanishaa Mukerji</t>
        </is>
      </c>
      <c r="F790" s="19" t="inlineStr">
        <is>
          <t>India</t>
        </is>
      </c>
      <c r="G790" s="19" t="inlineStr">
        <is>
          <t>2017-04-15</t>
        </is>
      </c>
      <c r="H790" s="19" t="n">
        <v>2014</v>
      </c>
      <c r="I790" s="19" t="inlineStr">
        <is>
          <t>TV-PG</t>
        </is>
      </c>
      <c r="J790" s="19" t="inlineStr">
        <is>
          <t>1 Season</t>
        </is>
      </c>
      <c r="K790" s="19" t="inlineStr">
        <is>
          <t>International TV Shows, Stand-Up Comedy &amp; Talk Shows, TV Comedies</t>
        </is>
      </c>
      <c r="L790" s="19" t="inlineStr">
        <is>
          <t>Training a keen eye on hot-button political topics, this variety show features stand-up comedy, sketches and sarcastic celebrity impersonations.</t>
        </is>
      </c>
      <c r="M790" s="19" t="n">
        <v>2017</v>
      </c>
      <c r="N790" s="19">
        <f>IF(AND(OR(YearFilter="All",$M790=YearFilter),OR(RatingFilter="All",$I790=RatingFilter),OR(TypeFilter="All",$B790=TypeFilter),OR(GenreFilter="All",COUNTIFS(tblGenre[show_id],$A790,tblGenre[Genre],GenreFilter)&gt;0)),1,0)</f>
        <v/>
      </c>
    </row>
    <row r="791" ht="15" customHeight="1" s="20">
      <c r="A791" s="19" t="inlineStr">
        <is>
          <t>s6832</t>
        </is>
      </c>
      <c r="B791" s="19" t="inlineStr">
        <is>
          <t>Movie</t>
        </is>
      </c>
      <c r="C791" s="19" t="inlineStr">
        <is>
          <t>Gelo</t>
        </is>
      </c>
      <c r="D791" s="19" t="inlineStr">
        <is>
          <t>Manbhavan Singh</t>
        </is>
      </c>
      <c r="E791" s="19" t="inlineStr">
        <is>
          <t>Jaspinder Cheema, Pavan Malhotra, Gurjit Singh, Dilawar Sidhu, Aditya Sharma, Raj Dhaliwal</t>
        </is>
      </c>
      <c r="F791" s="19" t="inlineStr">
        <is>
          <t>India</t>
        </is>
      </c>
      <c r="G791" s="19" t="inlineStr">
        <is>
          <t>2017-12-15</t>
        </is>
      </c>
      <c r="H791" s="19" t="n">
        <v>2016</v>
      </c>
      <c r="I791" s="19" t="inlineStr">
        <is>
          <t>TV-MA</t>
        </is>
      </c>
      <c r="J791" s="19" t="inlineStr">
        <is>
          <t>118 min</t>
        </is>
      </c>
      <c r="K791" s="19" t="inlineStr">
        <is>
          <t>Dramas, International Movies</t>
        </is>
      </c>
      <c r="L791" s="19" t="inlineStr">
        <is>
          <t>A Punjabi woman who works on a farm must endure the difficulties of living in an oppressive class-based society and a dysfunctional community.</t>
        </is>
      </c>
      <c r="M791" s="19" t="n">
        <v>2017</v>
      </c>
      <c r="N791" s="19">
        <f>IF(AND(OR(YearFilter="All",$M791=YearFilter),OR(RatingFilter="All",$I791=RatingFilter),OR(TypeFilter="All",$B791=TypeFilter),OR(GenreFilter="All",COUNTIFS(tblGenre[show_id],$A791,tblGenre[Genre],GenreFilter)&gt;0)),1,0)</f>
        <v/>
      </c>
    </row>
    <row r="792" ht="15" customHeight="1" s="20">
      <c r="A792" s="19" t="inlineStr">
        <is>
          <t>s6833</t>
        </is>
      </c>
      <c r="B792" s="19" t="inlineStr">
        <is>
          <t>Movie</t>
        </is>
      </c>
      <c r="C792" s="19" t="inlineStr">
        <is>
          <t>Gemini</t>
        </is>
      </c>
      <c r="D792" s="19" t="inlineStr">
        <is>
          <t>P.K. Baaburaaj</t>
        </is>
      </c>
      <c r="E792" s="19" t="inlineStr">
        <is>
          <t>Esther Anil, Sijoy Varghese, Renji Panicker, Thanusree Ghosh, Sasi Kalinga, Kishore Sathya, Sethu Lakshmi, Rosin Jolly</t>
        </is>
      </c>
      <c r="F792" s="19" t="inlineStr">
        <is>
          <t>India</t>
        </is>
      </c>
      <c r="G792" s="19" t="inlineStr">
        <is>
          <t>2018-07-01</t>
        </is>
      </c>
      <c r="H792" s="19" t="n">
        <v>2018</v>
      </c>
      <c r="I792" s="19" t="inlineStr">
        <is>
          <t>TV-PG</t>
        </is>
      </c>
      <c r="J792" s="19" t="inlineStr">
        <is>
          <t>130 min</t>
        </is>
      </c>
      <c r="K792" s="19" t="inlineStr">
        <is>
          <t>Dramas</t>
        </is>
      </c>
      <c r="L792" s="19" t="inlineStr">
        <is>
          <t>Despite growing up with traits that set her apart from her peers, a young adopted girl discovers her gift when she takes an interest in spelling bees.</t>
        </is>
      </c>
      <c r="M792" s="19" t="n">
        <v>2018</v>
      </c>
      <c r="N792" s="19">
        <f>IF(AND(OR(YearFilter="All",$M792=YearFilter),OR(RatingFilter="All",$I792=RatingFilter),OR(TypeFilter="All",$B792=TypeFilter),OR(GenreFilter="All",COUNTIFS(tblGenre[show_id],$A792,tblGenre[Genre],GenreFilter)&gt;0)),1,0)</f>
        <v/>
      </c>
    </row>
    <row r="793" ht="15" customHeight="1" s="20">
      <c r="A793" s="19" t="inlineStr">
        <is>
          <t>s6845</t>
        </is>
      </c>
      <c r="B793" s="19" t="inlineStr">
        <is>
          <t>Movie</t>
        </is>
      </c>
      <c r="C793" s="19" t="inlineStr">
        <is>
          <t>Ghayal</t>
        </is>
      </c>
      <c r="D793" s="19" t="inlineStr">
        <is>
          <t>Rajkumar Santoshi</t>
        </is>
      </c>
      <c r="E793" s="19" t="inlineStr">
        <is>
          <t>Sunny Deol, Meenakshi Sheshadri, Amrish Puri, Moushumi Chatterjee, Kulbhushan Kharbanda, Om Puri, Raj Babbar, Shabbir Khan</t>
        </is>
      </c>
      <c r="F793" s="19" t="inlineStr">
        <is>
          <t>India</t>
        </is>
      </c>
      <c r="G793" s="19" t="inlineStr">
        <is>
          <t>2019-12-31</t>
        </is>
      </c>
      <c r="H793" s="19" t="n">
        <v>1990</v>
      </c>
      <c r="I793" s="19" t="inlineStr">
        <is>
          <t>TV-14</t>
        </is>
      </c>
      <c r="J793" s="19" t="inlineStr">
        <is>
          <t>163 min</t>
        </is>
      </c>
      <c r="K793" s="19" t="inlineStr">
        <is>
          <t>Action &amp; Adventure, Dramas, International Movies</t>
        </is>
      </c>
      <c r="L793" s="19" t="inlineStr">
        <is>
          <t>Framed for his older brother's murder, a boxer seeks violent revenge against the true killer who's torn his family apart.</t>
        </is>
      </c>
      <c r="M793" s="19" t="n">
        <v>2019</v>
      </c>
      <c r="N793" s="19">
        <f>IF(AND(OR(YearFilter="All",$M793=YearFilter),OR(RatingFilter="All",$I793=RatingFilter),OR(TypeFilter="All",$B793=TypeFilter),OR(GenreFilter="All",COUNTIFS(tblGenre[show_id],$A793,tblGenre[Genre],GenreFilter)&gt;0)),1,0)</f>
        <v/>
      </c>
    </row>
    <row r="794" ht="15" customHeight="1" s="20">
      <c r="A794" s="19" t="inlineStr">
        <is>
          <t>s6852</t>
        </is>
      </c>
      <c r="B794" s="19" t="inlineStr">
        <is>
          <t>Movie</t>
        </is>
      </c>
      <c r="C794" s="19" t="inlineStr">
        <is>
          <t>Ghulam-E-Musthafa</t>
        </is>
      </c>
      <c r="D794" s="19" t="inlineStr">
        <is>
          <t>Partho Ghosh</t>
        </is>
      </c>
      <c r="E794" s="19" t="inlineStr">
        <is>
          <t>Nana Patekar, Raveena Tandon, Paresh Rawal, Aruna Irani, Mohan Joshi, Mohnish Bahl, Shivaji Satham, Vishwajeet Pradhan, Ashwin Kaushal, Satish Shah</t>
        </is>
      </c>
      <c r="F794" s="19" t="inlineStr">
        <is>
          <t>India</t>
        </is>
      </c>
      <c r="G794" s="19" t="inlineStr">
        <is>
          <t>2019-12-31</t>
        </is>
      </c>
      <c r="H794" s="19" t="n">
        <v>1997</v>
      </c>
      <c r="I794" s="19" t="inlineStr">
        <is>
          <t>TV-MA</t>
        </is>
      </c>
      <c r="J794" s="19" t="inlineStr">
        <is>
          <t>161 min</t>
        </is>
      </c>
      <c r="K794" s="19" t="inlineStr">
        <is>
          <t>Action &amp; Adventure, Dramas, International Movies</t>
        </is>
      </c>
      <c r="L794" s="19" t="inlineStr">
        <is>
          <t>Giving up his life of crime for love, a gangster struggles with a moral dilemma when tragic events and enduring enemies take him back to the underworld.</t>
        </is>
      </c>
      <c r="M794" s="19" t="n">
        <v>2019</v>
      </c>
      <c r="N794" s="19">
        <f>IF(AND(OR(YearFilter="All",$M794=YearFilter),OR(RatingFilter="All",$I794=RatingFilter),OR(TypeFilter="All",$B794=TypeFilter),OR(GenreFilter="All",COUNTIFS(tblGenre[show_id],$A794,tblGenre[Genre],GenreFilter)&gt;0)),1,0)</f>
        <v/>
      </c>
    </row>
    <row r="795" ht="15" customHeight="1" s="20">
      <c r="A795" s="19" t="inlineStr">
        <is>
          <t>s6865</t>
        </is>
      </c>
      <c r="B795" s="19" t="inlineStr">
        <is>
          <t>Movie</t>
        </is>
      </c>
      <c r="C795" s="19" t="inlineStr">
        <is>
          <t>Gol Maal</t>
        </is>
      </c>
      <c r="D795" s="19" t="inlineStr">
        <is>
          <t>Hrishikesh Mukherjee</t>
        </is>
      </c>
      <c r="E795" s="19" t="inlineStr">
        <is>
          <t>Amol Palekar, Bindiya Goswami, Deven Verma, Utpal Dutt, Shubha Khote, Manju Singh, Dina Pathak, Pushpa, David Abraham, Asrani</t>
        </is>
      </c>
      <c r="F795" s="19" t="inlineStr">
        <is>
          <t>India</t>
        </is>
      </c>
      <c r="G795" s="19" t="inlineStr">
        <is>
          <t>2019-12-31</t>
        </is>
      </c>
      <c r="H795" s="19" t="n">
        <v>1979</v>
      </c>
      <c r="I795" s="19" t="inlineStr">
        <is>
          <t>TV-PG</t>
        </is>
      </c>
      <c r="J795" s="19" t="inlineStr">
        <is>
          <t>137 min</t>
        </is>
      </c>
      <c r="K795" s="19" t="inlineStr">
        <is>
          <t>Classic Movies, Comedies, International Movies</t>
        </is>
      </c>
      <c r="L795" s="19" t="inlineStr">
        <is>
          <t>When circumstances at work compel Ram to pretend to have a twin, his lie works – until the boss wants his daughter to marry Ram’s fictitious brother.</t>
        </is>
      </c>
      <c r="M795" s="19" t="n">
        <v>2019</v>
      </c>
      <c r="N795" s="19">
        <f>IF(AND(OR(YearFilter="All",$M795=YearFilter),OR(RatingFilter="All",$I795=RatingFilter),OR(TypeFilter="All",$B795=TypeFilter),OR(GenreFilter="All",COUNTIFS(tblGenre[show_id],$A795,tblGenre[Genre],GenreFilter)&gt;0)),1,0)</f>
        <v/>
      </c>
    </row>
    <row r="796" ht="15" customHeight="1" s="20">
      <c r="A796" s="19" t="inlineStr">
        <is>
          <t>s6871</t>
        </is>
      </c>
      <c r="B796" s="19" t="inlineStr">
        <is>
          <t>Movie</t>
        </is>
      </c>
      <c r="C796" s="19" t="inlineStr">
        <is>
          <t>Golmaal: Fun Unlimited</t>
        </is>
      </c>
      <c r="D796" s="19" t="inlineStr">
        <is>
          <t>Rohit Shetty</t>
        </is>
      </c>
      <c r="E796" s="19" t="inlineStr">
        <is>
          <t>Ajay Devgn, Tusshar Kapoor, Arshad Warsi, Sharman Joshi, Paresh Rawal, Rimi Sen, Sushmita Mukherjee, Vrajesh Hirjee</t>
        </is>
      </c>
      <c r="F796" s="19" t="inlineStr">
        <is>
          <t>India</t>
        </is>
      </c>
      <c r="G796" s="19" t="inlineStr">
        <is>
          <t>2019-12-31</t>
        </is>
      </c>
      <c r="H796" s="19" t="n">
        <v>2006</v>
      </c>
      <c r="I796" s="19" t="inlineStr">
        <is>
          <t>TV-14</t>
        </is>
      </c>
      <c r="J796" s="19" t="inlineStr">
        <is>
          <t>148 min</t>
        </is>
      </c>
      <c r="K796" s="19" t="inlineStr">
        <is>
          <t>Comedies, International Movies</t>
        </is>
      </c>
      <c r="L796" s="19" t="inlineStr">
        <is>
          <t>Between thwarting crooks and wooing the belle next door, four pranksters get in over their heads when they bamboozle their way into a couple’s bungalow.</t>
        </is>
      </c>
      <c r="M796" s="19" t="n">
        <v>2019</v>
      </c>
      <c r="N796" s="19">
        <f>IF(AND(OR(YearFilter="All",$M796=YearFilter),OR(RatingFilter="All",$I796=RatingFilter),OR(TypeFilter="All",$B796=TypeFilter),OR(GenreFilter="All",COUNTIFS(tblGenre[show_id],$A796,tblGenre[Genre],GenreFilter)&gt;0)),1,0)</f>
        <v/>
      </c>
    </row>
    <row r="797" ht="15" customHeight="1" s="20">
      <c r="A797" s="19" t="inlineStr">
        <is>
          <t>s6888</t>
        </is>
      </c>
      <c r="B797" s="19" t="inlineStr">
        <is>
          <t>Movie</t>
        </is>
      </c>
      <c r="C797" s="19" t="inlineStr">
        <is>
          <t>Gour Hari Dastaan: The Freedom File</t>
        </is>
      </c>
      <c r="D797" s="19" t="inlineStr">
        <is>
          <t>Ananth Narayan Mahadevan</t>
        </is>
      </c>
      <c r="E797" s="19" t="inlineStr">
        <is>
          <t>Vinay Pathak, Konkona Sen Sharma, Ranvir Shorey, Tannishtha Chatterjee, Rajit Kapoor, Vikram Gokhale, Vipin Sharma, Rahul Vohra, Saurabh Shukla, Asrani</t>
        </is>
      </c>
      <c r="F797" s="19" t="inlineStr">
        <is>
          <t>India</t>
        </is>
      </c>
      <c r="G797" s="19" t="inlineStr">
        <is>
          <t>2017-10-15</t>
        </is>
      </c>
      <c r="H797" s="19" t="n">
        <v>2015</v>
      </c>
      <c r="I797" s="19" t="inlineStr">
        <is>
          <t>TV-14</t>
        </is>
      </c>
      <c r="J797" s="19" t="inlineStr">
        <is>
          <t>109 min</t>
        </is>
      </c>
      <c r="K797" s="19" t="inlineStr">
        <is>
          <t>Dramas, Independent Movies, International Movies</t>
        </is>
      </c>
      <c r="L797" s="19" t="inlineStr">
        <is>
          <t>A former freedom fighter is forced to navigate the corridors of a disinterested bureaucracy to prove that he fought in India's freedom movement.</t>
        </is>
      </c>
      <c r="M797" s="19" t="n">
        <v>2017</v>
      </c>
      <c r="N797" s="19">
        <f>IF(AND(OR(YearFilter="All",$M797=YearFilter),OR(RatingFilter="All",$I797=RatingFilter),OR(TypeFilter="All",$B797=TypeFilter),OR(GenreFilter="All",COUNTIFS(tblGenre[show_id],$A797,tblGenre[Genre],GenreFilter)&gt;0)),1,0)</f>
        <v/>
      </c>
    </row>
    <row r="798" ht="15" customHeight="1" s="20">
      <c r="A798" s="19" t="inlineStr">
        <is>
          <t>s6892</t>
        </is>
      </c>
      <c r="B798" s="19" t="inlineStr">
        <is>
          <t>Movie</t>
        </is>
      </c>
      <c r="C798" s="19" t="inlineStr">
        <is>
          <t>Grand Masti</t>
        </is>
      </c>
      <c r="D798" s="19" t="inlineStr">
        <is>
          <t>Indra Kumar</t>
        </is>
      </c>
      <c r="E798" s="19" t="inlineStr">
        <is>
          <t>Riteish Deshmukh, Vivek Oberoi, Aftab Shivdasani, Suresh Menon, Manjari Fadnis, Sonalee Kulkarni, Karishma Tanna, Kainaat Arora, Bruna Abdullah, Maryam Zakaria, Pradeep Singh Rawat</t>
        </is>
      </c>
      <c r="F798" s="19" t="inlineStr">
        <is>
          <t>India</t>
        </is>
      </c>
      <c r="G798" s="19" t="inlineStr">
        <is>
          <t>2018-03-01</t>
        </is>
      </c>
      <c r="H798" s="19" t="n">
        <v>2013</v>
      </c>
      <c r="I798" s="19" t="inlineStr">
        <is>
          <t>TV-MA</t>
        </is>
      </c>
      <c r="J798" s="19" t="inlineStr">
        <is>
          <t>93 min</t>
        </is>
      </c>
      <c r="K798" s="19" t="inlineStr">
        <is>
          <t>Comedies, International Movies, Music &amp; Musicals</t>
        </is>
      </c>
      <c r="L798" s="19" t="inlineStr">
        <is>
          <t>Leaving their wives at home, three randy friends look forward to some raunchy extramarital fun at their college reunion.</t>
        </is>
      </c>
      <c r="M798" s="19" t="n">
        <v>2018</v>
      </c>
      <c r="N798" s="19">
        <f>IF(AND(OR(YearFilter="All",$M798=YearFilter),OR(RatingFilter="All",$I798=RatingFilter),OR(TypeFilter="All",$B798=TypeFilter),OR(GenreFilter="All",COUNTIFS(tblGenre[show_id],$A798,tblGenre[Genre],GenreFilter)&gt;0)),1,0)</f>
        <v/>
      </c>
    </row>
    <row r="799" ht="15" customHeight="1" s="20">
      <c r="A799" s="19" t="inlineStr">
        <is>
          <t>s6908</t>
        </is>
      </c>
      <c r="B799" s="19" t="inlineStr">
        <is>
          <t>Movie</t>
        </is>
      </c>
      <c r="C799" s="19" t="inlineStr">
        <is>
          <t>Haapus</t>
        </is>
      </c>
      <c r="E799" s="19" t="inlineStr">
        <is>
          <t>Makarand Anaspure, Madhura Velankar, Subodh Bhave</t>
        </is>
      </c>
      <c r="F799" s="19" t="inlineStr">
        <is>
          <t>India</t>
        </is>
      </c>
      <c r="G799" s="19" t="inlineStr">
        <is>
          <t>2018-03-15</t>
        </is>
      </c>
      <c r="H799" s="19" t="n">
        <v>2010</v>
      </c>
      <c r="I799" s="19" t="inlineStr">
        <is>
          <t>TV-14</t>
        </is>
      </c>
      <c r="J799" s="19" t="inlineStr">
        <is>
          <t>138 min</t>
        </is>
      </c>
      <c r="K799" s="19" t="inlineStr">
        <is>
          <t>Comedies, Dramas, International Movies</t>
        </is>
      </c>
      <c r="L799" s="19" t="inlineStr">
        <is>
          <t>The son of an astrologer faces opposition from his superstitious father regarding his scheme of launching a mango business.</t>
        </is>
      </c>
      <c r="M799" s="19" t="n">
        <v>2018</v>
      </c>
      <c r="N799" s="19">
        <f>IF(AND(OR(YearFilter="All",$M799=YearFilter),OR(RatingFilter="All",$I799=RatingFilter),OR(TypeFilter="All",$B799=TypeFilter),OR(GenreFilter="All",COUNTIFS(tblGenre[show_id],$A799,tblGenre[Genre],GenreFilter)&gt;0)),1,0)</f>
        <v/>
      </c>
    </row>
    <row r="800" ht="15" customHeight="1" s="20">
      <c r="A800" s="19" t="inlineStr">
        <is>
          <t>s6913</t>
        </is>
      </c>
      <c r="B800" s="19" t="inlineStr">
        <is>
          <t>Movie</t>
        </is>
      </c>
      <c r="C800" s="19" t="inlineStr">
        <is>
          <t>Hamara Dil Aapke Paas Hai</t>
        </is>
      </c>
      <c r="D800" s="19" t="inlineStr">
        <is>
          <t>Satish Kaushik</t>
        </is>
      </c>
      <c r="E800" s="19" t="inlineStr">
        <is>
          <t>Anil Kapoor, Aishwarya Rai Bachchan, Sonali Bendre, Puru Rajkumar, Anupam Kher, Satish Kaushik, Mukesh Rishi, Jaspal Bhatti, Razak Khan, Himani Shivpuri, Smita Jaykar, Tanaaz Currim Irani</t>
        </is>
      </c>
      <c r="F800" s="19" t="inlineStr">
        <is>
          <t>India</t>
        </is>
      </c>
      <c r="G800" s="19" t="inlineStr">
        <is>
          <t>2018-03-01</t>
        </is>
      </c>
      <c r="H800" s="19" t="n">
        <v>2000</v>
      </c>
      <c r="I800" s="19" t="inlineStr">
        <is>
          <t>TV-14</t>
        </is>
      </c>
      <c r="J800" s="19" t="inlineStr">
        <is>
          <t>158 min</t>
        </is>
      </c>
      <c r="K800" s="19" t="inlineStr">
        <is>
          <t>Dramas, International Movies, Music &amp; Musicals</t>
        </is>
      </c>
      <c r="L800" s="19" t="inlineStr">
        <is>
          <t>Love blooms when kind-hearted Avinash takes in Preeti, a woman shunned by society, but the unorthodox living situation creates quite a stir among the neighbors.</t>
        </is>
      </c>
      <c r="M800" s="19" t="n">
        <v>2018</v>
      </c>
      <c r="N800" s="19">
        <f>IF(AND(OR(YearFilter="All",$M800=YearFilter),OR(RatingFilter="All",$I800=RatingFilter),OR(TypeFilter="All",$B800=TypeFilter),OR(GenreFilter="All",COUNTIFS(tblGenre[show_id],$A800,tblGenre[Genre],GenreFilter)&gt;0)),1,0)</f>
        <v/>
      </c>
    </row>
    <row r="801" ht="15" customHeight="1" s="20">
      <c r="A801" s="19" t="inlineStr">
        <is>
          <t>s6937</t>
        </is>
      </c>
      <c r="B801" s="19" t="inlineStr">
        <is>
          <t>Movie</t>
        </is>
      </c>
      <c r="C801" s="19" t="inlineStr">
        <is>
          <t>Haseena Maan Jaayegi</t>
        </is>
      </c>
      <c r="D801" s="19" t="inlineStr">
        <is>
          <t>David Dhawan</t>
        </is>
      </c>
      <c r="E801" s="19" t="inlineStr">
        <is>
          <t>Sanjay Dutt, Govinda, Karisma Kapoor, Pooja Batra, Kader Khan, Paresh Rawal, Satish Kaushik, Aruna Irani, Anupam Kher, Ashish Vidyarthi, Aashif Sheikh, Asrani, Razak Khan, Shakti Kapoor, Bindu, Mahavir Shah, Mohan Joshi, Anil Dhawan</t>
        </is>
      </c>
      <c r="F801" s="19" t="inlineStr">
        <is>
          <t>India</t>
        </is>
      </c>
      <c r="G801" s="19" t="inlineStr">
        <is>
          <t>2018-03-01</t>
        </is>
      </c>
      <c r="H801" s="19" t="n">
        <v>1999</v>
      </c>
      <c r="I801" s="19" t="inlineStr">
        <is>
          <t>TV-PG</t>
        </is>
      </c>
      <c r="J801" s="19" t="inlineStr">
        <is>
          <t>151 min</t>
        </is>
      </c>
      <c r="K801" s="19" t="inlineStr">
        <is>
          <t>Action &amp; Adventure, Comedies, Dramas</t>
        </is>
      </c>
      <c r="L801" s="19" t="inlineStr">
        <is>
          <t>A millionaire opens the door to comic complications when he punishes his spoiled sons for trying to make money through shady, get-rich-quick schemes.</t>
        </is>
      </c>
      <c r="M801" s="19" t="n">
        <v>2018</v>
      </c>
      <c r="N801" s="19">
        <f>IF(AND(OR(YearFilter="All",$M801=YearFilter),OR(RatingFilter="All",$I801=RatingFilter),OR(TypeFilter="All",$B801=TypeFilter),OR(GenreFilter="All",COUNTIFS(tblGenre[show_id],$A801,tblGenre[Genre],GenreFilter)&gt;0)),1,0)</f>
        <v/>
      </c>
    </row>
    <row r="802" ht="15" customHeight="1" s="20">
      <c r="A802" s="19" t="inlineStr">
        <is>
          <t>s6961</t>
        </is>
      </c>
      <c r="B802" s="19" t="inlineStr">
        <is>
          <t>Movie</t>
        </is>
      </c>
      <c r="C802" s="19" t="inlineStr">
        <is>
          <t>Hera Pheri</t>
        </is>
      </c>
      <c r="D802" s="19" t="inlineStr">
        <is>
          <t>Prakash Mehra</t>
        </is>
      </c>
      <c r="E802" s="19" t="inlineStr">
        <is>
          <t>Amitabh Bachchan, Vinod Khanna, Saira Banu, Sulakshana Pandit, Shreeram Lagoo, Pinchoo Kapoor, P. Jairaj, Yunus Parvez</t>
        </is>
      </c>
      <c r="F802" s="19" t="inlineStr">
        <is>
          <t>India</t>
        </is>
      </c>
      <c r="G802" s="19" t="inlineStr">
        <is>
          <t>2019-12-31</t>
        </is>
      </c>
      <c r="H802" s="19" t="n">
        <v>1976</v>
      </c>
      <c r="I802" s="19" t="inlineStr">
        <is>
          <t>TV-14</t>
        </is>
      </c>
      <c r="J802" s="19" t="inlineStr">
        <is>
          <t>156 min</t>
        </is>
      </c>
      <c r="K802" s="19" t="inlineStr">
        <is>
          <t>Action &amp; Adventure, Comedies, Dramas</t>
        </is>
      </c>
      <c r="L802" s="19" t="inlineStr">
        <is>
          <t>The bond between two crooks and best friends is threatened when one learns that the other's father had a hand in his own tragic past.</t>
        </is>
      </c>
      <c r="M802" s="19" t="n">
        <v>2019</v>
      </c>
      <c r="N802" s="19">
        <f>IF(AND(OR(YearFilter="All",$M802=YearFilter),OR(RatingFilter="All",$I802=RatingFilter),OR(TypeFilter="All",$B802=TypeFilter),OR(GenreFilter="All",COUNTIFS(tblGenre[show_id],$A802,tblGenre[Genre],GenreFilter)&gt;0)),1,0)</f>
        <v/>
      </c>
    </row>
    <row r="803" ht="15" customHeight="1" s="20">
      <c r="A803" s="19" t="inlineStr">
        <is>
          <t>s6967</t>
        </is>
      </c>
      <c r="B803" s="19" t="inlineStr">
        <is>
          <t>Movie</t>
        </is>
      </c>
      <c r="C803" s="19" t="inlineStr">
        <is>
          <t>Hide &amp; Seek</t>
        </is>
      </c>
      <c r="D803" s="19" t="inlineStr">
        <is>
          <t>Shawn Arranha</t>
        </is>
      </c>
      <c r="E803" s="19" t="inlineStr">
        <is>
          <t>Purab Kohli, Arjan Bajwa, Mrinalini Sharma, Sameer Kochhar, Ayaz Khan, Amruta Patki, Pavail Gulati, Prashant, Amol Mhatre</t>
        </is>
      </c>
      <c r="F803" s="19" t="inlineStr">
        <is>
          <t>India</t>
        </is>
      </c>
      <c r="G803" s="19" t="inlineStr">
        <is>
          <t>2018-03-01</t>
        </is>
      </c>
      <c r="H803" s="19" t="n">
        <v>2010</v>
      </c>
      <c r="I803" s="19" t="inlineStr">
        <is>
          <t>TV-14</t>
        </is>
      </c>
      <c r="J803" s="19" t="inlineStr">
        <is>
          <t>96 min</t>
        </is>
      </c>
      <c r="K803" s="19" t="inlineStr">
        <is>
          <t>Horror Movies, International Movies, Thrillers</t>
        </is>
      </c>
      <c r="L803" s="19" t="inlineStr">
        <is>
          <t>Years after an accident at a wild Christmas party traumatized them all, six former friends find themselves trapped in a shopping mall and forced by a killer disguised as Santa Claus to play a lethal game of hide-and-seek.</t>
        </is>
      </c>
      <c r="M803" s="19" t="n">
        <v>2018</v>
      </c>
      <c r="N803" s="19">
        <f>IF(AND(OR(YearFilter="All",$M803=YearFilter),OR(RatingFilter="All",$I803=RatingFilter),OR(TypeFilter="All",$B803=TypeFilter),OR(GenreFilter="All",COUNTIFS(tblGenre[show_id],$A803,tblGenre[Genre],GenreFilter)&gt;0)),1,0)</f>
        <v/>
      </c>
    </row>
    <row r="804" ht="15" customHeight="1" s="20">
      <c r="A804" s="19" t="inlineStr">
        <is>
          <t>s6974</t>
        </is>
      </c>
      <c r="B804" s="19" t="inlineStr">
        <is>
          <t>Movie</t>
        </is>
      </c>
      <c r="C804" s="19" t="inlineStr">
        <is>
          <t>Hisss</t>
        </is>
      </c>
      <c r="D804" s="19" t="inlineStr">
        <is>
          <t>Jennifer Lynch</t>
        </is>
      </c>
      <c r="E804" s="19" t="inlineStr">
        <is>
          <t>Mallika Sherawat, Irrfan Khan, Jeff Doucette, Divya Dutta, Raman Trikha, Mahmoud Babai, Raj Bhansali, Sunny Charles, Tony Ciccone, Parvez Khan</t>
        </is>
      </c>
      <c r="F804" s="19" t="inlineStr">
        <is>
          <t>India, United States</t>
        </is>
      </c>
      <c r="G804" s="19" t="inlineStr">
        <is>
          <t>2017-12-01</t>
        </is>
      </c>
      <c r="H804" s="19" t="n">
        <v>2010</v>
      </c>
      <c r="I804" s="19" t="inlineStr">
        <is>
          <t>TV-MA</t>
        </is>
      </c>
      <c r="J804" s="19" t="inlineStr">
        <is>
          <t>97 min</t>
        </is>
      </c>
      <c r="K804" s="19" t="inlineStr">
        <is>
          <t>Horror Movies, International Movies, Thrillers</t>
        </is>
      </c>
      <c r="L804" s="19" t="inlineStr">
        <is>
          <t>In a plot to bait the snake-goddess Nagin for her immortality-granting essence, George States journeys to India and abducts her reptilian lover.</t>
        </is>
      </c>
      <c r="M804" s="19" t="n">
        <v>2017</v>
      </c>
      <c r="N804" s="19">
        <f>IF(AND(OR(YearFilter="All",$M804=YearFilter),OR(RatingFilter="All",$I804=RatingFilter),OR(TypeFilter="All",$B804=TypeFilter),OR(GenreFilter="All",COUNTIFS(tblGenre[show_id],$A804,tblGenre[Genre],GenreFilter)&gt;0)),1,0)</f>
        <v/>
      </c>
    </row>
    <row r="805" ht="15" customHeight="1" s="20">
      <c r="A805" s="19" t="inlineStr">
        <is>
          <t>s6976</t>
        </is>
      </c>
      <c r="B805" s="19" t="inlineStr">
        <is>
          <t>Movie</t>
        </is>
      </c>
      <c r="C805" s="19" t="inlineStr">
        <is>
          <t>History of Joy</t>
        </is>
      </c>
      <c r="D805" s="19" t="inlineStr">
        <is>
          <t>Vishnu Govindhan</t>
        </is>
      </c>
      <c r="E805" s="19" t="inlineStr">
        <is>
          <t>Vishnu Vinay, Vinay Forrt, Saikumar, Joju George, Nobi, Sreekumar, Nandu, Sunil Sukhada</t>
        </is>
      </c>
      <c r="F805" s="19" t="inlineStr">
        <is>
          <t>India</t>
        </is>
      </c>
      <c r="G805" s="19" t="inlineStr">
        <is>
          <t>2018-08-01</t>
        </is>
      </c>
      <c r="H805" s="19" t="n">
        <v>2017</v>
      </c>
      <c r="I805" s="19" t="inlineStr">
        <is>
          <t>TV-14</t>
        </is>
      </c>
      <c r="J805" s="19" t="inlineStr">
        <is>
          <t>118 min</t>
        </is>
      </c>
      <c r="K805" s="19" t="inlineStr">
        <is>
          <t>Dramas, International Movies</t>
        </is>
      </c>
      <c r="L805" s="19" t="inlineStr">
        <is>
          <t>The life of a high-flying law student takes a drastic turn when a bout of misfortune changes his status in society for good.</t>
        </is>
      </c>
      <c r="M805" s="19" t="n">
        <v>2018</v>
      </c>
      <c r="N805" s="19">
        <f>IF(AND(OR(YearFilter="All",$M805=YearFilter),OR(RatingFilter="All",$I805=RatingFilter),OR(TypeFilter="All",$B805=TypeFilter),OR(GenreFilter="All",COUNTIFS(tblGenre[show_id],$A805,tblGenre[Genre],GenreFilter)&gt;0)),1,0)</f>
        <v/>
      </c>
    </row>
    <row r="806" ht="15" customHeight="1" s="20">
      <c r="A806" s="19" t="inlineStr">
        <is>
          <t>s6989</t>
        </is>
      </c>
      <c r="B806" s="19" t="inlineStr">
        <is>
          <t>Movie</t>
        </is>
      </c>
      <c r="C806" s="19" t="inlineStr">
        <is>
          <t>Hombanna</t>
        </is>
      </c>
      <c r="D806" s="19" t="inlineStr">
        <is>
          <t>Rakshith Thirthahalli</t>
        </is>
      </c>
      <c r="E806" s="19" t="inlineStr">
        <is>
          <t>Subbu Talabi, Dhanu Gowda, H.G. Dattatreya, Suchendra Prasad, Ambujakshi, Neenasam Ashwath</t>
        </is>
      </c>
      <c r="F806" s="19" t="inlineStr">
        <is>
          <t>India</t>
        </is>
      </c>
      <c r="G806" s="19" t="inlineStr">
        <is>
          <t>2018-05-01</t>
        </is>
      </c>
      <c r="H806" s="19" t="n">
        <v>2017</v>
      </c>
      <c r="I806" s="19" t="inlineStr">
        <is>
          <t>TV-14</t>
        </is>
      </c>
      <c r="J806" s="19" t="inlineStr">
        <is>
          <t>126 min</t>
        </is>
      </c>
      <c r="K806" s="19" t="inlineStr">
        <is>
          <t>Dramas, International Movies</t>
        </is>
      </c>
      <c r="L806" s="19" t="inlineStr">
        <is>
          <t>In the forests of Karnataka, a farmer and his community face eviction from the land when they get caught in the currents of socio-political change.</t>
        </is>
      </c>
      <c r="M806" s="19" t="n">
        <v>2018</v>
      </c>
      <c r="N806" s="19">
        <f>IF(AND(OR(YearFilter="All",$M806=YearFilter),OR(RatingFilter="All",$I806=RatingFilter),OR(TypeFilter="All",$B806=TypeFilter),OR(GenreFilter="All",COUNTIFS(tblGenre[show_id],$A806,tblGenre[Genre],GenreFilter)&gt;0)),1,0)</f>
        <v/>
      </c>
    </row>
    <row r="807" ht="15" customHeight="1" s="20">
      <c r="A807" s="19" t="inlineStr">
        <is>
          <t>s6994</t>
        </is>
      </c>
      <c r="B807" s="19" t="inlineStr">
        <is>
          <t>Movie</t>
        </is>
      </c>
      <c r="C807" s="19" t="inlineStr">
        <is>
          <t>Hope Aur Hum</t>
        </is>
      </c>
      <c r="D807" s="19" t="inlineStr">
        <is>
          <t>Sudip Bandyopadhyay</t>
        </is>
      </c>
      <c r="E807" s="19" t="inlineStr">
        <is>
          <t>Naseeruddin Shah, Kabir Sajid, Sonali Kulkarni, Amir Bashir, Naveen Kasturia, Neha Chauhan, Virti Vaghani</t>
        </is>
      </c>
      <c r="F807" s="19" t="inlineStr">
        <is>
          <t>India</t>
        </is>
      </c>
      <c r="G807" s="19" t="inlineStr">
        <is>
          <t>2018-09-01</t>
        </is>
      </c>
      <c r="H807" s="19" t="n">
        <v>2018</v>
      </c>
      <c r="I807" s="19" t="inlineStr">
        <is>
          <t>TV-14</t>
        </is>
      </c>
      <c r="J807" s="19" t="inlineStr">
        <is>
          <t>95 min</t>
        </is>
      </c>
      <c r="K807" s="19" t="inlineStr">
        <is>
          <t>Children &amp; Family Movies, Comedies, Dramas</t>
        </is>
      </c>
      <c r="L807" s="19" t="inlineStr">
        <is>
          <t>A multigenerational household navigates daily life, evolving relationships and clashes between old and new mindsets in this light family drama.</t>
        </is>
      </c>
      <c r="M807" s="19" t="n">
        <v>2018</v>
      </c>
      <c r="N807" s="19">
        <f>IF(AND(OR(YearFilter="All",$M807=YearFilter),OR(RatingFilter="All",$I807=RatingFilter),OR(TypeFilter="All",$B807=TypeFilter),OR(GenreFilter="All",COUNTIFS(tblGenre[show_id],$A807,tblGenre[Genre],GenreFilter)&gt;0)),1,0)</f>
        <v/>
      </c>
    </row>
    <row r="808" ht="15" customHeight="1" s="20">
      <c r="A808" s="19" t="inlineStr">
        <is>
          <t>s7000</t>
        </is>
      </c>
      <c r="B808" s="19" t="inlineStr">
        <is>
          <t>Movie</t>
        </is>
      </c>
      <c r="C808" s="19" t="inlineStr">
        <is>
          <t>Horror Story</t>
        </is>
      </c>
      <c r="D808" s="19" t="inlineStr">
        <is>
          <t>Ayush Raina</t>
        </is>
      </c>
      <c r="E808" s="19" t="inlineStr">
        <is>
          <t>Karan Kundra, Nishant Malkani, Hassan Zaidi, Ravish Desai, Radhika Menon, Aparna Bajpai, Nandini Vaid, Sheetal Singh, Bikramjeet Singh, Masood Akhtar</t>
        </is>
      </c>
      <c r="F808" s="19" t="inlineStr">
        <is>
          <t>India</t>
        </is>
      </c>
      <c r="G808" s="19" t="inlineStr">
        <is>
          <t>2019-04-12</t>
        </is>
      </c>
      <c r="H808" s="19" t="n">
        <v>2013</v>
      </c>
      <c r="I808" s="19" t="inlineStr">
        <is>
          <t>TV-14</t>
        </is>
      </c>
      <c r="J808" s="19" t="inlineStr">
        <is>
          <t>85 min</t>
        </is>
      </c>
      <c r="K808" s="19" t="inlineStr">
        <is>
          <t>Horror Movies, International Movies</t>
        </is>
      </c>
      <c r="L808" s="19" t="inlineStr">
        <is>
          <t>On a dare, seven college friends spend a night at an abandoned hotel rumored to be haunted and find themselves trapped in a nightmare.</t>
        </is>
      </c>
      <c r="M808" s="19" t="n">
        <v>2019</v>
      </c>
      <c r="N808" s="19">
        <f>IF(AND(OR(YearFilter="All",$M808=YearFilter),OR(RatingFilter="All",$I808=RatingFilter),OR(TypeFilter="All",$B808=TypeFilter),OR(GenreFilter="All",COUNTIFS(tblGenre[show_id],$A808,tblGenre[Genre],GenreFilter)&gt;0)),1,0)</f>
        <v/>
      </c>
    </row>
    <row r="809" ht="15" customHeight="1" s="20">
      <c r="A809" s="19" t="inlineStr">
        <is>
          <t>s7021</t>
        </is>
      </c>
      <c r="B809" s="19" t="inlineStr">
        <is>
          <t>Movie</t>
        </is>
      </c>
      <c r="C809" s="19" t="inlineStr">
        <is>
          <t>Hridaynath</t>
        </is>
      </c>
      <c r="D809" s="19" t="inlineStr">
        <is>
          <t>Amar Gupte</t>
        </is>
      </c>
      <c r="E809" s="19" t="inlineStr">
        <is>
          <t>Jackie Shroff, Aditya Pancholi, Swarangi Maharte, Ameya Hunaswadkar, Urmila Matondkar</t>
        </is>
      </c>
      <c r="F809" s="19" t="inlineStr">
        <is>
          <t>India</t>
        </is>
      </c>
      <c r="G809" s="19" t="inlineStr">
        <is>
          <t>2018-01-01</t>
        </is>
      </c>
      <c r="H809" s="19" t="n">
        <v>2012</v>
      </c>
      <c r="I809" s="19" t="inlineStr">
        <is>
          <t>TV-14</t>
        </is>
      </c>
      <c r="J809" s="19" t="inlineStr">
        <is>
          <t>103 min</t>
        </is>
      </c>
      <c r="K809" s="19" t="inlineStr">
        <is>
          <t>Dramas, International Movies</t>
        </is>
      </c>
      <c r="L809" s="19" t="inlineStr">
        <is>
          <t>A schoolteacher known for his good deeds and benevolence takes a walk on the dark side after undergoing a heart transplant.</t>
        </is>
      </c>
      <c r="M809" s="19" t="n">
        <v>2018</v>
      </c>
      <c r="N809" s="19">
        <f>IF(AND(OR(YearFilter="All",$M809=YearFilter),OR(RatingFilter="All",$I809=RatingFilter),OR(TypeFilter="All",$B809=TypeFilter),OR(GenreFilter="All",COUNTIFS(tblGenre[show_id],$A809,tblGenre[Genre],GenreFilter)&gt;0)),1,0)</f>
        <v/>
      </c>
    </row>
    <row r="810" ht="15" customHeight="1" s="20">
      <c r="A810" s="19" t="inlineStr">
        <is>
          <t>s7023</t>
        </is>
      </c>
      <c r="B810" s="19" t="inlineStr">
        <is>
          <t>Movie</t>
        </is>
      </c>
      <c r="C810" s="19" t="inlineStr">
        <is>
          <t>Hum Saath-Saath Hain</t>
        </is>
      </c>
      <c r="D810" s="19" t="inlineStr">
        <is>
          <t>Sooraj R. Barjatya</t>
        </is>
      </c>
      <c r="E810" s="19" t="inlineStr">
        <is>
          <t>Salman Khan, Karisma Kapoor, Saif Ali Khan, Tabu, Sonali Bendre, Mohnish Bahl, Mahesh Thakur, Neelam, Alok Nath, Satish Shah</t>
        </is>
      </c>
      <c r="F810" s="19" t="inlineStr">
        <is>
          <t>India</t>
        </is>
      </c>
      <c r="G810" s="19" t="inlineStr">
        <is>
          <t>2018-01-01</t>
        </is>
      </c>
      <c r="H810" s="19" t="n">
        <v>1999</v>
      </c>
      <c r="I810" s="19" t="inlineStr">
        <is>
          <t>TV-G</t>
        </is>
      </c>
      <c r="J810" s="19" t="inlineStr">
        <is>
          <t>176 min</t>
        </is>
      </c>
      <c r="K810" s="19" t="inlineStr">
        <is>
          <t>Dramas, International Movies, Music &amp; Musicals</t>
        </is>
      </c>
      <c r="L810" s="19" t="inlineStr">
        <is>
          <t>A scheming matriarch plots to cut off her disabled stepson and his wife from the family fortune, creating a division within the clan.</t>
        </is>
      </c>
      <c r="M810" s="19" t="n">
        <v>2018</v>
      </c>
      <c r="N810" s="19">
        <f>IF(AND(OR(YearFilter="All",$M810=YearFilter),OR(RatingFilter="All",$I810=RatingFilter),OR(TypeFilter="All",$B810=TypeFilter),OR(GenreFilter="All",COUNTIFS(tblGenre[show_id],$A810,tblGenre[Genre],GenreFilter)&gt;0)),1,0)</f>
        <v/>
      </c>
    </row>
    <row r="811" ht="15" customHeight="1" s="20">
      <c r="A811" s="19" t="inlineStr">
        <is>
          <t>s7024</t>
        </is>
      </c>
      <c r="B811" s="19" t="inlineStr">
        <is>
          <t>Movie</t>
        </is>
      </c>
      <c r="C811" s="19" t="inlineStr">
        <is>
          <t>Humko Deewana Kar Gaye</t>
        </is>
      </c>
      <c r="D811" s="19" t="inlineStr">
        <is>
          <t>Raj Kanwar</t>
        </is>
      </c>
      <c r="E811" s="19" t="inlineStr">
        <is>
          <t>Akshay Kumar, Katrina Kaif, Bipasha Basu, Bhagyashree, Shernaz Patel, Vivek Shaq, Mahesh Thakur, Ranjeet, Nina Kulkarni, Puneet Issar, Anju Mahendru, Manoj Joshi, Anil Kapoor</t>
        </is>
      </c>
      <c r="F811" s="19" t="inlineStr">
        <is>
          <t>India</t>
        </is>
      </c>
      <c r="G811" s="19" t="inlineStr">
        <is>
          <t>2017-10-22</t>
        </is>
      </c>
      <c r="H811" s="19" t="n">
        <v>2006</v>
      </c>
      <c r="I811" s="19" t="inlineStr">
        <is>
          <t>TV-PG</t>
        </is>
      </c>
      <c r="J811" s="19" t="inlineStr">
        <is>
          <t>149 min</t>
        </is>
      </c>
      <c r="K811" s="19" t="inlineStr">
        <is>
          <t>International Movies, Music &amp; Musicals, Romantic Movies</t>
        </is>
      </c>
      <c r="L811" s="19" t="inlineStr">
        <is>
          <t>Two kindred spirits who are betrothed to others must decide whether to go through with arranged marriages or brush aside convention for true love.</t>
        </is>
      </c>
      <c r="M811" s="19" t="n">
        <v>2017</v>
      </c>
      <c r="N811" s="19">
        <f>IF(AND(OR(YearFilter="All",$M811=YearFilter),OR(RatingFilter="All",$I811=RatingFilter),OR(TypeFilter="All",$B811=TypeFilter),OR(GenreFilter="All",COUNTIFS(tblGenre[show_id],$A811,tblGenre[Genre],GenreFilter)&gt;0)),1,0)</f>
        <v/>
      </c>
    </row>
    <row r="812" ht="15" customHeight="1" s="20">
      <c r="A812" s="19" t="inlineStr">
        <is>
          <t>s7036</t>
        </is>
      </c>
      <c r="B812" s="19" t="inlineStr">
        <is>
          <t>Movie</t>
        </is>
      </c>
      <c r="C812" s="19" t="inlineStr">
        <is>
          <t>I Am</t>
        </is>
      </c>
      <c r="D812" s="19" t="inlineStr">
        <is>
          <t>Onir</t>
        </is>
      </c>
      <c r="E812" s="19" t="inlineStr">
        <is>
          <t>Juhi Chawla, Rahul Bose, Nandita Das, Sanjay Suri, Manisha Koirala, Purab Kohli, Shernaz Patel, Abhimanyu Singh, Arjun Mathur, Radhika Apte</t>
        </is>
      </c>
      <c r="F812" s="19" t="inlineStr">
        <is>
          <t>India, Japan</t>
        </is>
      </c>
      <c r="G812" s="19" t="inlineStr">
        <is>
          <t>2019-03-04</t>
        </is>
      </c>
      <c r="H812" s="19" t="n">
        <v>2010</v>
      </c>
      <c r="I812" s="19" t="inlineStr">
        <is>
          <t>TV-MA</t>
        </is>
      </c>
      <c r="J812" s="19" t="inlineStr">
        <is>
          <t>106 min</t>
        </is>
      </c>
      <c r="K812" s="19" t="inlineStr">
        <is>
          <t>Dramas, Independent Movies, International Movies</t>
        </is>
      </c>
      <c r="L812" s="19" t="inlineStr">
        <is>
          <t>Four individuals in modern India grapple with their identities amid social taboos, trauma and brutal sexual discrimination in this quartet of stories.</t>
        </is>
      </c>
      <c r="M812" s="19" t="n">
        <v>2019</v>
      </c>
      <c r="N812" s="19">
        <f>IF(AND(OR(YearFilter="All",$M812=YearFilter),OR(RatingFilter="All",$I812=RatingFilter),OR(TypeFilter="All",$B812=TypeFilter),OR(GenreFilter="All",COUNTIFS(tblGenre[show_id],$A812,tblGenre[Genre],GenreFilter)&gt;0)),1,0)</f>
        <v/>
      </c>
    </row>
    <row r="813" ht="15" customHeight="1" s="20">
      <c r="A813" s="19" t="inlineStr">
        <is>
          <t>s7054</t>
        </is>
      </c>
      <c r="B813" s="19" t="inlineStr">
        <is>
          <t>Movie</t>
        </is>
      </c>
      <c r="C813" s="19" t="inlineStr">
        <is>
          <t>Ideachi Kalpana</t>
        </is>
      </c>
      <c r="D813" s="19" t="inlineStr">
        <is>
          <t>Sachin</t>
        </is>
      </c>
      <c r="E813" s="19" t="inlineStr">
        <is>
          <t>Bhargavi Chirmuley, Mahesh Kothare, Sachin, Ashok Saraf, Nirmiti Sawant</t>
        </is>
      </c>
      <c r="F813" s="19" t="inlineStr">
        <is>
          <t>India</t>
        </is>
      </c>
      <c r="G813" s="19" t="inlineStr">
        <is>
          <t>2018-01-01</t>
        </is>
      </c>
      <c r="H813" s="19" t="n">
        <v>2010</v>
      </c>
      <c r="I813" s="19" t="inlineStr">
        <is>
          <t>TV-14</t>
        </is>
      </c>
      <c r="J813" s="19" t="inlineStr">
        <is>
          <t>124 min</t>
        </is>
      </c>
      <c r="K813" s="19" t="inlineStr">
        <is>
          <t>Comedies, International Movies, Romantic Movies</t>
        </is>
      </c>
      <c r="L813" s="19" t="inlineStr">
        <is>
          <t>After an actor is hit by a car driven by the police commissioner's sister, his scheming brother-in-law files a bogus suit against the commissioner.</t>
        </is>
      </c>
      <c r="M813" s="19" t="n">
        <v>2018</v>
      </c>
      <c r="N813" s="19">
        <f>IF(AND(OR(YearFilter="All",$M813=YearFilter),OR(RatingFilter="All",$I813=RatingFilter),OR(TypeFilter="All",$B813=TypeFilter),OR(GenreFilter="All",COUNTIFS(tblGenre[show_id],$A813,tblGenre[Genre],GenreFilter)&gt;0)),1,0)</f>
        <v/>
      </c>
    </row>
    <row r="814" ht="15" customHeight="1" s="20">
      <c r="A814" s="19" t="inlineStr">
        <is>
          <t>s7065</t>
        </is>
      </c>
      <c r="B814" s="19" t="inlineStr">
        <is>
          <t>Movie</t>
        </is>
      </c>
      <c r="C814" s="19" t="inlineStr">
        <is>
          <t>Incomplete</t>
        </is>
      </c>
      <c r="D814" s="19" t="inlineStr">
        <is>
          <t>Suman Mukhopadhyay</t>
        </is>
      </c>
      <c r="E814" s="19" t="inlineStr">
        <is>
          <t>Ritwick Chakraborty, Swastika Mukherjee, Paoli Dam, Bratya Basu, Santu Mukherjee, Dibyendu Bhattacharya, Anindya Bandopadhyay, Poulomi Das, Nigel Akkara, Bhed Sinha</t>
        </is>
      </c>
      <c r="F814" s="19" t="inlineStr">
        <is>
          <t>India</t>
        </is>
      </c>
      <c r="G814" s="19" t="inlineStr">
        <is>
          <t>2017-04-08</t>
        </is>
      </c>
      <c r="H814" s="19" t="n">
        <v>2017</v>
      </c>
      <c r="I814" s="19" t="inlineStr">
        <is>
          <t>TV-MA</t>
        </is>
      </c>
      <c r="J814" s="19" t="inlineStr">
        <is>
          <t>119 min</t>
        </is>
      </c>
      <c r="K814" s="19" t="inlineStr">
        <is>
          <t>Dramas, International Movies, Romantic Movies</t>
        </is>
      </c>
      <c r="L814" s="19" t="inlineStr">
        <is>
          <t>A man returns to his childhood hometown, where he meets the happily married woman he once jilted, while his best friend endures a more volatile union.</t>
        </is>
      </c>
      <c r="M814" s="19" t="n">
        <v>2017</v>
      </c>
      <c r="N814" s="19">
        <f>IF(AND(OR(YearFilter="All",$M814=YearFilter),OR(RatingFilter="All",$I814=RatingFilter),OR(TypeFilter="All",$B814=TypeFilter),OR(GenreFilter="All",COUNTIFS(tblGenre[show_id],$A814,tblGenre[Genre],GenreFilter)&gt;0)),1,0)</f>
        <v/>
      </c>
    </row>
    <row r="815" ht="15" customHeight="1" s="20">
      <c r="A815" s="19" t="inlineStr">
        <is>
          <t>s7069</t>
        </is>
      </c>
      <c r="B815" s="19" t="inlineStr">
        <is>
          <t>Movie</t>
        </is>
      </c>
      <c r="C815" s="19" t="inlineStr">
        <is>
          <t>INDIA</t>
        </is>
      </c>
      <c r="D815" s="19" t="inlineStr">
        <is>
          <t>Sanjeev Gupta</t>
        </is>
      </c>
      <c r="E815" s="19" t="inlineStr">
        <is>
          <t>Heeba Shah, Ashwin Shukla, Muskaan, Aldan Shaikh, Ayesha</t>
        </is>
      </c>
      <c r="F815" s="19" t="inlineStr">
        <is>
          <t>India</t>
        </is>
      </c>
      <c r="G815" s="19" t="inlineStr">
        <is>
          <t>2017-02-17</t>
        </is>
      </c>
      <c r="H815" s="19" t="n">
        <v>2014</v>
      </c>
      <c r="I815" s="19" t="inlineStr">
        <is>
          <t>NR</t>
        </is>
      </c>
      <c r="J815" s="19" t="inlineStr">
        <is>
          <t>95 min</t>
        </is>
      </c>
      <c r="K815" s="19" t="inlineStr">
        <is>
          <t>Dramas, Independent Movies, International Movies</t>
        </is>
      </c>
      <c r="L815" s="19" t="inlineStr">
        <is>
          <t>A man buys a young girl, code-names her "Doll" and sends her to live with a mother of two who has a mysterious mission to be fulfilled.</t>
        </is>
      </c>
      <c r="M815" s="19" t="n">
        <v>2017</v>
      </c>
      <c r="N815" s="19">
        <f>IF(AND(OR(YearFilter="All",$M815=YearFilter),OR(RatingFilter="All",$I815=RatingFilter),OR(TypeFilter="All",$B815=TypeFilter),OR(GenreFilter="All",COUNTIFS(tblGenre[show_id],$A815,tblGenre[Genre],GenreFilter)&gt;0)),1,0)</f>
        <v/>
      </c>
    </row>
    <row r="816" ht="15" customHeight="1" s="20">
      <c r="A816" s="19" t="inlineStr">
        <is>
          <t>s7080</t>
        </is>
      </c>
      <c r="B816" s="19" t="inlineStr">
        <is>
          <t>Movie</t>
        </is>
      </c>
      <c r="C816" s="19" t="inlineStr">
        <is>
          <t>Insan</t>
        </is>
      </c>
      <c r="D816" s="19" t="inlineStr">
        <is>
          <t>K. Subhash</t>
        </is>
      </c>
      <c r="E816" s="19" t="inlineStr">
        <is>
          <t>Akshay Kumar, Ajay Devgn, Tusshar Kapoor, Esha Deol, Lara Dutta, Laila, Rahul Dev, Koena Mitra, Archana Puran Singh, Sharat Saxena</t>
        </is>
      </c>
      <c r="F816" s="19" t="inlineStr">
        <is>
          <t>India</t>
        </is>
      </c>
      <c r="G816" s="19" t="inlineStr">
        <is>
          <t>2018-03-01</t>
        </is>
      </c>
      <c r="H816" s="19" t="n">
        <v>2005</v>
      </c>
      <c r="I816" s="19" t="inlineStr">
        <is>
          <t>TV-14</t>
        </is>
      </c>
      <c r="J816" s="19" t="inlineStr">
        <is>
          <t>141 min</t>
        </is>
      </c>
      <c r="K816" s="19" t="inlineStr">
        <is>
          <t>Action &amp; Adventure, Dramas, International Movies</t>
        </is>
      </c>
      <c r="L816" s="19" t="inlineStr">
        <is>
          <t>A grieving policeman and a rickshaw driver are brought together by a dark, tragic secret that will change their lives forever.</t>
        </is>
      </c>
      <c r="M816" s="19" t="n">
        <v>2018</v>
      </c>
      <c r="N816" s="19">
        <f>IF(AND(OR(YearFilter="All",$M816=YearFilter),OR(RatingFilter="All",$I816=RatingFilter),OR(TypeFilter="All",$B816=TypeFilter),OR(GenreFilter="All",COUNTIFS(tblGenre[show_id],$A816,tblGenre[Genre],GenreFilter)&gt;0)),1,0)</f>
        <v/>
      </c>
    </row>
    <row r="817" ht="15" customHeight="1" s="20">
      <c r="A817" s="19" t="inlineStr">
        <is>
          <t>s7095</t>
        </is>
      </c>
      <c r="B817" s="19" t="inlineStr">
        <is>
          <t>Movie</t>
        </is>
      </c>
      <c r="C817" s="19" t="inlineStr">
        <is>
          <t>Iqbal</t>
        </is>
      </c>
      <c r="D817" s="19" t="inlineStr">
        <is>
          <t>Nagesh Kukunoor</t>
        </is>
      </c>
      <c r="E817" s="19" t="inlineStr">
        <is>
          <t>Shreyas Talpade, Naseeruddin Shah, Girish Karnad, Shweta Prasad, Yatin Karyekar, Prateeksha Lonkar, Dilip Salgaonkar, Jyoti Joshi, Aadarsh Balakrishna, Gururaj Manepalli</t>
        </is>
      </c>
      <c r="F817" s="19" t="inlineStr">
        <is>
          <t>India</t>
        </is>
      </c>
      <c r="G817" s="19" t="inlineStr">
        <is>
          <t>2018-03-01</t>
        </is>
      </c>
      <c r="H817" s="19" t="n">
        <v>2006</v>
      </c>
      <c r="I817" s="19" t="inlineStr">
        <is>
          <t>TV-Y7</t>
        </is>
      </c>
      <c r="J817" s="19" t="inlineStr">
        <is>
          <t>127 min</t>
        </is>
      </c>
      <c r="K817" s="19" t="inlineStr">
        <is>
          <t>Dramas, Independent Movies, International Movies</t>
        </is>
      </c>
      <c r="L817" s="19" t="inlineStr">
        <is>
          <t>A boy with a hearing and speech impairment – and extraordinary athletic ability – chases his lifelong dream of playing cricket for India.</t>
        </is>
      </c>
      <c r="M817" s="19" t="n">
        <v>2018</v>
      </c>
      <c r="N817" s="19">
        <f>IF(AND(OR(YearFilter="All",$M817=YearFilter),OR(RatingFilter="All",$I817=RatingFilter),OR(TypeFilter="All",$B817=TypeFilter),OR(GenreFilter="All",COUNTIFS(tblGenre[show_id],$A817,tblGenre[Genre],GenreFilter)&gt;0)),1,0)</f>
        <v/>
      </c>
    </row>
    <row r="818" ht="15" customHeight="1" s="20">
      <c r="A818" s="19" t="inlineStr">
        <is>
          <t>s7096</t>
        </is>
      </c>
      <c r="B818" s="19" t="inlineStr">
        <is>
          <t>Movie</t>
        </is>
      </c>
      <c r="C818" s="19" t="inlineStr">
        <is>
          <t>Irada Pakka</t>
        </is>
      </c>
      <c r="D818" s="19" t="inlineStr">
        <is>
          <t>Kedar Shinde</t>
        </is>
      </c>
      <c r="E818" s="19" t="inlineStr">
        <is>
          <t>Smita Jaykar, Siddarth Jadhav</t>
        </is>
      </c>
      <c r="F818" s="19" t="inlineStr">
        <is>
          <t>India</t>
        </is>
      </c>
      <c r="G818" s="19" t="inlineStr">
        <is>
          <t>2018-03-15</t>
        </is>
      </c>
      <c r="H818" s="19" t="n">
        <v>2010</v>
      </c>
      <c r="I818" s="19" t="inlineStr">
        <is>
          <t>TV-14</t>
        </is>
      </c>
      <c r="J818" s="19" t="inlineStr">
        <is>
          <t>137 min</t>
        </is>
      </c>
      <c r="K818" s="19" t="inlineStr">
        <is>
          <t>Comedies, Dramas, International Movies</t>
        </is>
      </c>
      <c r="L818" s="19" t="inlineStr">
        <is>
          <t>Bored in their happy marriage, a couple decides to spice things up by fighting more, but their game takes the relationship on an unexpected path.</t>
        </is>
      </c>
      <c r="M818" s="19" t="n">
        <v>2018</v>
      </c>
      <c r="N818" s="19">
        <f>IF(AND(OR(YearFilter="All",$M818=YearFilter),OR(RatingFilter="All",$I818=RatingFilter),OR(TypeFilter="All",$B818=TypeFilter),OR(GenreFilter="All",COUNTIFS(tblGenre[show_id],$A818,tblGenre[Genre],GenreFilter)&gt;0)),1,0)</f>
        <v/>
      </c>
    </row>
    <row r="819" ht="15" customHeight="1" s="20">
      <c r="A819" s="19" t="inlineStr">
        <is>
          <t>s7100</t>
        </is>
      </c>
      <c r="B819" s="19" t="inlineStr">
        <is>
          <t>Movie</t>
        </is>
      </c>
      <c r="C819" s="19" t="inlineStr">
        <is>
          <t>Ishqedarriyaan</t>
        </is>
      </c>
      <c r="D819" s="19" t="inlineStr">
        <is>
          <t>V. K. Prakash</t>
        </is>
      </c>
      <c r="E819" s="19" t="inlineStr">
        <is>
          <t>Suhasini Mulay, Kavin Dave, Evelyn Sharma</t>
        </is>
      </c>
      <c r="F819" s="19" t="inlineStr">
        <is>
          <t>India</t>
        </is>
      </c>
      <c r="G819" s="19" t="inlineStr">
        <is>
          <t>2018-03-01</t>
        </is>
      </c>
      <c r="H819" s="19" t="n">
        <v>2015</v>
      </c>
      <c r="I819" s="19" t="inlineStr">
        <is>
          <t>TV-14</t>
        </is>
      </c>
      <c r="J819" s="19" t="inlineStr">
        <is>
          <t>130 min</t>
        </is>
      </c>
      <c r="K819" s="19" t="inlineStr">
        <is>
          <t>Dramas, International Movies, Romantic Movies</t>
        </is>
      </c>
      <c r="L819" s="19" t="inlineStr">
        <is>
          <t>A young millionaire is willing to do anything to make the schoolteacher he loves happy. Even if it means helping her marry someone else.</t>
        </is>
      </c>
      <c r="M819" s="19" t="n">
        <v>2018</v>
      </c>
      <c r="N819" s="19">
        <f>IF(AND(OR(YearFilter="All",$M819=YearFilter),OR(RatingFilter="All",$I819=RatingFilter),OR(TypeFilter="All",$B819=TypeFilter),OR(GenreFilter="All",COUNTIFS(tblGenre[show_id],$A819,tblGenre[Genre],GenreFilter)&gt;0)),1,0)</f>
        <v/>
      </c>
    </row>
    <row r="820" ht="15" customHeight="1" s="20">
      <c r="A820" s="19" t="inlineStr">
        <is>
          <t>s7103</t>
        </is>
      </c>
      <c r="B820" s="19" t="inlineStr">
        <is>
          <t>Movie</t>
        </is>
      </c>
      <c r="C820" s="19" t="inlineStr">
        <is>
          <t>Issaq</t>
        </is>
      </c>
      <c r="D820" s="19" t="inlineStr">
        <is>
          <t>Manish Tiwary</t>
        </is>
      </c>
      <c r="E820" s="19" t="inlineStr">
        <is>
          <t>Prateik, Amyra Dastur, Ravi Kishan, Prashant Narayanan, Rajeshwari Sachdev, Neena Gupta, Makarand Deshpande, Vineet Kumar Singh, Amit Sial, Prashantt Guptha, Sudhir Pandey, Evelyn Sharma, Sandeep Bose</t>
        </is>
      </c>
      <c r="F820" s="19" t="inlineStr">
        <is>
          <t>India</t>
        </is>
      </c>
      <c r="G820" s="19" t="inlineStr">
        <is>
          <t>2018-03-01</t>
        </is>
      </c>
      <c r="H820" s="19" t="n">
        <v>2013</v>
      </c>
      <c r="I820" s="19" t="inlineStr">
        <is>
          <t>TV-MA</t>
        </is>
      </c>
      <c r="J820" s="19" t="inlineStr">
        <is>
          <t>140 min</t>
        </is>
      </c>
      <c r="K820" s="19" t="inlineStr">
        <is>
          <t>Dramas, International Movies, Music &amp; Musicals</t>
        </is>
      </c>
      <c r="L820" s="19" t="inlineStr">
        <is>
          <t>Two young lovers in Banaras are caught in the crossfire of a feud between their powerful families and a political climate destroying their city.</t>
        </is>
      </c>
      <c r="M820" s="19" t="n">
        <v>2018</v>
      </c>
      <c r="N820" s="19">
        <f>IF(AND(OR(YearFilter="All",$M820=YearFilter),OR(RatingFilter="All",$I820=RatingFilter),OR(TypeFilter="All",$B820=TypeFilter),OR(GenreFilter="All",COUNTIFS(tblGenre[show_id],$A820,tblGenre[Genre],GenreFilter)&gt;0)),1,0)</f>
        <v/>
      </c>
    </row>
    <row r="821" ht="15" customHeight="1" s="20">
      <c r="A821" s="19" t="inlineStr">
        <is>
          <t>s7110</t>
        </is>
      </c>
      <c r="B821" s="19" t="inlineStr">
        <is>
          <t>Movie</t>
        </is>
      </c>
      <c r="C821" s="19" t="inlineStr">
        <is>
          <t>Jaan-E-Mann: Let's Fall in Love... Again</t>
        </is>
      </c>
      <c r="D821" s="19" t="inlineStr">
        <is>
          <t>Shirish Kunder</t>
        </is>
      </c>
      <c r="E821" s="19" t="inlineStr">
        <is>
          <t>Salman Khan, Akshay Kumar, Preity Zinta, Anupam Kher, Aman Verma, Javed Sheikh, Soni Razdan, Nawab Shah</t>
        </is>
      </c>
      <c r="F821" s="19" t="inlineStr">
        <is>
          <t>India</t>
        </is>
      </c>
      <c r="G821" s="19" t="inlineStr">
        <is>
          <t>2019-12-31</t>
        </is>
      </c>
      <c r="H821" s="19" t="n">
        <v>2006</v>
      </c>
      <c r="I821" s="19" t="inlineStr">
        <is>
          <t>TV-14</t>
        </is>
      </c>
      <c r="J821" s="19" t="inlineStr">
        <is>
          <t>163 min</t>
        </is>
      </c>
      <c r="K821" s="19" t="inlineStr">
        <is>
          <t>Dramas, International Movies, Romantic Movies</t>
        </is>
      </c>
      <c r="L821" s="19" t="inlineStr">
        <is>
          <t>To avoid alimony payments, an aspiring actor schemes for his ex-wife to marry an unlikely suitor, but soon realizes he may not be ready to lose her.</t>
        </is>
      </c>
      <c r="M821" s="19" t="n">
        <v>2019</v>
      </c>
      <c r="N821" s="19">
        <f>IF(AND(OR(YearFilter="All",$M821=YearFilter),OR(RatingFilter="All",$I821=RatingFilter),OR(TypeFilter="All",$B821=TypeFilter),OR(GenreFilter="All",COUNTIFS(tblGenre[show_id],$A821,tblGenre[Genre],GenreFilter)&gt;0)),1,0)</f>
        <v/>
      </c>
    </row>
    <row r="822" ht="15" customHeight="1" s="20">
      <c r="A822" s="19" t="inlineStr">
        <is>
          <t>s7116</t>
        </is>
      </c>
      <c r="B822" s="19" t="inlineStr">
        <is>
          <t>Movie</t>
        </is>
      </c>
      <c r="C822" s="19" t="inlineStr">
        <is>
          <t>Jail</t>
        </is>
      </c>
      <c r="D822" s="19" t="inlineStr">
        <is>
          <t>Madhur Bhandarkar</t>
        </is>
      </c>
      <c r="E822" s="19" t="inlineStr">
        <is>
          <t>Neil Nitin Mukesh, Manoj Bajpayee, Mugdha Godse, Arya Babbar, Chetan Pandit, Rahul Singh, Navni Parihar, Manish Mehta</t>
        </is>
      </c>
      <c r="F822" s="19" t="inlineStr">
        <is>
          <t>India</t>
        </is>
      </c>
      <c r="G822" s="19" t="inlineStr">
        <is>
          <t>2019-12-31</t>
        </is>
      </c>
      <c r="H822" s="19" t="n">
        <v>2009</v>
      </c>
      <c r="I822" s="19" t="inlineStr">
        <is>
          <t>TV-14</t>
        </is>
      </c>
      <c r="J822" s="19" t="inlineStr">
        <is>
          <t>132 min</t>
        </is>
      </c>
      <c r="K822" s="19" t="inlineStr">
        <is>
          <t>Dramas, International Movies</t>
        </is>
      </c>
      <c r="L822" s="19" t="inlineStr">
        <is>
          <t>Incarcerated for a crime he didn’t commit, a young man must navigate the crowded, cut-throat environment of prison as he awaits trial.</t>
        </is>
      </c>
      <c r="M822" s="19" t="n">
        <v>2019</v>
      </c>
      <c r="N822" s="19">
        <f>IF(AND(OR(YearFilter="All",$M822=YearFilter),OR(RatingFilter="All",$I822=RatingFilter),OR(TypeFilter="All",$B822=TypeFilter),OR(GenreFilter="All",COUNTIFS(tblGenre[show_id],$A822,tblGenre[Genre],GenreFilter)&gt;0)),1,0)</f>
        <v/>
      </c>
    </row>
    <row r="823" ht="15" customHeight="1" s="20">
      <c r="A823" s="19" t="inlineStr">
        <is>
          <t>s7118</t>
        </is>
      </c>
      <c r="B823" s="19" t="inlineStr">
        <is>
          <t>Movie</t>
        </is>
      </c>
      <c r="C823" s="19" t="inlineStr">
        <is>
          <t>Jal</t>
        </is>
      </c>
      <c r="D823" s="19" t="inlineStr">
        <is>
          <t>Girish Malik</t>
        </is>
      </c>
      <c r="E823" s="19" t="inlineStr">
        <is>
          <t>Purab Kohli, Tannishtha Chatterjee, Kirti Kulhari, Yashpal Sharma, Mukul Dev, Saidah Jules, Ravi Gossain, Rahul Singh</t>
        </is>
      </c>
      <c r="F823" s="19" t="inlineStr">
        <is>
          <t>India</t>
        </is>
      </c>
      <c r="G823" s="19" t="inlineStr">
        <is>
          <t>2017-10-15</t>
        </is>
      </c>
      <c r="H823" s="19" t="n">
        <v>2013</v>
      </c>
      <c r="I823" s="19" t="inlineStr">
        <is>
          <t>TV-14</t>
        </is>
      </c>
      <c r="J823" s="19" t="inlineStr">
        <is>
          <t>132 min</t>
        </is>
      </c>
      <c r="K823" s="19" t="inlineStr">
        <is>
          <t>Dramas, Independent Movies, International Movies</t>
        </is>
      </c>
      <c r="L823" s="19" t="inlineStr">
        <is>
          <t>A gifted young man from a drought-stricken village helps a group of ecologists find water for migrating flamingoes.</t>
        </is>
      </c>
      <c r="M823" s="19" t="n">
        <v>2017</v>
      </c>
      <c r="N823" s="19">
        <f>IF(AND(OR(YearFilter="All",$M823=YearFilter),OR(RatingFilter="All",$I823=RatingFilter),OR(TypeFilter="All",$B823=TypeFilter),OR(GenreFilter="All",COUNTIFS(tblGenre[show_id],$A823,tblGenre[Genre],GenreFilter)&gt;0)),1,0)</f>
        <v/>
      </c>
    </row>
    <row r="824" ht="15" customHeight="1" s="20">
      <c r="A824" s="19" t="inlineStr">
        <is>
          <t>s7119</t>
        </is>
      </c>
      <c r="B824" s="19" t="inlineStr">
        <is>
          <t>Movie</t>
        </is>
      </c>
      <c r="C824" s="19" t="inlineStr">
        <is>
          <t>Jalpari: The Desert Mermaid</t>
        </is>
      </c>
      <c r="D824" s="19" t="inlineStr">
        <is>
          <t>Nila Madhab Panda</t>
        </is>
      </c>
      <c r="E824" s="19" t="inlineStr">
        <is>
          <t>Lehar Khan, Krishang Trivedi, Parvin Dabas, Suhasini Mulay, V.M. Badola, Tannishtha Chatterjee, Rahul Singh, Harsh Mayar</t>
        </is>
      </c>
      <c r="F824" s="19" t="inlineStr">
        <is>
          <t>India</t>
        </is>
      </c>
      <c r="G824" s="19" t="inlineStr">
        <is>
          <t>2018-05-19</t>
        </is>
      </c>
      <c r="H824" s="19" t="n">
        <v>2012</v>
      </c>
      <c r="I824" s="19" t="inlineStr">
        <is>
          <t>TV-14</t>
        </is>
      </c>
      <c r="J824" s="19" t="inlineStr">
        <is>
          <t>94 min</t>
        </is>
      </c>
      <c r="K824" s="19" t="inlineStr">
        <is>
          <t>Dramas, Independent Movies, International Movies</t>
        </is>
      </c>
      <c r="L824" s="19" t="inlineStr">
        <is>
          <t>When they travel to their father's ancestral village, city kids expecting a natural paradise instead find a poor, dusty town that harbors secrets.</t>
        </is>
      </c>
      <c r="M824" s="19" t="n">
        <v>2018</v>
      </c>
      <c r="N824" s="19">
        <f>IF(AND(OR(YearFilter="All",$M824=YearFilter),OR(RatingFilter="All",$I824=RatingFilter),OR(TypeFilter="All",$B824=TypeFilter),OR(GenreFilter="All",COUNTIFS(tblGenre[show_id],$A824,tblGenre[Genre],GenreFilter)&gt;0)),1,0)</f>
        <v/>
      </c>
    </row>
    <row r="825" ht="15" customHeight="1" s="20">
      <c r="A825" s="19" t="inlineStr">
        <is>
          <t>s7130</t>
        </is>
      </c>
      <c r="B825" s="19" t="inlineStr">
        <is>
          <t>TV Show</t>
        </is>
      </c>
      <c r="C825" s="19" t="inlineStr">
        <is>
          <t>Jhansi Ki Rani</t>
        </is>
      </c>
      <c r="E825" s="19" t="inlineStr">
        <is>
          <t>Ulka Gupta, Sameer Dharmadhikari, Amit Pachori, Shailesh Dattar, Aruna Irani</t>
        </is>
      </c>
      <c r="F825" s="19" t="inlineStr">
        <is>
          <t>India</t>
        </is>
      </c>
      <c r="G825" s="19" t="inlineStr">
        <is>
          <t>2017-06-01</t>
        </is>
      </c>
      <c r="H825" s="19" t="n">
        <v>2009</v>
      </c>
      <c r="I825" s="19" t="inlineStr">
        <is>
          <t>TV-14</t>
        </is>
      </c>
      <c r="J825" s="19" t="inlineStr">
        <is>
          <t>1 Season</t>
        </is>
      </c>
      <c r="K825" s="19" t="inlineStr">
        <is>
          <t>International TV Shows, TV Dramas</t>
        </is>
      </c>
      <c r="L825" s="19" t="inlineStr">
        <is>
          <t>In British-ruled, 19th-century India, a 14-year-old girl trains as a warrior and becomes a devoted crusader in her country's fight for independence.</t>
        </is>
      </c>
      <c r="M825" s="19" t="n">
        <v>2017</v>
      </c>
      <c r="N825" s="19">
        <f>IF(AND(OR(YearFilter="All",$M825=YearFilter),OR(RatingFilter="All",$I825=RatingFilter),OR(TypeFilter="All",$B825=TypeFilter),OR(GenreFilter="All",COUNTIFS(tblGenre[show_id],$A825,tblGenre[Genre],GenreFilter)&gt;0)),1,0)</f>
        <v/>
      </c>
    </row>
    <row r="826" ht="15" customHeight="1" s="20">
      <c r="A826" s="19" t="inlineStr">
        <is>
          <t>s7136</t>
        </is>
      </c>
      <c r="B826" s="19" t="inlineStr">
        <is>
          <t>Movie</t>
        </is>
      </c>
      <c r="C826" s="19" t="inlineStr">
        <is>
          <t>John &amp; Jane</t>
        </is>
      </c>
      <c r="D826" s="19" t="inlineStr">
        <is>
          <t>Ashim Ahluwalia</t>
        </is>
      </c>
      <c r="F826" s="19" t="inlineStr">
        <is>
          <t>India</t>
        </is>
      </c>
      <c r="G826" s="19" t="inlineStr">
        <is>
          <t>2016-08-15</t>
        </is>
      </c>
      <c r="H826" s="19" t="n">
        <v>2005</v>
      </c>
      <c r="I826" s="19" t="inlineStr">
        <is>
          <t>TV-14</t>
        </is>
      </c>
      <c r="J826" s="19" t="inlineStr">
        <is>
          <t>79 min</t>
        </is>
      </c>
      <c r="K826" s="19" t="inlineStr">
        <is>
          <t>Documentaries, International Movies</t>
        </is>
      </c>
      <c r="L826" s="19" t="inlineStr">
        <is>
          <t>Truth and fiction blend in this quasi-documentary about six exhausted workers at a Mumbai call center servicing U.S. customers.</t>
        </is>
      </c>
      <c r="M826" s="19" t="n">
        <v>2016</v>
      </c>
      <c r="N826" s="19">
        <f>IF(AND(OR(YearFilter="All",$M826=YearFilter),OR(RatingFilter="All",$I826=RatingFilter),OR(TypeFilter="All",$B826=TypeFilter),OR(GenreFilter="All",COUNTIFS(tblGenre[show_id],$A826,tblGenre[Genre],GenreFilter)&gt;0)),1,0)</f>
        <v/>
      </c>
    </row>
    <row r="827" ht="15" customHeight="1" s="20">
      <c r="A827" s="19" t="inlineStr">
        <is>
          <t>s7138</t>
        </is>
      </c>
      <c r="B827" s="19" t="inlineStr">
        <is>
          <t>Movie</t>
        </is>
      </c>
      <c r="C827" s="19" t="inlineStr">
        <is>
          <t>John Day</t>
        </is>
      </c>
      <c r="D827" s="19" t="inlineStr">
        <is>
          <t>Ahishor Solomon</t>
        </is>
      </c>
      <c r="E827" s="19" t="inlineStr">
        <is>
          <t>Naseeruddin Shah, Randeep Hooda, Shernaz Patel, Elena Kazan, Sharat Saxena, Vipin Sharma, Denzil Smith, Kenneth Desai, Sushil Pandey</t>
        </is>
      </c>
      <c r="F827" s="19" t="inlineStr">
        <is>
          <t>India</t>
        </is>
      </c>
      <c r="G827" s="19" t="inlineStr">
        <is>
          <t>2019-12-31</t>
        </is>
      </c>
      <c r="H827" s="19" t="n">
        <v>2013</v>
      </c>
      <c r="I827" s="19" t="inlineStr">
        <is>
          <t>TV-MA</t>
        </is>
      </c>
      <c r="J827" s="19" t="inlineStr">
        <is>
          <t>125 min</t>
        </is>
      </c>
      <c r="K827" s="19" t="inlineStr">
        <is>
          <t>International Movies, Thrillers</t>
        </is>
      </c>
      <c r="L827" s="19" t="inlineStr">
        <is>
          <t>A bank manager and his wife, still grieving over their daughter who died in a fire, become pawns in a bank heist with ties to corruption and fraud.</t>
        </is>
      </c>
      <c r="M827" s="19" t="n">
        <v>2019</v>
      </c>
      <c r="N827" s="19">
        <f>IF(AND(OR(YearFilter="All",$M827=YearFilter),OR(RatingFilter="All",$I827=RatingFilter),OR(TypeFilter="All",$B827=TypeFilter),OR(GenreFilter="All",COUNTIFS(tblGenre[show_id],$A827,tblGenre[Genre],GenreFilter)&gt;0)),1,0)</f>
        <v/>
      </c>
    </row>
    <row r="828" ht="15" customHeight="1" s="20">
      <c r="A828" s="19" t="inlineStr">
        <is>
          <t>s7142</t>
        </is>
      </c>
      <c r="B828" s="19" t="inlineStr">
        <is>
          <t>Movie</t>
        </is>
      </c>
      <c r="C828" s="19" t="inlineStr">
        <is>
          <t>Jora 10 Numbaria</t>
        </is>
      </c>
      <c r="D828" s="19" t="inlineStr">
        <is>
          <t>Amardeep Singh Gill</t>
        </is>
      </c>
      <c r="E828" s="19" t="inlineStr">
        <is>
          <t>Deep Sidhu, Dharmendra, Ashish Duggal, Aman Hundal, Pali Sidhu, Mukesh Tiwari, Mukul Dev</t>
        </is>
      </c>
      <c r="F828" s="19" t="inlineStr">
        <is>
          <t>India</t>
        </is>
      </c>
      <c r="G828" s="19" t="inlineStr">
        <is>
          <t>2018-01-01</t>
        </is>
      </c>
      <c r="H828" s="19" t="n">
        <v>2017</v>
      </c>
      <c r="I828" s="19" t="inlineStr">
        <is>
          <t>TV-MA</t>
        </is>
      </c>
      <c r="J828" s="19" t="inlineStr">
        <is>
          <t>135 min</t>
        </is>
      </c>
      <c r="K828" s="19" t="inlineStr">
        <is>
          <t>Action &amp; Adventure, International Movies</t>
        </is>
      </c>
      <c r="L828" s="19" t="inlineStr">
        <is>
          <t>The wounds of a traumatic childhood and a corrupt, unjust system push a young man into becoming a cold-blooded, ruthless gangster.</t>
        </is>
      </c>
      <c r="M828" s="19" t="n">
        <v>2018</v>
      </c>
      <c r="N828" s="19">
        <f>IF(AND(OR(YearFilter="All",$M828=YearFilter),OR(RatingFilter="All",$I828=RatingFilter),OR(TypeFilter="All",$B828=TypeFilter),OR(GenreFilter="All",COUNTIFS(tblGenre[show_id],$A828,tblGenre[Genre],GenreFilter)&gt;0)),1,0)</f>
        <v/>
      </c>
    </row>
    <row r="829" ht="15" customHeight="1" s="20">
      <c r="A829" s="19" t="inlineStr">
        <is>
          <t>s7145</t>
        </is>
      </c>
      <c r="B829" s="19" t="inlineStr">
        <is>
          <t>Movie</t>
        </is>
      </c>
      <c r="C829" s="19" t="inlineStr">
        <is>
          <t>Judwaa</t>
        </is>
      </c>
      <c r="D829" s="19" t="inlineStr">
        <is>
          <t>David Dhawan</t>
        </is>
      </c>
      <c r="E829" s="19" t="inlineStr">
        <is>
          <t>Salman Khan, Karisma Kapoor, Rambha, Kader Khan, Anupam Kher, Shakti Kapoor, Bindu, Reema Lagoo, Satish Shah, Mukesh Rishi</t>
        </is>
      </c>
      <c r="F829" s="19" t="inlineStr">
        <is>
          <t>India</t>
        </is>
      </c>
      <c r="G829" s="19" t="inlineStr">
        <is>
          <t>2019-12-31</t>
        </is>
      </c>
      <c r="H829" s="19" t="n">
        <v>1997</v>
      </c>
      <c r="I829" s="19" t="inlineStr">
        <is>
          <t>TV-14</t>
        </is>
      </c>
      <c r="J829" s="19" t="inlineStr">
        <is>
          <t>133 min</t>
        </is>
      </c>
      <c r="K829" s="19" t="inlineStr">
        <is>
          <t>Comedies, International Movies, Romantic Movies</t>
        </is>
      </c>
      <c r="L829" s="19" t="inlineStr">
        <is>
          <t>Separated at birth, a pair of identical twins unexpectedly reunite as adults and embark on a madcap mission to take down a common enemy from their past.</t>
        </is>
      </c>
      <c r="M829" s="19" t="n">
        <v>2019</v>
      </c>
      <c r="N829" s="19">
        <f>IF(AND(OR(YearFilter="All",$M829=YearFilter),OR(RatingFilter="All",$I829=RatingFilter),OR(TypeFilter="All",$B829=TypeFilter),OR(GenreFilter="All",COUNTIFS(tblGenre[show_id],$A829,tblGenre[Genre],GenreFilter)&gt;0)),1,0)</f>
        <v/>
      </c>
    </row>
    <row r="830" ht="15" customHeight="1" s="20">
      <c r="A830" s="19" t="inlineStr">
        <is>
          <t>s7159</t>
        </is>
      </c>
      <c r="B830" s="19" t="inlineStr">
        <is>
          <t>Movie</t>
        </is>
      </c>
      <c r="C830" s="19" t="inlineStr">
        <is>
          <t>Kaabil</t>
        </is>
      </c>
      <c r="D830" s="19" t="inlineStr">
        <is>
          <t>Sanjay Gupta</t>
        </is>
      </c>
      <c r="E830" s="19" t="inlineStr">
        <is>
          <t>Hrithik Roshan, Yami Gautam, Ronit Roy, Rohit Roy, Narendra Jha, Girish Kulkarni, Sahidur Rahaman, Suresh Menon</t>
        </is>
      </c>
      <c r="F830" s="19" t="inlineStr">
        <is>
          <t>India</t>
        </is>
      </c>
      <c r="G830" s="19" t="inlineStr">
        <is>
          <t>2017-06-25</t>
        </is>
      </c>
      <c r="H830" s="19" t="n">
        <v>2017</v>
      </c>
      <c r="I830" s="19" t="inlineStr">
        <is>
          <t>TV-14</t>
        </is>
      </c>
      <c r="J830" s="19" t="inlineStr">
        <is>
          <t>139 min</t>
        </is>
      </c>
      <c r="K830" s="19" t="inlineStr">
        <is>
          <t>Dramas, International Movies</t>
        </is>
      </c>
      <c r="L830" s="19" t="inlineStr">
        <is>
          <t>The happy life of a young blind couple is shattered when the wife is raped and corrupt police won't help, sending the husband on a quest for revenge.</t>
        </is>
      </c>
      <c r="M830" s="19" t="n">
        <v>2017</v>
      </c>
      <c r="N830" s="19">
        <f>IF(AND(OR(YearFilter="All",$M830=YearFilter),OR(RatingFilter="All",$I830=RatingFilter),OR(TypeFilter="All",$B830=TypeFilter),OR(GenreFilter="All",COUNTIFS(tblGenre[show_id],$A830,tblGenre[Genre],GenreFilter)&gt;0)),1,0)</f>
        <v/>
      </c>
    </row>
    <row r="831" ht="15" customHeight="1" s="20">
      <c r="A831" s="19" t="inlineStr">
        <is>
          <t>s7160</t>
        </is>
      </c>
      <c r="B831" s="19" t="inlineStr">
        <is>
          <t>Movie</t>
        </is>
      </c>
      <c r="C831" s="19" t="inlineStr">
        <is>
          <t>Kaakan</t>
        </is>
      </c>
      <c r="D831" s="19" t="inlineStr">
        <is>
          <t>Kranti Redkar</t>
        </is>
      </c>
      <c r="E831" s="19" t="inlineStr">
        <is>
          <t>Jitendra Joshi, Urmila Kanitkar, Ashutosh Gaikwad, Ashok Shinde, Madhavi Juvekar</t>
        </is>
      </c>
      <c r="F831" s="19" t="inlineStr">
        <is>
          <t>India</t>
        </is>
      </c>
      <c r="G831" s="19" t="inlineStr">
        <is>
          <t>2018-03-01</t>
        </is>
      </c>
      <c r="H831" s="19" t="n">
        <v>2015</v>
      </c>
      <c r="I831" s="19" t="inlineStr">
        <is>
          <t>TV-PG</t>
        </is>
      </c>
      <c r="J831" s="19" t="inlineStr">
        <is>
          <t>132 min</t>
        </is>
      </c>
      <c r="K831" s="19" t="inlineStr">
        <is>
          <t>Dramas, International Movies, Romantic Movies</t>
        </is>
      </c>
      <c r="L831" s="19" t="inlineStr">
        <is>
          <t>Star-crossed lovers from different social strata struggle to overcome differences in class and family expectation, as well as a long separation.</t>
        </is>
      </c>
      <c r="M831" s="19" t="n">
        <v>2018</v>
      </c>
      <c r="N831" s="19">
        <f>IF(AND(OR(YearFilter="All",$M831=YearFilter),OR(RatingFilter="All",$I831=RatingFilter),OR(TypeFilter="All",$B831=TypeFilter),OR(GenreFilter="All",COUNTIFS(tblGenre[show_id],$A831,tblGenre[Genre],GenreFilter)&gt;0)),1,0)</f>
        <v/>
      </c>
    </row>
    <row r="832" ht="15" customHeight="1" s="20">
      <c r="A832" s="19" t="inlineStr">
        <is>
          <t>s7161</t>
        </is>
      </c>
      <c r="B832" s="19" t="inlineStr">
        <is>
          <t>Movie</t>
        </is>
      </c>
      <c r="C832" s="19" t="inlineStr">
        <is>
          <t>Kaalia</t>
        </is>
      </c>
      <c r="D832" s="19" t="inlineStr">
        <is>
          <t>Tinnu Anand</t>
        </is>
      </c>
      <c r="E832" s="19" t="inlineStr">
        <is>
          <t>Amitabh Bachchan, Asha Parekh, Parveen Babi, Amjad Khan, Pran, K.N. Singh, Sajjan, Murad, Kader Khan, Jagdeep</t>
        </is>
      </c>
      <c r="F832" s="19" t="inlineStr">
        <is>
          <t>India</t>
        </is>
      </c>
      <c r="G832" s="19" t="inlineStr">
        <is>
          <t>2019-12-31</t>
        </is>
      </c>
      <c r="H832" s="19" t="n">
        <v>1981</v>
      </c>
      <c r="I832" s="19" t="inlineStr">
        <is>
          <t>TV-14</t>
        </is>
      </c>
      <c r="J832" s="19" t="inlineStr">
        <is>
          <t>173 min</t>
        </is>
      </c>
      <c r="K832" s="19" t="inlineStr">
        <is>
          <t>Action &amp; Adventure, Dramas, International Movies</t>
        </is>
      </c>
      <c r="L832" s="19" t="inlineStr">
        <is>
          <t>Jailed for robbing his brother’s unscrupulous employer, a simpleton has a transformation while in prison, emerging with a violent mission for revenge.</t>
        </is>
      </c>
      <c r="M832" s="19" t="n">
        <v>2019</v>
      </c>
      <c r="N832" s="19">
        <f>IF(AND(OR(YearFilter="All",$M832=YearFilter),OR(RatingFilter="All",$I832=RatingFilter),OR(TypeFilter="All",$B832=TypeFilter),OR(GenreFilter="All",COUNTIFS(tblGenre[show_id],$A832,tblGenre[Genre],GenreFilter)&gt;0)),1,0)</f>
        <v/>
      </c>
    </row>
    <row r="833" ht="15" customHeight="1" s="20">
      <c r="A833" s="19" t="inlineStr">
        <is>
          <t>s7162</t>
        </is>
      </c>
      <c r="B833" s="19" t="inlineStr">
        <is>
          <t>Movie</t>
        </is>
      </c>
      <c r="C833" s="19" t="inlineStr">
        <is>
          <t>Kaaliyan</t>
        </is>
      </c>
      <c r="D833" s="19" t="inlineStr">
        <is>
          <t>Jijo Pancode</t>
        </is>
      </c>
      <c r="E833" s="19" t="inlineStr">
        <is>
          <t>Tini Tom, Meghanathan, Balachandran Chullikadu, Shivaji Guruvayoor, Kottayam Purushan, Nithin George, Grace Antony, Shalu</t>
        </is>
      </c>
      <c r="F833" s="19" t="inlineStr">
        <is>
          <t>India</t>
        </is>
      </c>
      <c r="G833" s="19" t="inlineStr">
        <is>
          <t>2018-08-01</t>
        </is>
      </c>
      <c r="H833" s="19" t="n">
        <v>2017</v>
      </c>
      <c r="I833" s="19" t="inlineStr">
        <is>
          <t>TV-PG</t>
        </is>
      </c>
      <c r="J833" s="19" t="inlineStr">
        <is>
          <t>105 min</t>
        </is>
      </c>
      <c r="K833" s="19" t="inlineStr">
        <is>
          <t>Dramas, International Movies</t>
        </is>
      </c>
      <c r="L833" s="19" t="inlineStr">
        <is>
          <t>An aggressive, wayward fisherman abandons his wife and daughters, who grow up to face the consequences of their father's mistakes.</t>
        </is>
      </c>
      <c r="M833" s="19" t="n">
        <v>2018</v>
      </c>
      <c r="N833" s="19">
        <f>IF(AND(OR(YearFilter="All",$M833=YearFilter),OR(RatingFilter="All",$I833=RatingFilter),OR(TypeFilter="All",$B833=TypeFilter),OR(GenreFilter="All",COUNTIFS(tblGenre[show_id],$A833,tblGenre[Genre],GenreFilter)&gt;0)),1,0)</f>
        <v/>
      </c>
    </row>
    <row r="834" ht="15" customHeight="1" s="20">
      <c r="A834" s="19" t="inlineStr">
        <is>
          <t>s7163</t>
        </is>
      </c>
      <c r="B834" s="19" t="inlineStr">
        <is>
          <t>Movie</t>
        </is>
      </c>
      <c r="C834" s="19" t="inlineStr">
        <is>
          <t>Kabali (Hindi Version)</t>
        </is>
      </c>
      <c r="D834" s="19" t="inlineStr">
        <is>
          <t>Pa. Ranjith</t>
        </is>
      </c>
      <c r="E834" s="19" t="inlineStr">
        <is>
          <t>Rajnikanth, Winston Chao, Radhika Apte, Nassar, Dhansika, Kalaiyarasan, Dinesh, John Vijay, Kishore Kumar G., Riythvika</t>
        </is>
      </c>
      <c r="F834" s="19" t="inlineStr">
        <is>
          <t>India</t>
        </is>
      </c>
      <c r="G834" s="19" t="inlineStr">
        <is>
          <t>2017-12-15</t>
        </is>
      </c>
      <c r="H834" s="19" t="n">
        <v>2016</v>
      </c>
      <c r="I834" s="19" t="inlineStr">
        <is>
          <t>TV-MA</t>
        </is>
      </c>
      <c r="J834" s="19" t="inlineStr">
        <is>
          <t>148 min</t>
        </is>
      </c>
      <c r="K834" s="19" t="inlineStr">
        <is>
          <t>Action &amp; Adventure, Dramas, International Movies</t>
        </is>
      </c>
      <c r="L834" s="19" t="inlineStr">
        <is>
          <t>In this Hindi version of the Tamil blockbuster, a Tamil gang leader in Kuala Lumpur seeks justice for crimes committed against him and his family.</t>
        </is>
      </c>
      <c r="M834" s="19" t="n">
        <v>2017</v>
      </c>
      <c r="N834" s="19">
        <f>IF(AND(OR(YearFilter="All",$M834=YearFilter),OR(RatingFilter="All",$I834=RatingFilter),OR(TypeFilter="All",$B834=TypeFilter),OR(GenreFilter="All",COUNTIFS(tblGenre[show_id],$A834,tblGenre[Genre],GenreFilter)&gt;0)),1,0)</f>
        <v/>
      </c>
    </row>
    <row r="835" ht="15" customHeight="1" s="20">
      <c r="A835" s="19" t="inlineStr">
        <is>
          <t>s7164</t>
        </is>
      </c>
      <c r="B835" s="19" t="inlineStr">
        <is>
          <t>Movie</t>
        </is>
      </c>
      <c r="C835" s="19" t="inlineStr">
        <is>
          <t>Kacche Dhaagey</t>
        </is>
      </c>
      <c r="D835" s="19" t="inlineStr">
        <is>
          <t>Buta Singh</t>
        </is>
      </c>
      <c r="E835" s="19" t="inlineStr">
        <is>
          <t>Yograj Singh, Nitu Pandher, Deep Mandian, Shreya Chawla, Jagpal Singh Chahal, Jyoti Sharma, Janak Joshi, Karan Vinayak</t>
        </is>
      </c>
      <c r="F835" s="19" t="inlineStr">
        <is>
          <t>India</t>
        </is>
      </c>
      <c r="G835" s="19" t="inlineStr">
        <is>
          <t>2017-11-01</t>
        </is>
      </c>
      <c r="H835" s="19" t="n">
        <v>2016</v>
      </c>
      <c r="I835" s="19" t="inlineStr">
        <is>
          <t>TV-14</t>
        </is>
      </c>
      <c r="J835" s="19" t="inlineStr">
        <is>
          <t>120 min</t>
        </is>
      </c>
      <c r="K835" s="19" t="inlineStr">
        <is>
          <t>Dramas, International Movies, Romantic Movies</t>
        </is>
      </c>
      <c r="L835" s="19" t="inlineStr">
        <is>
          <t>While visiting India for her cousin's wedding, a Canadian girl develops strong feelings for a boy from a lower caste.</t>
        </is>
      </c>
      <c r="M835" s="19" t="n">
        <v>2017</v>
      </c>
      <c r="N835" s="19">
        <f>IF(AND(OR(YearFilter="All",$M835=YearFilter),OR(RatingFilter="All",$I835=RatingFilter),OR(TypeFilter="All",$B835=TypeFilter),OR(GenreFilter="All",COUNTIFS(tblGenre[show_id],$A835,tblGenre[Genre],GenreFilter)&gt;0)),1,0)</f>
        <v/>
      </c>
    </row>
    <row r="836" ht="15" customHeight="1" s="20">
      <c r="A836" s="19" t="inlineStr">
        <is>
          <t>s7166</t>
        </is>
      </c>
      <c r="B836" s="19" t="inlineStr">
        <is>
          <t>Movie</t>
        </is>
      </c>
      <c r="C836" s="19" t="inlineStr">
        <is>
          <t>Kajraare</t>
        </is>
      </c>
      <c r="D836" s="19" t="inlineStr">
        <is>
          <t>Pooja Bhatt</t>
        </is>
      </c>
      <c r="E836" s="19" t="inlineStr">
        <is>
          <t>Himesh Reshammiya, Sara Loren, Amrita Singh, Gulshan Grover, Javed Sheikh, Adnan Shah, Natasha Sinha, Gaurav Chanana, Anupam Shyam</t>
        </is>
      </c>
      <c r="F836" s="19" t="inlineStr">
        <is>
          <t>India</t>
        </is>
      </c>
      <c r="G836" s="19" t="inlineStr">
        <is>
          <t>2017-10-22</t>
        </is>
      </c>
      <c r="H836" s="19" t="n">
        <v>2010</v>
      </c>
      <c r="I836" s="19" t="inlineStr">
        <is>
          <t>TV-14</t>
        </is>
      </c>
      <c r="J836" s="19" t="inlineStr">
        <is>
          <t>113 min</t>
        </is>
      </c>
      <c r="K836" s="19" t="inlineStr">
        <is>
          <t>Dramas, International Movies, Music &amp; Musicals</t>
        </is>
      </c>
      <c r="L836" s="19" t="inlineStr">
        <is>
          <t>A popular singer on the run poses as a bartender and falls in love with a prostitute, but their love is threatened by a violent incident in his past.</t>
        </is>
      </c>
      <c r="M836" s="19" t="n">
        <v>2017</v>
      </c>
      <c r="N836" s="19">
        <f>IF(AND(OR(YearFilter="All",$M836=YearFilter),OR(RatingFilter="All",$I836=RatingFilter),OR(TypeFilter="All",$B836=TypeFilter),OR(GenreFilter="All",COUNTIFS(tblGenre[show_id],$A836,tblGenre[Genre],GenreFilter)&gt;0)),1,0)</f>
        <v/>
      </c>
    </row>
    <row r="837" ht="15" customHeight="1" s="20">
      <c r="A837" s="19" t="inlineStr">
        <is>
          <t>s7168</t>
        </is>
      </c>
      <c r="B837" s="19" t="inlineStr">
        <is>
          <t>Movie</t>
        </is>
      </c>
      <c r="C837" s="19" t="inlineStr">
        <is>
          <t>Kalki</t>
        </is>
      </c>
      <c r="D837" s="19" t="inlineStr">
        <is>
          <t>Dhilip Kumar</t>
        </is>
      </c>
      <c r="E837" s="19" t="inlineStr">
        <is>
          <t>Kishore Kumar G., Yasmin Ponnappa, Mithraboomi Saravanan</t>
        </is>
      </c>
      <c r="F837" s="19" t="inlineStr">
        <is>
          <t>India</t>
        </is>
      </c>
      <c r="G837" s="19" t="inlineStr">
        <is>
          <t>2018-03-01</t>
        </is>
      </c>
      <c r="H837" s="19" t="n">
        <v>2017</v>
      </c>
      <c r="I837" s="19" t="inlineStr">
        <is>
          <t>TV-14</t>
        </is>
      </c>
      <c r="J837" s="19" t="inlineStr">
        <is>
          <t>41 min</t>
        </is>
      </c>
      <c r="K837" s="19" t="inlineStr">
        <is>
          <t>Dramas, Independent Movies, International Movies</t>
        </is>
      </c>
      <c r="L837" s="19" t="inlineStr">
        <is>
          <t>A scientist trying to solve one of the universe's greatest puzzles begins a romance with a much younger colleague that's haunted by a dark secret.</t>
        </is>
      </c>
      <c r="M837" s="19" t="n">
        <v>2018</v>
      </c>
      <c r="N837" s="19">
        <f>IF(AND(OR(YearFilter="All",$M837=YearFilter),OR(RatingFilter="All",$I837=RatingFilter),OR(TypeFilter="All",$B837=TypeFilter),OR(GenreFilter="All",COUNTIFS(tblGenre[show_id],$A837,tblGenre[Genre],GenreFilter)&gt;0)),1,0)</f>
        <v/>
      </c>
    </row>
    <row r="838" ht="15" customHeight="1" s="20">
      <c r="A838" s="19" t="inlineStr">
        <is>
          <t>s7169</t>
        </is>
      </c>
      <c r="B838" s="19" t="inlineStr">
        <is>
          <t>Movie</t>
        </is>
      </c>
      <c r="C838" s="19" t="inlineStr">
        <is>
          <t>Kanika</t>
        </is>
      </c>
      <c r="E838" s="19" t="inlineStr">
        <is>
          <t>Sharad Ponkshe, Smita Shewale</t>
        </is>
      </c>
      <c r="F838" s="19" t="inlineStr">
        <is>
          <t>India</t>
        </is>
      </c>
      <c r="G838" s="19" t="inlineStr">
        <is>
          <t>2018-03-01</t>
        </is>
      </c>
      <c r="H838" s="19" t="n">
        <v>2017</v>
      </c>
      <c r="I838" s="19" t="inlineStr">
        <is>
          <t>TV-14</t>
        </is>
      </c>
      <c r="J838" s="19" t="inlineStr">
        <is>
          <t>110 min</t>
        </is>
      </c>
      <c r="K838" s="19" t="inlineStr">
        <is>
          <t>Horror Movies, International Movies, Thrillers</t>
        </is>
      </c>
      <c r="L838" s="19" t="inlineStr">
        <is>
          <t>A doctor and his colleagues who use sex-determination testing for unethical ends face retribution from a supernatural victim who seeks vengeance.</t>
        </is>
      </c>
      <c r="M838" s="19" t="n">
        <v>2018</v>
      </c>
      <c r="N838" s="19">
        <f>IF(AND(OR(YearFilter="All",$M838=YearFilter),OR(RatingFilter="All",$I838=RatingFilter),OR(TypeFilter="All",$B838=TypeFilter),OR(GenreFilter="All",COUNTIFS(tblGenre[show_id],$A838,tblGenre[Genre],GenreFilter)&gt;0)),1,0)</f>
        <v/>
      </c>
    </row>
    <row r="839" ht="15" customHeight="1" s="20">
      <c r="A839" s="19" t="inlineStr">
        <is>
          <t>s7170</t>
        </is>
      </c>
      <c r="B839" s="19" t="inlineStr">
        <is>
          <t>Movie</t>
        </is>
      </c>
      <c r="C839" s="19" t="inlineStr">
        <is>
          <t>Karzzzz</t>
        </is>
      </c>
      <c r="D839" s="19" t="inlineStr">
        <is>
          <t>Satish Kaushik</t>
        </is>
      </c>
      <c r="E839" s="19" t="inlineStr">
        <is>
          <t>Himesh Reshammiya, Urmila Matondkar, Shweta Kumar, Dino Morea, Raj Babbar, Danny Denzongpa, Gulshan Grover, Rohini Hattangadi, Asrani, Smita Bansal</t>
        </is>
      </c>
      <c r="F839" s="19" t="inlineStr">
        <is>
          <t>India</t>
        </is>
      </c>
      <c r="G839" s="19" t="inlineStr">
        <is>
          <t>2017-10-22</t>
        </is>
      </c>
      <c r="H839" s="19" t="n">
        <v>2008</v>
      </c>
      <c r="I839" s="19" t="inlineStr">
        <is>
          <t>TV-14</t>
        </is>
      </c>
      <c r="J839" s="19" t="inlineStr">
        <is>
          <t>137 min</t>
        </is>
      </c>
      <c r="K839" s="19" t="inlineStr">
        <is>
          <t>International Movies, Music &amp; Musicals, Romantic Movies</t>
        </is>
      </c>
      <c r="L839" s="19" t="inlineStr">
        <is>
          <t>When flashbacks reveal that he's the reincarnation of a man murdered by his wife, rock star Monty sets out to get revenge for the decades-old crime.</t>
        </is>
      </c>
      <c r="M839" s="19" t="n">
        <v>2017</v>
      </c>
      <c r="N839" s="19">
        <f>IF(AND(OR(YearFilter="All",$M839=YearFilter),OR(RatingFilter="All",$I839=RatingFilter),OR(TypeFilter="All",$B839=TypeFilter),OR(GenreFilter="All",COUNTIFS(tblGenre[show_id],$A839,tblGenre[Genre],GenreFilter)&gt;0)),1,0)</f>
        <v/>
      </c>
    </row>
    <row r="840" ht="15" customHeight="1" s="20">
      <c r="A840" s="19" t="inlineStr">
        <is>
          <t>s7172</t>
        </is>
      </c>
      <c r="B840" s="19" t="inlineStr">
        <is>
          <t>Movie</t>
        </is>
      </c>
      <c r="C840" s="19" t="inlineStr">
        <is>
          <t>Katha</t>
        </is>
      </c>
      <c r="D840" s="19" t="inlineStr">
        <is>
          <t>Sai Paranjape</t>
        </is>
      </c>
      <c r="E840" s="19" t="inlineStr">
        <is>
          <t>Farooq Shaikh, Naseeruddin Shah, Deepti Naval, Veeni Paranjape Joglekar, Mallika Sarabhai, Arun Joglekar</t>
        </is>
      </c>
      <c r="F840" s="19" t="inlineStr">
        <is>
          <t>India</t>
        </is>
      </c>
      <c r="G840" s="19" t="inlineStr">
        <is>
          <t>2019-12-31</t>
        </is>
      </c>
      <c r="H840" s="19" t="n">
        <v>1982</v>
      </c>
      <c r="I840" s="19" t="inlineStr">
        <is>
          <t>TV-PG</t>
        </is>
      </c>
      <c r="J840" s="19" t="inlineStr">
        <is>
          <t>140 min</t>
        </is>
      </c>
      <c r="K840" s="19" t="inlineStr">
        <is>
          <t>Comedies, Dramas, Independent Movies</t>
        </is>
      </c>
      <c r="L840" s="19" t="inlineStr">
        <is>
          <t>Secretly in love with his neighbor, a mild-mannered clerk is heartbroken when his much bolder, more charming friend wins her heart instead.</t>
        </is>
      </c>
      <c r="M840" s="19" t="n">
        <v>2019</v>
      </c>
      <c r="N840" s="19">
        <f>IF(AND(OR(YearFilter="All",$M840=YearFilter),OR(RatingFilter="All",$I840=RatingFilter),OR(TypeFilter="All",$B840=TypeFilter),OR(GenreFilter="All",COUNTIFS(tblGenre[show_id],$A840,tblGenre[Genre],GenreFilter)&gt;0)),1,0)</f>
        <v/>
      </c>
    </row>
    <row r="841" ht="15" customHeight="1" s="20">
      <c r="A841" s="19" t="inlineStr">
        <is>
          <t>s7174</t>
        </is>
      </c>
      <c r="B841" s="19" t="inlineStr">
        <is>
          <t>Movie</t>
        </is>
      </c>
      <c r="C841" s="19" t="inlineStr">
        <is>
          <t>Kaviyude Osyath</t>
        </is>
      </c>
      <c r="D841" s="19" t="inlineStr">
        <is>
          <t>Vineeth Anil</t>
        </is>
      </c>
      <c r="E841" s="19" t="inlineStr">
        <is>
          <t>Prakash Bare, Arun Kumar, Kulappulli Leela, Sangeetha Mohan, Kochu Preman</t>
        </is>
      </c>
      <c r="F841" s="19" t="inlineStr">
        <is>
          <t>India</t>
        </is>
      </c>
      <c r="G841" s="19" t="inlineStr">
        <is>
          <t>2018-07-01</t>
        </is>
      </c>
      <c r="H841" s="19" t="n">
        <v>2017</v>
      </c>
      <c r="I841" s="19" t="inlineStr">
        <is>
          <t>TV-14</t>
        </is>
      </c>
      <c r="J841" s="19" t="inlineStr">
        <is>
          <t>116 min</t>
        </is>
      </c>
      <c r="K841" s="19" t="inlineStr">
        <is>
          <t>Dramas, International Movies</t>
        </is>
      </c>
      <c r="L841" s="19" t="inlineStr">
        <is>
          <t>When a late poet leaves behind his property to a young man, the man's brother suspects the poet may have been more than just a family friend.</t>
        </is>
      </c>
      <c r="M841" s="19" t="n">
        <v>2018</v>
      </c>
      <c r="N841" s="19">
        <f>IF(AND(OR(YearFilter="All",$M841=YearFilter),OR(RatingFilter="All",$I841=RatingFilter),OR(TypeFilter="All",$B841=TypeFilter),OR(GenreFilter="All",COUNTIFS(tblGenre[show_id],$A841,tblGenre[Genre],GenreFilter)&gt;0)),1,0)</f>
        <v/>
      </c>
    </row>
    <row r="842" ht="15" customHeight="1" s="20">
      <c r="A842" s="19" t="inlineStr">
        <is>
          <t>s7175</t>
        </is>
      </c>
      <c r="B842" s="19" t="inlineStr">
        <is>
          <t>Movie</t>
        </is>
      </c>
      <c r="C842" s="19" t="inlineStr">
        <is>
          <t>Kay Dyache Bola</t>
        </is>
      </c>
      <c r="D842" s="19" t="inlineStr">
        <is>
          <t>Chandrakant Kulkarni</t>
        </is>
      </c>
      <c r="E842" s="19" t="inlineStr">
        <is>
          <t>Makarand Anaspure, Akshay Pendse, Umesh Kamat, Sharvari Jamenis, Sachin Khedekar, Arun Nalawade, Mohan Agashe, Nirmiti Sawant, Sanjay Mone, Amita Khopkar, Pushkar Shrotri, Ganesh Yadav</t>
        </is>
      </c>
      <c r="F842" s="19" t="inlineStr">
        <is>
          <t>India</t>
        </is>
      </c>
      <c r="G842" s="19" t="inlineStr">
        <is>
          <t>2018-01-01</t>
        </is>
      </c>
      <c r="H842" s="19" t="n">
        <v>2005</v>
      </c>
      <c r="I842" s="19" t="inlineStr">
        <is>
          <t>TV-14</t>
        </is>
      </c>
      <c r="J842" s="19" t="inlineStr">
        <is>
          <t>133 min</t>
        </is>
      </c>
      <c r="K842" s="19" t="inlineStr">
        <is>
          <t>Comedies, Dramas, International Movies</t>
        </is>
      </c>
      <c r="L842" s="19" t="inlineStr">
        <is>
          <t>Wrongfully accused of murder, two students' last hope lies with their defense attorney, an inexperienced bumbler who's never even tried a case.</t>
        </is>
      </c>
      <c r="M842" s="19" t="n">
        <v>2018</v>
      </c>
      <c r="N842" s="19">
        <f>IF(AND(OR(YearFilter="All",$M842=YearFilter),OR(RatingFilter="All",$I842=RatingFilter),OR(TypeFilter="All",$B842=TypeFilter),OR(GenreFilter="All",COUNTIFS(tblGenre[show_id],$A842,tblGenre[Genre],GenreFilter)&gt;0)),1,0)</f>
        <v/>
      </c>
    </row>
    <row r="843" ht="15" customHeight="1" s="20">
      <c r="A843" s="19" t="inlineStr">
        <is>
          <t>s7184</t>
        </is>
      </c>
      <c r="B843" s="19" t="inlineStr">
        <is>
          <t>Movie</t>
        </is>
      </c>
      <c r="C843" s="19" t="inlineStr">
        <is>
          <t>Khalnayak</t>
        </is>
      </c>
      <c r="D843" s="19" t="inlineStr">
        <is>
          <t>Subhash Ghai</t>
        </is>
      </c>
      <c r="E843" s="19" t="inlineStr">
        <is>
          <t>Sanjay Dutt, Madhuri Dixit, Jackie Shroff, Anupam Kher, Rakhee Gulzar, Pramod Moutho, Ramya Krishnan, Sushmita Mukherjee, Neena Gupta, A.K. Hangal</t>
        </is>
      </c>
      <c r="F843" s="19" t="inlineStr">
        <is>
          <t>India</t>
        </is>
      </c>
      <c r="G843" s="19" t="inlineStr">
        <is>
          <t>2018-03-01</t>
        </is>
      </c>
      <c r="H843" s="19" t="n">
        <v>1993</v>
      </c>
      <c r="I843" s="19" t="inlineStr">
        <is>
          <t>TV-14</t>
        </is>
      </c>
      <c r="J843" s="19" t="inlineStr">
        <is>
          <t>170 min</t>
        </is>
      </c>
      <c r="K843" s="19" t="inlineStr">
        <is>
          <t>Action &amp; Adventure, Dramas, International Movies</t>
        </is>
      </c>
      <c r="L843" s="19" t="inlineStr">
        <is>
          <t>A prison guard goes undercover as a dancer to try and recapture an escaped criminal and restore her police inspector boyfriend's reputation.</t>
        </is>
      </c>
      <c r="M843" s="19" t="n">
        <v>2018</v>
      </c>
      <c r="N843" s="19">
        <f>IF(AND(OR(YearFilter="All",$M843=YearFilter),OR(RatingFilter="All",$I843=RatingFilter),OR(TypeFilter="All",$B843=TypeFilter),OR(GenreFilter="All",COUNTIFS(tblGenre[show_id],$A843,tblGenre[Genre],GenreFilter)&gt;0)),1,0)</f>
        <v/>
      </c>
    </row>
    <row r="844" ht="15" customHeight="1" s="20">
      <c r="A844" s="19" t="inlineStr">
        <is>
          <t>s7185</t>
        </is>
      </c>
      <c r="B844" s="19" t="inlineStr">
        <is>
          <t>TV Show</t>
        </is>
      </c>
      <c r="C844" s="19" t="inlineStr">
        <is>
          <t>Khan: No. 1 Crime Hunter</t>
        </is>
      </c>
      <c r="E844" s="19" t="inlineStr">
        <is>
          <t>Rajesh Sharma</t>
        </is>
      </c>
      <c r="F844" s="19" t="inlineStr">
        <is>
          <t>India</t>
        </is>
      </c>
      <c r="G844" s="19" t="inlineStr">
        <is>
          <t>2018-05-01</t>
        </is>
      </c>
      <c r="H844" s="19" t="n">
        <v>2018</v>
      </c>
      <c r="I844" s="19" t="inlineStr">
        <is>
          <t>TV-14</t>
        </is>
      </c>
      <c r="J844" s="19" t="inlineStr">
        <is>
          <t>1 Season</t>
        </is>
      </c>
      <c r="K844" s="19" t="inlineStr">
        <is>
          <t>Crime TV Shows, International TV Shows, TV Comedies</t>
        </is>
      </c>
      <c r="L844" s="19" t="inlineStr">
        <is>
          <t>From fake marriages to online shopping fraud, a whip-smart police officer investigates truly baffling cons that were inspired by true stories.</t>
        </is>
      </c>
      <c r="M844" s="19" t="n">
        <v>2018</v>
      </c>
      <c r="N844" s="19">
        <f>IF(AND(OR(YearFilter="All",$M844=YearFilter),OR(RatingFilter="All",$I844=RatingFilter),OR(TypeFilter="All",$B844=TypeFilter),OR(GenreFilter="All",COUNTIFS(tblGenre[show_id],$A844,tblGenre[Genre],GenreFilter)&gt;0)),1,0)</f>
        <v/>
      </c>
    </row>
    <row r="845" ht="15" customHeight="1" s="20">
      <c r="A845" s="19" t="inlineStr">
        <is>
          <t>s7186</t>
        </is>
      </c>
      <c r="B845" s="19" t="inlineStr">
        <is>
          <t>TV Show</t>
        </is>
      </c>
      <c r="C845" s="19" t="inlineStr">
        <is>
          <t>Khelti Hai Zindagi Aankh Micholi</t>
        </is>
      </c>
      <c r="E845" s="19" t="inlineStr">
        <is>
          <t>Ulka Gupta, Gautami Kapoor, Reema Shaikh, Vinay Jain, Manav Gohil, Helly Shah</t>
        </is>
      </c>
      <c r="F845" s="19" t="inlineStr">
        <is>
          <t>India</t>
        </is>
      </c>
      <c r="G845" s="19" t="inlineStr">
        <is>
          <t>2017-04-01</t>
        </is>
      </c>
      <c r="H845" s="19" t="n">
        <v>2013</v>
      </c>
      <c r="I845" s="19" t="inlineStr">
        <is>
          <t>TV-14</t>
        </is>
      </c>
      <c r="J845" s="19" t="inlineStr">
        <is>
          <t>1 Season</t>
        </is>
      </c>
      <c r="K845" s="19" t="inlineStr">
        <is>
          <t>International TV Shows, TV Dramas</t>
        </is>
      </c>
      <c r="L845" s="19" t="inlineStr">
        <is>
          <t>The life of a 14-year-old girl is thrown into turmoil when her father dies, forcing her mother to make hard choices for their family.</t>
        </is>
      </c>
      <c r="M845" s="19" t="n">
        <v>2017</v>
      </c>
      <c r="N845" s="19">
        <f>IF(AND(OR(YearFilter="All",$M845=YearFilter),OR(RatingFilter="All",$I845=RatingFilter),OR(TypeFilter="All",$B845=TypeFilter),OR(GenreFilter="All",COUNTIFS(tblGenre[show_id],$A845,tblGenre[Genre],GenreFilter)&gt;0)),1,0)</f>
        <v/>
      </c>
    </row>
    <row r="846" ht="15" customHeight="1" s="20">
      <c r="A846" s="19" t="inlineStr">
        <is>
          <t>s7187</t>
        </is>
      </c>
      <c r="B846" s="19" t="inlineStr">
        <is>
          <t>Movie</t>
        </is>
      </c>
      <c r="C846" s="19" t="inlineStr">
        <is>
          <t>Khosla Ka Ghosla</t>
        </is>
      </c>
      <c r="D846" s="19" t="inlineStr">
        <is>
          <t>Dibakar Banerjee</t>
        </is>
      </c>
      <c r="E846" s="19" t="inlineStr">
        <is>
          <t>Anupam Kher, Boman Irani, Parvin Dabas, Tara Sharma, Navin Nischol, Kiran Juneja, Ranvir Shorey, Vinod Nagpal, Vinay Pathak, Nitish Pandey</t>
        </is>
      </c>
      <c r="F846" s="19" t="inlineStr">
        <is>
          <t>India</t>
        </is>
      </c>
      <c r="G846" s="19" t="inlineStr">
        <is>
          <t>2018-08-02</t>
        </is>
      </c>
      <c r="H846" s="19" t="n">
        <v>2006</v>
      </c>
      <c r="I846" s="19" t="inlineStr">
        <is>
          <t>TV-14</t>
        </is>
      </c>
      <c r="J846" s="19" t="inlineStr">
        <is>
          <t>124 min</t>
        </is>
      </c>
      <c r="K846" s="19" t="inlineStr">
        <is>
          <t>Comedies, Dramas, International Movies</t>
        </is>
      </c>
      <c r="L846" s="19" t="inlineStr">
        <is>
          <t>A cranky control freak must rely on his comically dysfunctional family to pull off a scam on a greedy land shark who's stolen his prized property.</t>
        </is>
      </c>
      <c r="M846" s="19" t="n">
        <v>2018</v>
      </c>
      <c r="N846" s="19">
        <f>IF(AND(OR(YearFilter="All",$M846=YearFilter),OR(RatingFilter="All",$I846=RatingFilter),OR(TypeFilter="All",$B846=TypeFilter),OR(GenreFilter="All",COUNTIFS(tblGenre[show_id],$A846,tblGenre[Genre],GenreFilter)&gt;0)),1,0)</f>
        <v/>
      </c>
    </row>
    <row r="847" ht="15" customHeight="1" s="20">
      <c r="A847" s="19" t="inlineStr">
        <is>
          <t>s7188</t>
        </is>
      </c>
      <c r="B847" s="19" t="inlineStr">
        <is>
          <t>TV Show</t>
        </is>
      </c>
      <c r="C847" s="19" t="inlineStr">
        <is>
          <t>Khotey Sikkey</t>
        </is>
      </c>
      <c r="E847" s="19" t="inlineStr">
        <is>
          <t>Vikas Kumar, Hassan Zaidi, Sukhmani Sadana, Puru Chibber, Dilkhush, Mark Farokh Parakh</t>
        </is>
      </c>
      <c r="F847" s="19" t="inlineStr">
        <is>
          <t>India</t>
        </is>
      </c>
      <c r="G847" s="19" t="inlineStr">
        <is>
          <t>2018-03-15</t>
        </is>
      </c>
      <c r="H847" s="19" t="n">
        <v>2011</v>
      </c>
      <c r="I847" s="19" t="inlineStr">
        <is>
          <t>TV-14</t>
        </is>
      </c>
      <c r="J847" s="19" t="inlineStr">
        <is>
          <t>1 Season</t>
        </is>
      </c>
      <c r="K847" s="19" t="inlineStr">
        <is>
          <t>Crime TV Shows, International TV Shows, TV Dramas</t>
        </is>
      </c>
      <c r="L847" s="19" t="inlineStr">
        <is>
          <t>Five affluent youths find a new sense of purpose as they team up with a Mumbai police officer on crime-busting missions around the city.</t>
        </is>
      </c>
      <c r="M847" s="19" t="n">
        <v>2018</v>
      </c>
      <c r="N847" s="19">
        <f>IF(AND(OR(YearFilter="All",$M847=YearFilter),OR(RatingFilter="All",$I847=RatingFilter),OR(TypeFilter="All",$B847=TypeFilter),OR(GenreFilter="All",COUNTIFS(tblGenre[show_id],$A847,tblGenre[Genre],GenreFilter)&gt;0)),1,0)</f>
        <v/>
      </c>
    </row>
    <row r="848" ht="15" customHeight="1" s="20">
      <c r="A848" s="19" t="inlineStr">
        <is>
          <t>s7189</t>
        </is>
      </c>
      <c r="B848" s="19" t="inlineStr">
        <is>
          <t>Movie</t>
        </is>
      </c>
      <c r="C848" s="19" t="inlineStr">
        <is>
          <t>Khubsoorat</t>
        </is>
      </c>
      <c r="D848" s="19" t="inlineStr">
        <is>
          <t>Hrishikesh Mukherjee</t>
        </is>
      </c>
      <c r="E848" s="19" t="inlineStr">
        <is>
          <t>Ashok Kumar, Rekha, Rakesh Roshan, Shashikala, Aradhana, Dina Pathak, David Abraham, S.N. Banerjee, Keshto Mukherjee</t>
        </is>
      </c>
      <c r="F848" s="19" t="inlineStr">
        <is>
          <t>India</t>
        </is>
      </c>
      <c r="G848" s="19" t="inlineStr">
        <is>
          <t>2019-12-31</t>
        </is>
      </c>
      <c r="H848" s="19" t="n">
        <v>1980</v>
      </c>
      <c r="I848" s="19" t="inlineStr">
        <is>
          <t>TV-PG</t>
        </is>
      </c>
      <c r="J848" s="19" t="inlineStr">
        <is>
          <t>120 min</t>
        </is>
      </c>
      <c r="K848" s="19" t="inlineStr">
        <is>
          <t>Classic Movies, Comedies, Dramas</t>
        </is>
      </c>
      <c r="L848" s="19" t="inlineStr">
        <is>
          <t>A strict matriarch's regimented household is upended by the arrival of a spunky relative who challenges the rules.</t>
        </is>
      </c>
      <c r="M848" s="19" t="n">
        <v>2019</v>
      </c>
      <c r="N848" s="19">
        <f>IF(AND(OR(YearFilter="All",$M848=YearFilter),OR(RatingFilter="All",$I848=RatingFilter),OR(TypeFilter="All",$B848=TypeFilter),OR(GenreFilter="All",COUNTIFS(tblGenre[show_id],$A848,tblGenre[Genre],GenreFilter)&gt;0)),1,0)</f>
        <v/>
      </c>
    </row>
    <row r="849" ht="15" customHeight="1" s="20">
      <c r="A849" s="19" t="inlineStr">
        <is>
          <t>s7190</t>
        </is>
      </c>
      <c r="B849" s="19" t="inlineStr">
        <is>
          <t>Movie</t>
        </is>
      </c>
      <c r="C849" s="19" t="inlineStr">
        <is>
          <t>Khushi</t>
        </is>
      </c>
      <c r="D849" s="19" t="inlineStr">
        <is>
          <t>Surya S.J., Sunil Kumar Agrawal</t>
        </is>
      </c>
      <c r="E849" s="19" t="inlineStr">
        <is>
          <t>Fardeen Khan, Kareena Kapoor, Amrish Puri, Navin Nischol, Beena, Anup Soni, Johnny Lever, Sharat Saxena, Amitabh Bachchan, Sakshi Shivanand</t>
        </is>
      </c>
      <c r="F849" s="19" t="inlineStr">
        <is>
          <t>India</t>
        </is>
      </c>
      <c r="G849" s="19" t="inlineStr">
        <is>
          <t>2018-03-01</t>
        </is>
      </c>
      <c r="H849" s="19" t="n">
        <v>2003</v>
      </c>
      <c r="I849" s="19" t="inlineStr">
        <is>
          <t>TV-14</t>
        </is>
      </c>
      <c r="J849" s="19" t="inlineStr">
        <is>
          <t>157 min</t>
        </is>
      </c>
      <c r="K849" s="19" t="inlineStr">
        <is>
          <t>Comedies, International Movies, Music &amp; Musicals</t>
        </is>
      </c>
      <c r="L849" s="19" t="inlineStr">
        <is>
          <t>While playing matchmaker to a pair of their friends, two young university students begin developing feelings for each other.</t>
        </is>
      </c>
      <c r="M849" s="19" t="n">
        <v>2018</v>
      </c>
      <c r="N849" s="19">
        <f>IF(AND(OR(YearFilter="All",$M849=YearFilter),OR(RatingFilter="All",$I849=RatingFilter),OR(TypeFilter="All",$B849=TypeFilter),OR(GenreFilter="All",COUNTIFS(tblGenre[show_id],$A849,tblGenre[Genre],GenreFilter)&gt;0)),1,0)</f>
        <v/>
      </c>
    </row>
    <row r="850" ht="15" customHeight="1" s="20">
      <c r="A850" s="19" t="inlineStr">
        <is>
          <t>s7191</t>
        </is>
      </c>
      <c r="B850" s="19" t="inlineStr">
        <is>
          <t>Movie</t>
        </is>
      </c>
      <c r="C850" s="19" t="inlineStr">
        <is>
          <t>Kia and Cosmos</t>
        </is>
      </c>
      <c r="D850" s="19" t="inlineStr">
        <is>
          <t>Sudipto Roy</t>
        </is>
      </c>
      <c r="E850" s="19" t="inlineStr">
        <is>
          <t>Ritwika Pal, Swastika Mukherjee, Joy Sengupta</t>
        </is>
      </c>
      <c r="F850" s="19" t="inlineStr">
        <is>
          <t>India</t>
        </is>
      </c>
      <c r="G850" s="19" t="inlineStr">
        <is>
          <t>2019-05-01</t>
        </is>
      </c>
      <c r="H850" s="19" t="n">
        <v>2018</v>
      </c>
      <c r="I850" s="19" t="inlineStr">
        <is>
          <t>TV-14</t>
        </is>
      </c>
      <c r="J850" s="19" t="inlineStr">
        <is>
          <t>124 min</t>
        </is>
      </c>
      <c r="K850" s="19" t="inlineStr">
        <is>
          <t>Dramas, Independent Movies, International Movies</t>
        </is>
      </c>
      <c r="L850" s="19" t="inlineStr">
        <is>
          <t>A 15-year-old girl with autism attempts to write a mystery novel based on her hunt for the killer of a neighborhood cat.</t>
        </is>
      </c>
      <c r="M850" s="19" t="n">
        <v>2019</v>
      </c>
      <c r="N850" s="19">
        <f>IF(AND(OR(YearFilter="All",$M850=YearFilter),OR(RatingFilter="All",$I850=RatingFilter),OR(TypeFilter="All",$B850=TypeFilter),OR(GenreFilter="All",COUNTIFS(tblGenre[show_id],$A850,tblGenre[Genre],GenreFilter)&gt;0)),1,0)</f>
        <v/>
      </c>
    </row>
    <row r="851" ht="15" customHeight="1" s="20">
      <c r="A851" s="19" t="inlineStr">
        <is>
          <t>s7213</t>
        </is>
      </c>
      <c r="B851" s="19" t="inlineStr">
        <is>
          <t>Movie</t>
        </is>
      </c>
      <c r="C851" s="19" t="inlineStr">
        <is>
          <t>Kis Kisko Pyaar Karoon</t>
        </is>
      </c>
      <c r="D851" s="19" t="inlineStr">
        <is>
          <t>Abbas Alibhai Burmawalla, Mastan Alibhai Burmawalla</t>
        </is>
      </c>
      <c r="E851" s="19" t="inlineStr">
        <is>
          <t>Kapil Sharma, Arbaaz Khan, Varun Sharma, Sharat Saxena, Supriya Pathak, Manoj Joshi, Manjari Fadnis, Simran Kaur Mundi, Elli Avram, Jamie Lever</t>
        </is>
      </c>
      <c r="F851" s="19" t="inlineStr">
        <is>
          <t>India</t>
        </is>
      </c>
      <c r="G851" s="19" t="inlineStr">
        <is>
          <t>2017-11-01</t>
        </is>
      </c>
      <c r="H851" s="19" t="n">
        <v>2015</v>
      </c>
      <c r="I851" s="19" t="inlineStr">
        <is>
          <t>TV-PG</t>
        </is>
      </c>
      <c r="J851" s="19" t="inlineStr">
        <is>
          <t>132 min</t>
        </is>
      </c>
      <c r="K851" s="19" t="inlineStr">
        <is>
          <t>Comedies, International Movies</t>
        </is>
      </c>
      <c r="L851" s="19" t="inlineStr">
        <is>
          <t>A man's decision to marry three women, to keep them from committing suicide, complicates his relationship with his girlfriend.</t>
        </is>
      </c>
      <c r="M851" s="19" t="n">
        <v>2017</v>
      </c>
      <c r="N851" s="19">
        <f>IF(AND(OR(YearFilter="All",$M851=YearFilter),OR(RatingFilter="All",$I851=RatingFilter),OR(TypeFilter="All",$B851=TypeFilter),OR(GenreFilter="All",COUNTIFS(tblGenre[show_id],$A851,tblGenre[Genre],GenreFilter)&gt;0)),1,0)</f>
        <v/>
      </c>
    </row>
    <row r="852" ht="15" customHeight="1" s="20">
      <c r="A852" s="19" t="inlineStr">
        <is>
          <t>s7225</t>
        </is>
      </c>
      <c r="B852" s="19" t="inlineStr">
        <is>
          <t>Movie</t>
        </is>
      </c>
      <c r="C852" s="19" t="inlineStr">
        <is>
          <t>Koshish</t>
        </is>
      </c>
      <c r="D852" s="19" t="inlineStr">
        <is>
          <t>Gulzar</t>
        </is>
      </c>
      <c r="E852" s="19" t="inlineStr">
        <is>
          <t>Sanjeev Kumar, Jaya Bhaduri, Asrani, Seema, Om Shivpuri, Dina Pathak</t>
        </is>
      </c>
      <c r="F852" s="19" t="inlineStr">
        <is>
          <t>India</t>
        </is>
      </c>
      <c r="G852" s="19" t="inlineStr">
        <is>
          <t>2019-12-31</t>
        </is>
      </c>
      <c r="H852" s="19" t="n">
        <v>1972</v>
      </c>
      <c r="I852" s="19" t="inlineStr">
        <is>
          <t>TV-14</t>
        </is>
      </c>
      <c r="J852" s="19" t="inlineStr">
        <is>
          <t>115 min</t>
        </is>
      </c>
      <c r="K852" s="19" t="inlineStr">
        <is>
          <t>International Movies, Romantic Movies</t>
        </is>
      </c>
      <c r="L852" s="19" t="inlineStr">
        <is>
          <t>A speech and hearing-impaired couple persists through unforgiving obstacles to be accepted by society and live a life of dignity.</t>
        </is>
      </c>
      <c r="M852" s="19" t="n">
        <v>2019</v>
      </c>
      <c r="N852" s="19">
        <f>IF(AND(OR(YearFilter="All",$M852=YearFilter),OR(RatingFilter="All",$I852=RatingFilter),OR(TypeFilter="All",$B852=TypeFilter),OR(GenreFilter="All",COUNTIFS(tblGenre[show_id],$A852,tblGenre[Genre],GenreFilter)&gt;0)),1,0)</f>
        <v/>
      </c>
    </row>
    <row r="853" ht="15" customHeight="1" s="20">
      <c r="A853" s="19" t="inlineStr">
        <is>
          <t>s7231</t>
        </is>
      </c>
      <c r="B853" s="19" t="inlineStr">
        <is>
          <t>Movie</t>
        </is>
      </c>
      <c r="C853" s="19" t="inlineStr">
        <is>
          <t>Krish Trish and Baltiboy: Face Your Fears</t>
        </is>
      </c>
      <c r="D853" s="19" t="inlineStr">
        <is>
          <t>Tilak Shetty</t>
        </is>
      </c>
      <c r="E853" s="19" t="inlineStr">
        <is>
          <t>Tarun Ratnani, Smita Malhotra, Deepak Chachra</t>
        </is>
      </c>
      <c r="F853" s="19" t="inlineStr">
        <is>
          <t>India</t>
        </is>
      </c>
      <c r="G853" s="19" t="inlineStr">
        <is>
          <t>2017-11-17</t>
        </is>
      </c>
      <c r="H853" s="19" t="n">
        <v>2017</v>
      </c>
      <c r="I853" s="19" t="inlineStr">
        <is>
          <t>TV-Y7</t>
        </is>
      </c>
      <c r="J853" s="19" t="inlineStr">
        <is>
          <t>65 min</t>
        </is>
      </c>
      <c r="K853" s="19" t="inlineStr">
        <is>
          <t>Children &amp; Family Movies</t>
        </is>
      </c>
      <c r="L853" s="19" t="inlineStr">
        <is>
          <t>In three tales about fear, a baby elephant gets captured by a circus, two boys enter a haunted house and a parrot faces his fear of flying.</t>
        </is>
      </c>
      <c r="M853" s="19" t="n">
        <v>2017</v>
      </c>
      <c r="N853" s="19">
        <f>IF(AND(OR(YearFilter="All",$M853=YearFilter),OR(RatingFilter="All",$I853=RatingFilter),OR(TypeFilter="All",$B853=TypeFilter),OR(GenreFilter="All",COUNTIFS(tblGenre[show_id],$A853,tblGenre[Genre],GenreFilter)&gt;0)),1,0)</f>
        <v/>
      </c>
    </row>
    <row r="854" ht="15" customHeight="1" s="20">
      <c r="A854" s="19" t="inlineStr">
        <is>
          <t>s7239</t>
        </is>
      </c>
      <c r="B854" s="19" t="inlineStr">
        <is>
          <t>Movie</t>
        </is>
      </c>
      <c r="C854" s="19" t="inlineStr">
        <is>
          <t>Kuldip Patwal: I Didn't Do It!</t>
        </is>
      </c>
      <c r="D854" s="19" t="inlineStr">
        <is>
          <t>Remy Kohli</t>
        </is>
      </c>
      <c r="E854" s="19" t="inlineStr">
        <is>
          <t>Deepak Dobriyal, Gulshan Devaiah, Raima Sen, Parvin Dabas, Anurag Arora, Jameel Khan, Priyanka Setia</t>
        </is>
      </c>
      <c r="F854" s="19" t="inlineStr">
        <is>
          <t>India</t>
        </is>
      </c>
      <c r="G854" s="19" t="inlineStr">
        <is>
          <t>2019-12-31</t>
        </is>
      </c>
      <c r="H854" s="19" t="n">
        <v>2017</v>
      </c>
      <c r="I854" s="19" t="inlineStr">
        <is>
          <t>TV-MA</t>
        </is>
      </c>
      <c r="J854" s="19" t="inlineStr">
        <is>
          <t>126 min</t>
        </is>
      </c>
      <c r="K854" s="19" t="inlineStr">
        <is>
          <t>Dramas, Independent Movies, International Movies</t>
        </is>
      </c>
      <c r="L854" s="19" t="inlineStr">
        <is>
          <t>Accused of killing a politician, a local grocer’s fight to prove his innocence reveals his lifelong struggles with injustice leading up to the incident.</t>
        </is>
      </c>
      <c r="M854" s="19" t="n">
        <v>2019</v>
      </c>
      <c r="N854" s="19">
        <f>IF(AND(OR(YearFilter="All",$M854=YearFilter),OR(RatingFilter="All",$I854=RatingFilter),OR(TypeFilter="All",$B854=TypeFilter),OR(GenreFilter="All",COUNTIFS(tblGenre[show_id],$A854,tblGenre[Genre],GenreFilter)&gt;0)),1,0)</f>
        <v/>
      </c>
    </row>
    <row r="855" ht="15" customHeight="1" s="20">
      <c r="A855" s="19" t="inlineStr">
        <is>
          <t>s7243</t>
        </is>
      </c>
      <c r="B855" s="19" t="inlineStr">
        <is>
          <t>Movie</t>
        </is>
      </c>
      <c r="C855" s="19" t="inlineStr">
        <is>
          <t>Kung Fu Yoga</t>
        </is>
      </c>
      <c r="D855" s="19" t="inlineStr">
        <is>
          <t>Stanley Tong</t>
        </is>
      </c>
      <c r="E855" s="19" t="inlineStr">
        <is>
          <t>Jackie Chan, Disha Patani, Amyra Dastur, Sonu Sood, Aarif Rahman, Miya Muqi, Zhang Yixing, Eric Tsang</t>
        </is>
      </c>
      <c r="F855" s="19" t="inlineStr">
        <is>
          <t>China, India, Nepal</t>
        </is>
      </c>
      <c r="G855" s="19" t="inlineStr">
        <is>
          <t>2017-10-06</t>
        </is>
      </c>
      <c r="H855" s="19" t="n">
        <v>2017</v>
      </c>
      <c r="I855" s="19" t="inlineStr">
        <is>
          <t>TV-PG</t>
        </is>
      </c>
      <c r="J855" s="19" t="inlineStr">
        <is>
          <t>107 min</t>
        </is>
      </c>
      <c r="K855" s="19" t="inlineStr">
        <is>
          <t>Action &amp; Adventure, Comedies, International Movies</t>
        </is>
      </c>
      <c r="L855" s="19" t="inlineStr">
        <is>
          <t>Two mismatched archaeologists battle a team of vicious mercenaries in a race to discover an ancient Tibetan treasure of unimaginable worth.</t>
        </is>
      </c>
      <c r="M855" s="19" t="n">
        <v>2017</v>
      </c>
      <c r="N855" s="19">
        <f>IF(AND(OR(YearFilter="All",$M855=YearFilter),OR(RatingFilter="All",$I855=RatingFilter),OR(TypeFilter="All",$B855=TypeFilter),OR(GenreFilter="All",COUNTIFS(tblGenre[show_id],$A855,tblGenre[Genre],GenreFilter)&gt;0)),1,0)</f>
        <v/>
      </c>
    </row>
    <row r="856" ht="15" customHeight="1" s="20">
      <c r="A856" s="19" t="inlineStr">
        <is>
          <t>s7248</t>
        </is>
      </c>
      <c r="B856" s="19" t="inlineStr">
        <is>
          <t>Movie</t>
        </is>
      </c>
      <c r="C856" s="19" t="inlineStr">
        <is>
          <t>Kya Kehna</t>
        </is>
      </c>
      <c r="D856" s="19" t="inlineStr">
        <is>
          <t>Kundan Shah</t>
        </is>
      </c>
      <c r="E856" s="19" t="inlineStr">
        <is>
          <t>Preity Zinta, Saif Ali Khan, Anupam Kher, Farida Jalal, Chandrachur Singh</t>
        </is>
      </c>
      <c r="F856" s="19" t="inlineStr">
        <is>
          <t>India</t>
        </is>
      </c>
      <c r="G856" s="19" t="inlineStr">
        <is>
          <t>2018-04-01</t>
        </is>
      </c>
      <c r="H856" s="19" t="n">
        <v>2000</v>
      </c>
      <c r="I856" s="19" t="inlineStr">
        <is>
          <t>TV-PG</t>
        </is>
      </c>
      <c r="J856" s="19" t="inlineStr">
        <is>
          <t>149 min</t>
        </is>
      </c>
      <c r="K856" s="19" t="inlineStr">
        <is>
          <t>Dramas, International Movies, Romantic Movies</t>
        </is>
      </c>
      <c r="L856" s="19" t="inlineStr">
        <is>
          <t>A young university student's world is shaken after her brief involvement with a wealthy playboy results in her pregnancy.</t>
        </is>
      </c>
      <c r="M856" s="19" t="n">
        <v>2018</v>
      </c>
      <c r="N856" s="19">
        <f>IF(AND(OR(YearFilter="All",$M856=YearFilter),OR(RatingFilter="All",$I856=RatingFilter),OR(TypeFilter="All",$B856=TypeFilter),OR(GenreFilter="All",COUNTIFS(tblGenre[show_id],$A856,tblGenre[Genre],GenreFilter)&gt;0)),1,0)</f>
        <v/>
      </c>
    </row>
    <row r="857" ht="15" customHeight="1" s="20">
      <c r="A857" s="19" t="inlineStr">
        <is>
          <t>s7250</t>
        </is>
      </c>
      <c r="B857" s="19" t="inlineStr">
        <is>
          <t>Movie</t>
        </is>
      </c>
      <c r="C857" s="19" t="inlineStr">
        <is>
          <t>Kyun! Ho Gaya Na</t>
        </is>
      </c>
      <c r="D857" s="19" t="inlineStr">
        <is>
          <t>Samir Karnik</t>
        </is>
      </c>
      <c r="E857" s="19" t="inlineStr">
        <is>
          <t>Aishwarya Rai Bachchan, Vivek Oberoi, Amitabh Bachchan, Om Puri, Rati Agnihotri, Sunil Shetty, Tinnu Anand, Rahul Singh</t>
        </is>
      </c>
      <c r="F857" s="19" t="inlineStr">
        <is>
          <t>India</t>
        </is>
      </c>
      <c r="G857" s="19" t="inlineStr">
        <is>
          <t>2018-03-01</t>
        </is>
      </c>
      <c r="H857" s="19" t="n">
        <v>2004</v>
      </c>
      <c r="I857" s="19" t="inlineStr">
        <is>
          <t>TV-PG</t>
        </is>
      </c>
      <c r="J857" s="19" t="inlineStr">
        <is>
          <t>165 min</t>
        </is>
      </c>
      <c r="K857" s="19" t="inlineStr">
        <is>
          <t>International Movies, Romantic Movies</t>
        </is>
      </c>
      <c r="L857" s="19" t="inlineStr">
        <is>
          <t>Cinematic lovebirds Aishwarya Rai and Vivek Oberoi star in this love story about a sweet young girl, Diya, brought up by her widowed father on a coffee plantation in the village of Coorg.</t>
        </is>
      </c>
      <c r="M857" s="19" t="n">
        <v>2018</v>
      </c>
      <c r="N857" s="19">
        <f>IF(AND(OR(YearFilter="All",$M857=YearFilter),OR(RatingFilter="All",$I857=RatingFilter),OR(TypeFilter="All",$B857=TypeFilter),OR(GenreFilter="All",COUNTIFS(tblGenre[show_id],$A857,tblGenre[Genre],GenreFilter)&gt;0)),1,0)</f>
        <v/>
      </c>
    </row>
    <row r="858" ht="15" customHeight="1" s="20">
      <c r="A858" s="19" t="inlineStr">
        <is>
          <t>s7260</t>
        </is>
      </c>
      <c r="B858" s="19" t="inlineStr">
        <is>
          <t>Movie</t>
        </is>
      </c>
      <c r="C858" s="19" t="inlineStr">
        <is>
          <t>Laal Rang</t>
        </is>
      </c>
      <c r="D858" s="19" t="inlineStr">
        <is>
          <t>Syed Ahmad Afzal</t>
        </is>
      </c>
      <c r="E858" s="19" t="inlineStr">
        <is>
          <t>Randeep Hooda, Piaa Bajpai, Jaihind Kumar, Akshay Oberoi, Rajneesh Duggal, Ashutosh Kaushik, Meenakshi Dixit, Shreya Narayan, Rajendra Sethi</t>
        </is>
      </c>
      <c r="F858" s="19" t="inlineStr">
        <is>
          <t>India</t>
        </is>
      </c>
      <c r="G858" s="19" t="inlineStr">
        <is>
          <t>2018-03-01</t>
        </is>
      </c>
      <c r="H858" s="19" t="n">
        <v>2016</v>
      </c>
      <c r="I858" s="19" t="inlineStr">
        <is>
          <t>TV-14</t>
        </is>
      </c>
      <c r="J858" s="19" t="inlineStr">
        <is>
          <t>143 min</t>
        </is>
      </c>
      <c r="K858" s="19" t="inlineStr">
        <is>
          <t>Dramas, International Movies, Thrillers</t>
        </is>
      </c>
      <c r="L858" s="19" t="inlineStr">
        <is>
          <t>Eager for cash, Rajesh joins his friend Shankar's blood-theft operation. As Rajesh's greed grows and the cops close in, Shankar is poised to explode.</t>
        </is>
      </c>
      <c r="M858" s="19" t="n">
        <v>2018</v>
      </c>
      <c r="N858" s="19">
        <f>IF(AND(OR(YearFilter="All",$M858=YearFilter),OR(RatingFilter="All",$I858=RatingFilter),OR(TypeFilter="All",$B858=TypeFilter),OR(GenreFilter="All",COUNTIFS(tblGenre[show_id],$A858,tblGenre[Genre],GenreFilter)&gt;0)),1,0)</f>
        <v/>
      </c>
    </row>
    <row r="859" ht="15" customHeight="1" s="20">
      <c r="A859" s="19" t="inlineStr">
        <is>
          <t>s7266</t>
        </is>
      </c>
      <c r="B859" s="19" t="inlineStr">
        <is>
          <t>Movie</t>
        </is>
      </c>
      <c r="C859" s="19" t="inlineStr">
        <is>
          <t>Lalbaug Parel: Zali Mumbai Sonyachi</t>
        </is>
      </c>
      <c r="D859" s="19" t="inlineStr">
        <is>
          <t>Mahesh Manjrekar</t>
        </is>
      </c>
      <c r="E859" s="19" t="inlineStr">
        <is>
          <t>Sachin Khedekar, Seema Biswas, Ankush Chaudhari, Satish Kaushik, Siddarth Jadhav, Shashank Shende, Sameer Dharmadhikari, Karan Patel, Veena Jamkar, Kashmira Shah</t>
        </is>
      </c>
      <c r="F859" s="19" t="inlineStr">
        <is>
          <t>India</t>
        </is>
      </c>
      <c r="G859" s="19" t="inlineStr">
        <is>
          <t>2018-03-15</t>
        </is>
      </c>
      <c r="H859" s="19" t="n">
        <v>2010</v>
      </c>
      <c r="I859" s="19" t="inlineStr">
        <is>
          <t>TV-MA</t>
        </is>
      </c>
      <c r="J859" s="19" t="inlineStr">
        <is>
          <t>145 min</t>
        </is>
      </c>
      <c r="K859" s="19" t="inlineStr">
        <is>
          <t>Dramas, International Movies</t>
        </is>
      </c>
      <c r="L859" s="19" t="inlineStr">
        <is>
          <t>Industrial workers struggle against the greed of their employers and the apathy of the government toward the conditions in which they live and work.</t>
        </is>
      </c>
      <c r="M859" s="19" t="n">
        <v>2018</v>
      </c>
      <c r="N859" s="19">
        <f>IF(AND(OR(YearFilter="All",$M859=YearFilter),OR(RatingFilter="All",$I859=RatingFilter),OR(TypeFilter="All",$B859=TypeFilter),OR(GenreFilter="All",COUNTIFS(tblGenre[show_id],$A859,tblGenre[Genre],GenreFilter)&gt;0)),1,0)</f>
        <v/>
      </c>
    </row>
    <row r="860" ht="15" customHeight="1" s="20">
      <c r="A860" s="19" t="inlineStr">
        <is>
          <t>s7281</t>
        </is>
      </c>
      <c r="B860" s="19" t="inlineStr">
        <is>
          <t>Movie</t>
        </is>
      </c>
      <c r="C860" s="19" t="inlineStr">
        <is>
          <t>Lechmi</t>
        </is>
      </c>
      <c r="D860" s="19" t="inlineStr">
        <is>
          <t>B.N. Shajeer Sha</t>
        </is>
      </c>
      <c r="E860" s="19" t="inlineStr">
        <is>
          <t>Parvathy Ratheesh, Biju Sopanam, Sethulekshmi Amma, Molly Angamaly</t>
        </is>
      </c>
      <c r="F860" s="19" t="inlineStr">
        <is>
          <t>India</t>
        </is>
      </c>
      <c r="G860" s="19" t="inlineStr">
        <is>
          <t>2018-08-01</t>
        </is>
      </c>
      <c r="H860" s="19" t="n">
        <v>2017</v>
      </c>
      <c r="I860" s="19" t="inlineStr">
        <is>
          <t>TV-MA</t>
        </is>
      </c>
      <c r="J860" s="19" t="inlineStr">
        <is>
          <t>147 min</t>
        </is>
      </c>
      <c r="K860" s="19" t="inlineStr">
        <is>
          <t>Comedies, Horror Movies, International Movies</t>
        </is>
      </c>
      <c r="L860" s="19" t="inlineStr">
        <is>
          <t>The spirit of a murdered woman contacts four bachelors, enlisting their help to find her killer.</t>
        </is>
      </c>
      <c r="M860" s="19" t="n">
        <v>2018</v>
      </c>
      <c r="N860" s="19">
        <f>IF(AND(OR(YearFilter="All",$M860=YearFilter),OR(RatingFilter="All",$I860=RatingFilter),OR(TypeFilter="All",$B860=TypeFilter),OR(GenreFilter="All",COUNTIFS(tblGenre[show_id],$A860,tblGenre[Genre],GenreFilter)&gt;0)),1,0)</f>
        <v/>
      </c>
    </row>
    <row r="861" ht="15" customHeight="1" s="20">
      <c r="A861" s="19" t="inlineStr">
        <is>
          <t>s7309</t>
        </is>
      </c>
      <c r="B861" s="19" t="inlineStr">
        <is>
          <t>Movie</t>
        </is>
      </c>
      <c r="C861" s="19" t="inlineStr">
        <is>
          <t>Lincoln</t>
        </is>
      </c>
      <c r="D861" s="19" t="inlineStr">
        <is>
          <t>Steven Spielberg</t>
        </is>
      </c>
      <c r="E861" s="19" t="inlineStr">
        <is>
          <t>Daniel Day-Lewis, Sally Field, David Strathairn, Joseph Gordon-Levitt, James Spader, Hal Holbrook, Tommy Lee Jones, Jackie Earle Haley, John Hawkes, Jared Harris, Joseph Cross, Tim Blake Nelson, David Oyelowo, Bruce McGill</t>
        </is>
      </c>
      <c r="F861" s="19" t="inlineStr">
        <is>
          <t>United States, India</t>
        </is>
      </c>
      <c r="G861" s="19" t="inlineStr">
        <is>
          <t>2018-02-21</t>
        </is>
      </c>
      <c r="H861" s="19" t="n">
        <v>2012</v>
      </c>
      <c r="I861" s="19" t="inlineStr">
        <is>
          <t>PG-13</t>
        </is>
      </c>
      <c r="J861" s="19" t="inlineStr">
        <is>
          <t>150 min</t>
        </is>
      </c>
      <c r="K861" s="19" t="inlineStr">
        <is>
          <t>Dramas</t>
        </is>
      </c>
      <c r="L861" s="19" t="inlineStr">
        <is>
          <t>Director Steven Spielberg takes on the towering legacy of Abraham Lincoln, focusing on his stewardship of the Union during the Civil War years.</t>
        </is>
      </c>
      <c r="M861" s="19" t="n">
        <v>2018</v>
      </c>
      <c r="N861" s="19">
        <f>IF(AND(OR(YearFilter="All",$M861=YearFilter),OR(RatingFilter="All",$I861=RatingFilter),OR(TypeFilter="All",$B861=TypeFilter),OR(GenreFilter="All",COUNTIFS(tblGenre[show_id],$A861,tblGenre[Genre],GenreFilter)&gt;0)),1,0)</f>
        <v/>
      </c>
    </row>
    <row r="862" ht="15" customHeight="1" s="20">
      <c r="A862" s="19" t="inlineStr">
        <is>
          <t>s7338</t>
        </is>
      </c>
      <c r="B862" s="19" t="inlineStr">
        <is>
          <t>Movie</t>
        </is>
      </c>
      <c r="C862" s="19" t="inlineStr">
        <is>
          <t>Lorai: Play to Live</t>
        </is>
      </c>
      <c r="D862" s="19" t="inlineStr">
        <is>
          <t>Parambrata Chatterjee</t>
        </is>
      </c>
      <c r="E862" s="19" t="inlineStr">
        <is>
          <t>Prasenjit Chatterjee, Payel Sarkar, Indrasish Roy, Kanchan Mullick, Kharaj Mukherjee, Gargi Roychowdhury, Deepankar De, Biswajit Chakraborty, Bharat Kaul, Rajat Ganguly</t>
        </is>
      </c>
      <c r="F862" s="19" t="inlineStr">
        <is>
          <t>India</t>
        </is>
      </c>
      <c r="G862" s="19" t="inlineStr">
        <is>
          <t>2017-09-01</t>
        </is>
      </c>
      <c r="H862" s="19" t="n">
        <v>2015</v>
      </c>
      <c r="I862" s="19" t="inlineStr">
        <is>
          <t>TV-14</t>
        </is>
      </c>
      <c r="J862" s="19" t="inlineStr">
        <is>
          <t>155 min</t>
        </is>
      </c>
      <c r="K862" s="19" t="inlineStr">
        <is>
          <t>Dramas, International Movies, Sports Movies</t>
        </is>
      </c>
      <c r="L862" s="19" t="inlineStr">
        <is>
          <t>Under a government initiative, a retired alcoholic soccer player is sent to establish a soccer team in a politically troubled area.</t>
        </is>
      </c>
      <c r="M862" s="19" t="n">
        <v>2017</v>
      </c>
      <c r="N862" s="19">
        <f>IF(AND(OR(YearFilter="All",$M862=YearFilter),OR(RatingFilter="All",$I862=RatingFilter),OR(TypeFilter="All",$B862=TypeFilter),OR(GenreFilter="All",COUNTIFS(tblGenre[show_id],$A862,tblGenre[Genre],GenreFilter)&gt;0)),1,0)</f>
        <v/>
      </c>
    </row>
    <row r="863" ht="15" customHeight="1" s="20">
      <c r="A863" s="19" t="inlineStr">
        <is>
          <t>s7347</t>
        </is>
      </c>
      <c r="B863" s="19" t="inlineStr">
        <is>
          <t>Movie</t>
        </is>
      </c>
      <c r="C863" s="19" t="inlineStr">
        <is>
          <t>Love Ni Bhavai</t>
        </is>
      </c>
      <c r="D863" s="19" t="inlineStr">
        <is>
          <t>Saandeep Patel</t>
        </is>
      </c>
      <c r="E863" s="19" t="inlineStr">
        <is>
          <t>Malhar Thakar, Pratik Gandhi, Aarohi Patel, Maulik Jagdish Nayak, Diana Raval, Roopa Divatia, Aarti Patel</t>
        </is>
      </c>
      <c r="F863" s="19" t="inlineStr">
        <is>
          <t>India</t>
        </is>
      </c>
      <c r="G863" s="19" t="inlineStr">
        <is>
          <t>2018-05-01</t>
        </is>
      </c>
      <c r="H863" s="19" t="n">
        <v>2017</v>
      </c>
      <c r="I863" s="19" t="inlineStr">
        <is>
          <t>TV-14</t>
        </is>
      </c>
      <c r="J863" s="19" t="inlineStr">
        <is>
          <t>163 min</t>
        </is>
      </c>
      <c r="K863" s="19" t="inlineStr">
        <is>
          <t>Comedies, International Movies, Romantic Movies</t>
        </is>
      </c>
      <c r="L863" s="19" t="inlineStr">
        <is>
          <t>Not romantically inclined, a popular radio personality finds herself caught between two diametrically opposed suitors.</t>
        </is>
      </c>
      <c r="M863" s="19" t="n">
        <v>2018</v>
      </c>
      <c r="N863" s="19">
        <f>IF(AND(OR(YearFilter="All",$M863=YearFilter),OR(RatingFilter="All",$I863=RatingFilter),OR(TypeFilter="All",$B863=TypeFilter),OR(GenreFilter="All",COUNTIFS(tblGenre[show_id],$A863,tblGenre[Genre],GenreFilter)&gt;0)),1,0)</f>
        <v/>
      </c>
    </row>
    <row r="864" ht="15" customHeight="1" s="20">
      <c r="A864" s="19" t="inlineStr">
        <is>
          <t>s7361</t>
        </is>
      </c>
      <c r="B864" s="19" t="inlineStr">
        <is>
          <t>Movie</t>
        </is>
      </c>
      <c r="C864" s="19" t="inlineStr">
        <is>
          <t>Lucky: No Time for Love</t>
        </is>
      </c>
      <c r="D864" s="19" t="inlineStr">
        <is>
          <t>Radhika Rao, Vinay Sapru</t>
        </is>
      </c>
      <c r="E864" s="19" t="inlineStr">
        <is>
          <t>Salman Khan, Sneha Ullal, Mithun Chakraborty, Kader Khan, Navni Parihar, Ravi Baswani, Vikram Gokhale, Mumait Khan</t>
        </is>
      </c>
      <c r="F864" s="19" t="inlineStr">
        <is>
          <t>India</t>
        </is>
      </c>
      <c r="G864" s="19" t="inlineStr">
        <is>
          <t>2017-11-15</t>
        </is>
      </c>
      <c r="H864" s="19" t="n">
        <v>2005</v>
      </c>
      <c r="I864" s="19" t="inlineStr">
        <is>
          <t>TV-14</t>
        </is>
      </c>
      <c r="J864" s="19" t="inlineStr">
        <is>
          <t>131 min</t>
        </is>
      </c>
      <c r="K864" s="19" t="inlineStr">
        <is>
          <t>Dramas, International Movies, Romantic Movies</t>
        </is>
      </c>
      <c r="L864" s="19" t="inlineStr">
        <is>
          <t>During an uprising in Russia's St. Petersburg, teen girl Lucky meets handsome Aditya, the Indian ambassador's son, and together they flee the chaos.</t>
        </is>
      </c>
      <c r="M864" s="19" t="n">
        <v>2017</v>
      </c>
      <c r="N864" s="19">
        <f>IF(AND(OR(YearFilter="All",$M864=YearFilter),OR(RatingFilter="All",$I864=RatingFilter),OR(TypeFilter="All",$B864=TypeFilter),OR(GenreFilter="All",COUNTIFS(tblGenre[show_id],$A864,tblGenre[Genre],GenreFilter)&gt;0)),1,0)</f>
        <v/>
      </c>
    </row>
    <row r="865" ht="15" customHeight="1" s="20">
      <c r="A865" s="19" t="inlineStr">
        <is>
          <t>s7362</t>
        </is>
      </c>
      <c r="B865" s="19" t="inlineStr">
        <is>
          <t>Movie</t>
        </is>
      </c>
      <c r="C865" s="19" t="inlineStr">
        <is>
          <t>Lupt</t>
        </is>
      </c>
      <c r="D865" s="19" t="inlineStr">
        <is>
          <t>Prabhuraj</t>
        </is>
      </c>
      <c r="E865" s="19" t="inlineStr">
        <is>
          <t>Javed Jaffrey, Vijay Raaz, Karan Aanand, Niki Walia, Meenakshi Dixit, Rishabh Chaddha, Rishina Kandhari, Kiearra Soni</t>
        </is>
      </c>
      <c r="F865" s="19" t="inlineStr">
        <is>
          <t>India</t>
        </is>
      </c>
      <c r="G865" s="19" t="inlineStr">
        <is>
          <t>2019-04-05</t>
        </is>
      </c>
      <c r="H865" s="19" t="n">
        <v>2018</v>
      </c>
      <c r="I865" s="19" t="inlineStr">
        <is>
          <t>TV-14</t>
        </is>
      </c>
      <c r="J865" s="19" t="inlineStr">
        <is>
          <t>110 min</t>
        </is>
      </c>
      <c r="K865" s="19" t="inlineStr">
        <is>
          <t>Horror Movies, International Movies, Thrillers</t>
        </is>
      </c>
      <c r="L865" s="19" t="inlineStr">
        <is>
          <t>Haunted by disturbing visions, a workaholic takes a vacation with his family, but a detour leads them to an unsettling stranger and chilling events.</t>
        </is>
      </c>
      <c r="M865" s="19" t="n">
        <v>2019</v>
      </c>
      <c r="N865" s="19">
        <f>IF(AND(OR(YearFilter="All",$M865=YearFilter),OR(RatingFilter="All",$I865=RatingFilter),OR(TypeFilter="All",$B865=TypeFilter),OR(GenreFilter="All",COUNTIFS(tblGenre[show_id],$A865,tblGenre[Genre],GenreFilter)&gt;0)),1,0)</f>
        <v/>
      </c>
    </row>
    <row r="866" ht="15" customHeight="1" s="20">
      <c r="A866" s="19" t="inlineStr">
        <is>
          <t>s7364</t>
        </is>
      </c>
      <c r="B866" s="19" t="inlineStr">
        <is>
          <t>Movie</t>
        </is>
      </c>
      <c r="C866" s="19" t="inlineStr">
        <is>
          <t>Ma Chu Ka</t>
        </is>
      </c>
      <c r="D866" s="19" t="inlineStr">
        <is>
          <t>Jayan Vannery</t>
        </is>
      </c>
      <c r="E866" s="19" t="inlineStr">
        <is>
          <t>Pasupathy, Janani Iyer, Pratap Pothen</t>
        </is>
      </c>
      <c r="F866" s="19" t="inlineStr">
        <is>
          <t>India</t>
        </is>
      </c>
      <c r="G866" s="19" t="inlineStr">
        <is>
          <t>2018-07-01</t>
        </is>
      </c>
      <c r="H866" s="19" t="n">
        <v>2017</v>
      </c>
      <c r="I866" s="19" t="inlineStr">
        <is>
          <t>TV-14</t>
        </is>
      </c>
      <c r="J866" s="19" t="inlineStr">
        <is>
          <t>117 min</t>
        </is>
      </c>
      <c r="K866" s="19" t="inlineStr">
        <is>
          <t>International Movies, Thrillers</t>
        </is>
      </c>
      <c r="L866" s="19" t="inlineStr">
        <is>
          <t>The relationship between a journalist and a lawyer she meets while investigating a story grows complicated as she uncovers layers of deception.</t>
        </is>
      </c>
      <c r="M866" s="19" t="n">
        <v>2018</v>
      </c>
      <c r="N866" s="19">
        <f>IF(AND(OR(YearFilter="All",$M866=YearFilter),OR(RatingFilter="All",$I866=RatingFilter),OR(TypeFilter="All",$B866=TypeFilter),OR(GenreFilter="All",COUNTIFS(tblGenre[show_id],$A866,tblGenre[Genre],GenreFilter)&gt;0)),1,0)</f>
        <v/>
      </c>
    </row>
    <row r="867" ht="15" customHeight="1" s="20">
      <c r="A867" s="19" t="inlineStr">
        <is>
          <t>s7365</t>
        </is>
      </c>
      <c r="B867" s="19" t="inlineStr">
        <is>
          <t>Movie</t>
        </is>
      </c>
      <c r="C867" s="19" t="inlineStr">
        <is>
          <t>Maacher Jhol</t>
        </is>
      </c>
      <c r="D867" s="19" t="inlineStr">
        <is>
          <t>Pratim D. Gupta</t>
        </is>
      </c>
      <c r="E867" s="19" t="inlineStr">
        <is>
          <t>Ritwick Chakraborty, Mamata Shankar, Paoli Dam, Kaya Blocksage, Sauraseni Maitra, Arjun Chakrabarty</t>
        </is>
      </c>
      <c r="F867" s="19" t="inlineStr">
        <is>
          <t>India, France</t>
        </is>
      </c>
      <c r="G867" s="19" t="inlineStr">
        <is>
          <t>2018-01-01</t>
        </is>
      </c>
      <c r="H867" s="19" t="n">
        <v>2017</v>
      </c>
      <c r="I867" s="19" t="inlineStr">
        <is>
          <t>TV-PG</t>
        </is>
      </c>
      <c r="J867" s="19" t="inlineStr">
        <is>
          <t>107 min</t>
        </is>
      </c>
      <c r="K867" s="19" t="inlineStr">
        <is>
          <t>Dramas, International Movies</t>
        </is>
      </c>
      <c r="L867" s="19" t="inlineStr">
        <is>
          <t>On his first visit to his home city of Kolkata in 13 years, a Paris-based chef is faced with a cooking challenge that will change his life forever.</t>
        </is>
      </c>
      <c r="M867" s="19" t="n">
        <v>2018</v>
      </c>
      <c r="N867" s="19">
        <f>IF(AND(OR(YearFilter="All",$M867=YearFilter),OR(RatingFilter="All",$I867=RatingFilter),OR(TypeFilter="All",$B867=TypeFilter),OR(GenreFilter="All",COUNTIFS(tblGenre[show_id],$A867,tblGenre[Genre],GenreFilter)&gt;0)),1,0)</f>
        <v/>
      </c>
    </row>
    <row r="868" ht="15" customHeight="1" s="20">
      <c r="A868" s="19" t="inlineStr">
        <is>
          <t>s7367</t>
        </is>
      </c>
      <c r="B868" s="19" t="inlineStr">
        <is>
          <t>Movie</t>
        </is>
      </c>
      <c r="C868" s="19" t="inlineStr">
        <is>
          <t>Macchli Jal Ki Rani Hai</t>
        </is>
      </c>
      <c r="D868" s="19" t="inlineStr">
        <is>
          <t>Debaloy Dey</t>
        </is>
      </c>
      <c r="E868" s="19" t="inlineStr">
        <is>
          <t>Swara Bhaskar, Bhanu Uday, Murli Sharma, Deep Raj Rana, Reema Debnath, Hemant Pandey, Saurabh Dubey, Sakha Kalyani</t>
        </is>
      </c>
      <c r="F868" s="19" t="inlineStr">
        <is>
          <t>India</t>
        </is>
      </c>
      <c r="G868" s="19" t="inlineStr">
        <is>
          <t>2017-10-15</t>
        </is>
      </c>
      <c r="H868" s="19" t="n">
        <v>2014</v>
      </c>
      <c r="I868" s="19" t="inlineStr">
        <is>
          <t>TV-MA</t>
        </is>
      </c>
      <c r="J868" s="19" t="inlineStr">
        <is>
          <t>118 min</t>
        </is>
      </c>
      <c r="K868" s="19" t="inlineStr">
        <is>
          <t>Horror Movies, International Movies</t>
        </is>
      </c>
      <c r="L868" s="19" t="inlineStr">
        <is>
          <t>After relocating to a different town with her husband, a housewife begins to sense the existence of a mysterious presence in their new house.</t>
        </is>
      </c>
      <c r="M868" s="19" t="n">
        <v>2017</v>
      </c>
      <c r="N868" s="19">
        <f>IF(AND(OR(YearFilter="All",$M868=YearFilter),OR(RatingFilter="All",$I868=RatingFilter),OR(TypeFilter="All",$B868=TypeFilter),OR(GenreFilter="All",COUNTIFS(tblGenre[show_id],$A868,tblGenre[Genre],GenreFilter)&gt;0)),1,0)</f>
        <v/>
      </c>
    </row>
    <row r="869" ht="15" customHeight="1" s="20">
      <c r="A869" s="19" t="inlineStr">
        <is>
          <t>s7373</t>
        </is>
      </c>
      <c r="B869" s="19" t="inlineStr">
        <is>
          <t>Movie</t>
        </is>
      </c>
      <c r="C869" s="19" t="inlineStr">
        <is>
          <t>Madaari</t>
        </is>
      </c>
      <c r="D869" s="19" t="inlineStr">
        <is>
          <t>Nishikant Kamat</t>
        </is>
      </c>
      <c r="E869" s="19" t="inlineStr">
        <is>
          <t>Irrfan Khan, Jimmy Shergill, Vishesh Bansal, Tushar Dalvi, Nitish Pandey</t>
        </is>
      </c>
      <c r="F869" s="19" t="inlineStr">
        <is>
          <t>India</t>
        </is>
      </c>
      <c r="G869" s="19" t="inlineStr">
        <is>
          <t>2017-02-17</t>
        </is>
      </c>
      <c r="H869" s="19" t="n">
        <v>2016</v>
      </c>
      <c r="I869" s="19" t="inlineStr">
        <is>
          <t>TV-14</t>
        </is>
      </c>
      <c r="J869" s="19" t="inlineStr">
        <is>
          <t>134 min</t>
        </is>
      </c>
      <c r="K869" s="19" t="inlineStr">
        <is>
          <t>Dramas, Independent Movies, International Movies</t>
        </is>
      </c>
      <c r="L869" s="19" t="inlineStr">
        <is>
          <t>A bridge under construction collapses in Mumbai, killing a man's family and launching him on a crusade to bring those responsible to justice.</t>
        </is>
      </c>
      <c r="M869" s="19" t="n">
        <v>2017</v>
      </c>
      <c r="N869" s="19">
        <f>IF(AND(OR(YearFilter="All",$M869=YearFilter),OR(RatingFilter="All",$I869=RatingFilter),OR(TypeFilter="All",$B869=TypeFilter),OR(GenreFilter="All",COUNTIFS(tblGenre[show_id],$A869,tblGenre[Genre],GenreFilter)&gt;0)),1,0)</f>
        <v/>
      </c>
    </row>
    <row r="870" ht="15" customHeight="1" s="20">
      <c r="A870" s="19" t="inlineStr">
        <is>
          <t>s7381</t>
        </is>
      </c>
      <c r="B870" s="19" t="inlineStr">
        <is>
          <t>Movie</t>
        </is>
      </c>
      <c r="C870" s="19" t="inlineStr">
        <is>
          <t>Mahabharat</t>
        </is>
      </c>
      <c r="D870" s="19" t="inlineStr">
        <is>
          <t>Amaan Khan</t>
        </is>
      </c>
      <c r="E870" s="19" t="inlineStr">
        <is>
          <t>Amitabh Bachchan, Ajay Devgn, Vidya Balan, Shatrughan Sinha, Sunny Deol, Anil Kapoor, Manoj Bajpayee, Jackie Shroff, Anupam Kher, Deepti Naval</t>
        </is>
      </c>
      <c r="F870" s="19" t="inlineStr">
        <is>
          <t>India</t>
        </is>
      </c>
      <c r="G870" s="19" t="inlineStr">
        <is>
          <t>2018-08-01</t>
        </is>
      </c>
      <c r="H870" s="19" t="n">
        <v>2013</v>
      </c>
      <c r="I870" s="19" t="inlineStr">
        <is>
          <t>TV-14</t>
        </is>
      </c>
      <c r="J870" s="19" t="inlineStr">
        <is>
          <t>119 min</t>
        </is>
      </c>
      <c r="K870" s="19" t="inlineStr">
        <is>
          <t>Action &amp; Adventure, Dramas, International Movies</t>
        </is>
      </c>
      <c r="L870" s="19" t="inlineStr">
        <is>
          <t>Two young brothers encounter a singing bird who treats them to a musical reinterpretation of one of India’s most epic ancient tales.</t>
        </is>
      </c>
      <c r="M870" s="19" t="n">
        <v>2018</v>
      </c>
      <c r="N870" s="19">
        <f>IF(AND(OR(YearFilter="All",$M870=YearFilter),OR(RatingFilter="All",$I870=RatingFilter),OR(TypeFilter="All",$B870=TypeFilter),OR(GenreFilter="All",COUNTIFS(tblGenre[show_id],$A870,tblGenre[Genre],GenreFilter)&gt;0)),1,0)</f>
        <v/>
      </c>
    </row>
    <row r="871" ht="15" customHeight="1" s="20">
      <c r="A871" s="19" t="inlineStr">
        <is>
          <t>s7382</t>
        </is>
      </c>
      <c r="B871" s="19" t="inlineStr">
        <is>
          <t>TV Show</t>
        </is>
      </c>
      <c r="C871" s="19" t="inlineStr">
        <is>
          <t>Maharakshak Devi</t>
        </is>
      </c>
      <c r="E871" s="19" t="inlineStr">
        <is>
          <t>Umang Jain, Indraneil Sengupta, Rohit Bakshi, Karan Suchak, Shresth Kumar, Ankit Gera, Rushiraj Pawar, Nikita Sharma, Varun Kapoor, Kamalika Guha Thakurta, Sahil Uppal, Charu Asopa</t>
        </is>
      </c>
      <c r="F871" s="19" t="inlineStr">
        <is>
          <t>India</t>
        </is>
      </c>
      <c r="G871" s="19" t="inlineStr">
        <is>
          <t>2017-04-15</t>
        </is>
      </c>
      <c r="H871" s="19" t="n">
        <v>2015</v>
      </c>
      <c r="I871" s="19" t="inlineStr">
        <is>
          <t>TV-14</t>
        </is>
      </c>
      <c r="J871" s="19" t="inlineStr">
        <is>
          <t>1 Season</t>
        </is>
      </c>
      <c r="K871" s="19" t="inlineStr">
        <is>
          <t>International TV Shows, TV Action &amp; Adventure, TV Sci-Fi &amp; Fantasy</t>
        </is>
      </c>
      <c r="L871" s="19" t="inlineStr">
        <is>
          <t>After years spent in isolation, a young girl with extraordinary powers returns to human society to battle dark, mythological beings.</t>
        </is>
      </c>
      <c r="M871" s="19" t="n">
        <v>2017</v>
      </c>
      <c r="N871" s="19">
        <f>IF(AND(OR(YearFilter="All",$M871=YearFilter),OR(RatingFilter="All",$I871=RatingFilter),OR(TypeFilter="All",$B871=TypeFilter),OR(GenreFilter="All",COUNTIFS(tblGenre[show_id],$A871,tblGenre[Genre],GenreFilter)&gt;0)),1,0)</f>
        <v/>
      </c>
    </row>
    <row r="872" ht="15" customHeight="1" s="20">
      <c r="A872" s="19" t="inlineStr">
        <is>
          <t>s7383</t>
        </is>
      </c>
      <c r="B872" s="19" t="inlineStr">
        <is>
          <t>TV Show</t>
        </is>
      </c>
      <c r="C872" s="19" t="inlineStr">
        <is>
          <t>Maharakshak: Aryan</t>
        </is>
      </c>
      <c r="E872" s="19" t="inlineStr">
        <is>
          <t>Aakarshan Singh, Vikramjeet Virk, Reena Aggarwal, Khalid Siddiqui, Abigail Jain, Rishabh Jain</t>
        </is>
      </c>
      <c r="F872" s="19" t="inlineStr">
        <is>
          <t>India</t>
        </is>
      </c>
      <c r="G872" s="19" t="inlineStr">
        <is>
          <t>2017-04-01</t>
        </is>
      </c>
      <c r="H872" s="19" t="n">
        <v>2014</v>
      </c>
      <c r="I872" s="19" t="inlineStr">
        <is>
          <t>TV-14</t>
        </is>
      </c>
      <c r="J872" s="19" t="inlineStr">
        <is>
          <t>1 Season</t>
        </is>
      </c>
      <c r="K872" s="19" t="inlineStr">
        <is>
          <t>International TV Shows, TV Action &amp; Adventure, TV Sci-Fi &amp; Fantasy</t>
        </is>
      </c>
      <c r="L872" s="19" t="inlineStr">
        <is>
          <t>Shy nerd Aryan learns soon after his 18th birthday that he has inherited superpowers, which he must use to vanquish a variety of evil threats.</t>
        </is>
      </c>
      <c r="M872" s="19" t="n">
        <v>2017</v>
      </c>
      <c r="N872" s="19">
        <f>IF(AND(OR(YearFilter="All",$M872=YearFilter),OR(RatingFilter="All",$I872=RatingFilter),OR(TypeFilter="All",$B872=TypeFilter),OR(GenreFilter="All",COUNTIFS(tblGenre[show_id],$A872,tblGenre[Genre],GenreFilter)&gt;0)),1,0)</f>
        <v/>
      </c>
    </row>
    <row r="873" ht="15" customHeight="1" s="20">
      <c r="A873" s="19" t="inlineStr">
        <is>
          <t>s7384</t>
        </is>
      </c>
      <c r="B873" s="19" t="inlineStr">
        <is>
          <t>TV Show</t>
        </is>
      </c>
      <c r="C873" s="19" t="inlineStr">
        <is>
          <t>Mahi Way</t>
        </is>
      </c>
      <c r="E873" s="19" t="inlineStr">
        <is>
          <t>Pushtii Shakti, Viraf Patel, Siddhant Karnick, Monica Khanna, Amrita Raichand, Suparna Marwah, Mark Farokh Parekh</t>
        </is>
      </c>
      <c r="F873" s="19" t="inlineStr">
        <is>
          <t>India</t>
        </is>
      </c>
      <c r="G873" s="19" t="inlineStr">
        <is>
          <t>2018-03-01</t>
        </is>
      </c>
      <c r="H873" s="19" t="n">
        <v>2010</v>
      </c>
      <c r="I873" s="19" t="inlineStr">
        <is>
          <t>TV-14</t>
        </is>
      </c>
      <c r="J873" s="19" t="inlineStr">
        <is>
          <t>1 Season</t>
        </is>
      </c>
      <c r="K873" s="19" t="inlineStr">
        <is>
          <t>International TV Shows, TV Comedies</t>
        </is>
      </c>
      <c r="L873" s="19" t="inlineStr">
        <is>
          <t>Though worried she's doomed to be single forever, Mahi embraces her vivacious and creative nature while working to tame her inner critic.</t>
        </is>
      </c>
      <c r="M873" s="19" t="n">
        <v>2018</v>
      </c>
      <c r="N873" s="19">
        <f>IF(AND(OR(YearFilter="All",$M873=YearFilter),OR(RatingFilter="All",$I873=RatingFilter),OR(TypeFilter="All",$B873=TypeFilter),OR(GenreFilter="All",COUNTIFS(tblGenre[show_id],$A873,tblGenre[Genre],GenreFilter)&gt;0)),1,0)</f>
        <v/>
      </c>
    </row>
    <row r="874" ht="15" customHeight="1" s="20">
      <c r="A874" s="19" t="inlineStr">
        <is>
          <t>s7387</t>
        </is>
      </c>
      <c r="B874" s="19" t="inlineStr">
        <is>
          <t>Movie</t>
        </is>
      </c>
      <c r="C874" s="19" t="inlineStr">
        <is>
          <t>Maine Pyaar Kyun Kiya</t>
        </is>
      </c>
      <c r="D874" s="19" t="inlineStr">
        <is>
          <t>David Dhawan</t>
        </is>
      </c>
      <c r="E874" s="19" t="inlineStr">
        <is>
          <t>Salman Khan, Sushmita Sen, Sohail Khan, Katrina Kaif, Arshad Warsi, Isha Koppikar, Rajpal Yadav, Beena Kak</t>
        </is>
      </c>
      <c r="F874" s="19" t="inlineStr">
        <is>
          <t>India</t>
        </is>
      </c>
      <c r="G874" s="19" t="inlineStr">
        <is>
          <t>2019-12-31</t>
        </is>
      </c>
      <c r="H874" s="19" t="n">
        <v>2005</v>
      </c>
      <c r="I874" s="19" t="inlineStr">
        <is>
          <t>TV-14</t>
        </is>
      </c>
      <c r="J874" s="19" t="inlineStr">
        <is>
          <t>137 min</t>
        </is>
      </c>
      <c r="K874" s="19" t="inlineStr">
        <is>
          <t>Comedies, International Movies, Music &amp; Musicals</t>
        </is>
      </c>
      <c r="L874" s="19" t="inlineStr">
        <is>
          <t>After lying to his girlfriend, orthopedic surgeon Samir must conjure up a pretend wife in this musical comedy.</t>
        </is>
      </c>
      <c r="M874" s="19" t="n">
        <v>2019</v>
      </c>
      <c r="N874" s="19">
        <f>IF(AND(OR(YearFilter="All",$M874=YearFilter),OR(RatingFilter="All",$I874=RatingFilter),OR(TypeFilter="All",$B874=TypeFilter),OR(GenreFilter="All",COUNTIFS(tblGenre[show_id],$A874,tblGenre[Genre],GenreFilter)&gt;0)),1,0)</f>
        <v/>
      </c>
    </row>
    <row r="875" ht="15" customHeight="1" s="20">
      <c r="A875" s="19" t="inlineStr">
        <is>
          <t>s7388</t>
        </is>
      </c>
      <c r="B875" s="19" t="inlineStr">
        <is>
          <t>Movie</t>
        </is>
      </c>
      <c r="C875" s="19" t="inlineStr">
        <is>
          <t>Maine Pyar Kiya</t>
        </is>
      </c>
      <c r="D875" s="19" t="inlineStr">
        <is>
          <t>Sooraj R. Barjatya</t>
        </is>
      </c>
      <c r="E875" s="19" t="inlineStr">
        <is>
          <t>Salman Khan, Bhagyashree, Alok Nath, Rajeev Verma, Reema Lagoo, Ajit Vachani, Harish Patel, Deep Dhillon, Pervin Dastur, Mohnish Bahl</t>
        </is>
      </c>
      <c r="F875" s="19" t="inlineStr">
        <is>
          <t>India</t>
        </is>
      </c>
      <c r="G875" s="19" t="inlineStr">
        <is>
          <t>2018-01-01</t>
        </is>
      </c>
      <c r="H875" s="19" t="n">
        <v>1989</v>
      </c>
      <c r="I875" s="19" t="inlineStr">
        <is>
          <t>TV-PG</t>
        </is>
      </c>
      <c r="J875" s="19" t="inlineStr">
        <is>
          <t>192 min</t>
        </is>
      </c>
      <c r="K875" s="19" t="inlineStr">
        <is>
          <t>Dramas, International Movies, Music &amp; Musicals</t>
        </is>
      </c>
      <c r="L875" s="19" t="inlineStr">
        <is>
          <t>When the son of a wealthy businessman and the daughter of a struggling engineer fall in love, the young man's parents question the girl's motives.</t>
        </is>
      </c>
      <c r="M875" s="19" t="n">
        <v>2018</v>
      </c>
      <c r="N875" s="19">
        <f>IF(AND(OR(YearFilter="All",$M875=YearFilter),OR(RatingFilter="All",$I875=RatingFilter),OR(TypeFilter="All",$B875=TypeFilter),OR(GenreFilter="All",COUNTIFS(tblGenre[show_id],$A875,tblGenre[Genre],GenreFilter)&gt;0)),1,0)</f>
        <v/>
      </c>
    </row>
    <row r="876" ht="15" customHeight="1" s="20">
      <c r="A876" s="19" t="inlineStr">
        <is>
          <t>s7389</t>
        </is>
      </c>
      <c r="B876" s="19" t="inlineStr">
        <is>
          <t>Movie</t>
        </is>
      </c>
      <c r="C876" s="19" t="inlineStr">
        <is>
          <t>Mala Kahich Problem Nahi</t>
        </is>
      </c>
      <c r="D876" s="19" t="inlineStr">
        <is>
          <t>Sameer Vidwans</t>
        </is>
      </c>
      <c r="E876" s="19" t="inlineStr">
        <is>
          <t>Gashmeer Mahajani, Spruha Joshi, Nirmiti Sawant, Vijay Nikam, Satish Alekar, Mangal Kenkre, Kamlesh Sawant, Seema Deshmukh</t>
        </is>
      </c>
      <c r="F876" s="19" t="inlineStr">
        <is>
          <t>India</t>
        </is>
      </c>
      <c r="G876" s="19" t="inlineStr">
        <is>
          <t>2018-11-15</t>
        </is>
      </c>
      <c r="H876" s="19" t="n">
        <v>2017</v>
      </c>
      <c r="I876" s="19" t="inlineStr">
        <is>
          <t>TV-PG</t>
        </is>
      </c>
      <c r="J876" s="19" t="inlineStr">
        <is>
          <t>132 min</t>
        </is>
      </c>
      <c r="K876" s="19" t="inlineStr">
        <is>
          <t>Dramas, International Movies</t>
        </is>
      </c>
      <c r="L876" s="19" t="inlineStr">
        <is>
          <t>With their relationship running on autopilot, a discontent husband and wife must confront their issues while on a trip with the extended family.</t>
        </is>
      </c>
      <c r="M876" s="19" t="n">
        <v>2018</v>
      </c>
      <c r="N876" s="19">
        <f>IF(AND(OR(YearFilter="All",$M876=YearFilter),OR(RatingFilter="All",$I876=RatingFilter),OR(TypeFilter="All",$B876=TypeFilter),OR(GenreFilter="All",COUNTIFS(tblGenre[show_id],$A876,tblGenre[Genre],GenreFilter)&gt;0)),1,0)</f>
        <v/>
      </c>
    </row>
    <row r="877" ht="15" customHeight="1" s="20">
      <c r="A877" s="19" t="inlineStr">
        <is>
          <t>s7394</t>
        </is>
      </c>
      <c r="B877" s="19" t="inlineStr">
        <is>
          <t>Movie</t>
        </is>
      </c>
      <c r="C877" s="19" t="inlineStr">
        <is>
          <t>Mandi</t>
        </is>
      </c>
      <c r="D877" s="19" t="inlineStr">
        <is>
          <t>Shyam Benegal</t>
        </is>
      </c>
      <c r="E877" s="19" t="inlineStr">
        <is>
          <t>Shabana Azmi, Smita Patil, Naseeruddin Shah, Amrish Puri, Kulbhushan Kharbanda, Saeed Jaffrey, Om Puri, Sreela Mazumdar, Neena Gupta</t>
        </is>
      </c>
      <c r="F877" s="19" t="inlineStr">
        <is>
          <t>India</t>
        </is>
      </c>
      <c r="G877" s="19" t="inlineStr">
        <is>
          <t>2020-01-01</t>
        </is>
      </c>
      <c r="H877" s="19" t="n">
        <v>1983</v>
      </c>
      <c r="I877" s="19" t="inlineStr">
        <is>
          <t>TV-MA</t>
        </is>
      </c>
      <c r="J877" s="19" t="inlineStr">
        <is>
          <t>155 min</t>
        </is>
      </c>
      <c r="K877" s="19" t="inlineStr">
        <is>
          <t>Dramas, Independent Movies, International Movies</t>
        </is>
      </c>
      <c r="L877" s="19" t="inlineStr">
        <is>
          <t>Forbidden love, fraying loyalties and flagrant hypocrisy emerge when sanctimonious politicians drive a madam’s brothel from the heart of Hyderabad.</t>
        </is>
      </c>
      <c r="M877" s="19" t="n">
        <v>2020</v>
      </c>
      <c r="N877" s="19">
        <f>IF(AND(OR(YearFilter="All",$M877=YearFilter),OR(RatingFilter="All",$I877=RatingFilter),OR(TypeFilter="All",$B877=TypeFilter),OR(GenreFilter="All",COUNTIFS(tblGenre[show_id],$A877,tblGenre[Genre],GenreFilter)&gt;0)),1,0)</f>
        <v/>
      </c>
    </row>
    <row r="878" ht="15" customHeight="1" s="20">
      <c r="A878" s="19" t="inlineStr">
        <is>
          <t>s7395</t>
        </is>
      </c>
      <c r="B878" s="19" t="inlineStr">
        <is>
          <t>Movie</t>
        </is>
      </c>
      <c r="C878" s="19" t="inlineStr">
        <is>
          <t>Mandobasar Galpo</t>
        </is>
      </c>
      <c r="D878" s="19" t="inlineStr">
        <is>
          <t>Tathagata Banerjee</t>
        </is>
      </c>
      <c r="E878" s="19" t="inlineStr">
        <is>
          <t>Paoli Dam, Parambrata Chattopadhyay, Indrasish Roy, Koushik Sen, Biswajit Chakraborty</t>
        </is>
      </c>
      <c r="F878" s="19" t="inlineStr">
        <is>
          <t>India</t>
        </is>
      </c>
      <c r="G878" s="19" t="inlineStr">
        <is>
          <t>2018-04-01</t>
        </is>
      </c>
      <c r="H878" s="19" t="n">
        <v>2017</v>
      </c>
      <c r="I878" s="19" t="inlineStr">
        <is>
          <t>TV-14</t>
        </is>
      </c>
      <c r="J878" s="19" t="inlineStr">
        <is>
          <t>103 min</t>
        </is>
      </c>
      <c r="K878" s="19" t="inlineStr">
        <is>
          <t>Dramas, International Movies, Romantic Movies</t>
        </is>
      </c>
      <c r="L878" s="19" t="inlineStr">
        <is>
          <t>With the assistance of a psychiatrist, an acclaimed filmmaker struggles to come to terms with a mysterious romantic trauma.</t>
        </is>
      </c>
      <c r="M878" s="19" t="n">
        <v>2018</v>
      </c>
      <c r="N878" s="19">
        <f>IF(AND(OR(YearFilter="All",$M878=YearFilter),OR(RatingFilter="All",$I878=RatingFilter),OR(TypeFilter="All",$B878=TypeFilter),OR(GenreFilter="All",COUNTIFS(tblGenre[show_id],$A878,tblGenre[Genre],GenreFilter)&gt;0)),1,0)</f>
        <v/>
      </c>
    </row>
    <row r="879" ht="15" customHeight="1" s="20">
      <c r="A879" s="19" t="inlineStr">
        <is>
          <t>s7401</t>
        </is>
      </c>
      <c r="B879" s="19" t="inlineStr">
        <is>
          <t>Movie</t>
        </is>
      </c>
      <c r="C879" s="19" t="inlineStr">
        <is>
          <t>Mantostaan</t>
        </is>
      </c>
      <c r="D879" s="19" t="inlineStr">
        <is>
          <t>Rahat Kazmi</t>
        </is>
      </c>
      <c r="E879" s="19" t="inlineStr">
        <is>
          <t>Raghuvir Yadav, Veerendra Saxena, Sonal Sehgal, Aaditya Pratap Singh, Rahat Kazmi, Raina Bassnet, Sakshi Bhat</t>
        </is>
      </c>
      <c r="F879" s="19" t="inlineStr">
        <is>
          <t>India</t>
        </is>
      </c>
      <c r="G879" s="19" t="inlineStr">
        <is>
          <t>2017-12-15</t>
        </is>
      </c>
      <c r="H879" s="19" t="n">
        <v>2017</v>
      </c>
      <c r="I879" s="19" t="inlineStr">
        <is>
          <t>TV-MA</t>
        </is>
      </c>
      <c r="J879" s="19" t="inlineStr">
        <is>
          <t>75 min</t>
        </is>
      </c>
      <c r="K879" s="19" t="inlineStr">
        <is>
          <t>Dramas, Independent Movies, International Movies</t>
        </is>
      </c>
      <c r="L879" s="19" t="inlineStr">
        <is>
          <t>Four stories by writer Sadaat Hasan Manto culminate in a single gruesome drama that's set during the partitioning of the Indian subcontinent.</t>
        </is>
      </c>
      <c r="M879" s="19" t="n">
        <v>2017</v>
      </c>
      <c r="N879" s="19">
        <f>IF(AND(OR(YearFilter="All",$M879=YearFilter),OR(RatingFilter="All",$I879=RatingFilter),OR(TypeFilter="All",$B879=TypeFilter),OR(GenreFilter="All",COUNTIFS(tblGenre[show_id],$A879,tblGenre[Genre],GenreFilter)&gt;0)),1,0)</f>
        <v/>
      </c>
    </row>
    <row r="880" ht="15" customHeight="1" s="20">
      <c r="A880" s="19" t="inlineStr">
        <is>
          <t>s7402</t>
        </is>
      </c>
      <c r="B880" s="19" t="inlineStr">
        <is>
          <t>Movie</t>
        </is>
      </c>
      <c r="C880" s="19" t="inlineStr">
        <is>
          <t>Mantra</t>
        </is>
      </c>
      <c r="D880" s="19" t="inlineStr">
        <is>
          <t>Nicholas Kharkongor</t>
        </is>
      </c>
      <c r="E880" s="19" t="inlineStr">
        <is>
          <t>Rajat Kapoor, Lushin Dubey, Kalki Koechlin, Shiv Pandit, Adil Hussain, Rohan Joshi, Yuri Suri, Maya Krishna Rao</t>
        </is>
      </c>
      <c r="F880" s="19" t="inlineStr">
        <is>
          <t>India</t>
        </is>
      </c>
      <c r="G880" s="19" t="inlineStr">
        <is>
          <t>2017-12-15</t>
        </is>
      </c>
      <c r="H880" s="19" t="n">
        <v>2017</v>
      </c>
      <c r="I880" s="19" t="inlineStr">
        <is>
          <t>TV-14</t>
        </is>
      </c>
      <c r="J880" s="19" t="inlineStr">
        <is>
          <t>89 min</t>
        </is>
      </c>
      <c r="K880" s="19" t="inlineStr">
        <is>
          <t>Dramas, Independent Movies, International Movies</t>
        </is>
      </c>
      <c r="L880" s="19" t="inlineStr">
        <is>
          <t>An Indian business owner struggles to keep his company afloat amid global competition while trying to make up for lost time with his family.</t>
        </is>
      </c>
      <c r="M880" s="19" t="n">
        <v>2017</v>
      </c>
      <c r="N880" s="19">
        <f>IF(AND(OR(YearFilter="All",$M880=YearFilter),OR(RatingFilter="All",$I880=RatingFilter),OR(TypeFilter="All",$B880=TypeFilter),OR(GenreFilter="All",COUNTIFS(tblGenre[show_id],$A880,tblGenre[Genre],GenreFilter)&gt;0)),1,0)</f>
        <v/>
      </c>
    </row>
    <row r="881" ht="15" customHeight="1" s="20">
      <c r="A881" s="19" t="inlineStr">
        <is>
          <t>s7408</t>
        </is>
      </c>
      <c r="B881" s="19" t="inlineStr">
        <is>
          <t>Movie</t>
        </is>
      </c>
      <c r="C881" s="19" t="inlineStr">
        <is>
          <t>Maroon</t>
        </is>
      </c>
      <c r="D881" s="19" t="inlineStr">
        <is>
          <t>Pulkit</t>
        </is>
      </c>
      <c r="E881" s="19" t="inlineStr">
        <is>
          <t>Manav Kaul, Devyani Cm, Saurabh Sachdeva, Sarika Singh, Suneel Sinha, Sumeet Vyas</t>
        </is>
      </c>
      <c r="F881" s="19" t="inlineStr">
        <is>
          <t>India</t>
        </is>
      </c>
      <c r="G881" s="19" t="inlineStr">
        <is>
          <t>2017-02-01</t>
        </is>
      </c>
      <c r="H881" s="19" t="n">
        <v>2016</v>
      </c>
      <c r="I881" s="19" t="inlineStr">
        <is>
          <t>TV-MA</t>
        </is>
      </c>
      <c r="J881" s="19" t="inlineStr">
        <is>
          <t>94 min</t>
        </is>
      </c>
      <c r="K881" s="19" t="inlineStr">
        <is>
          <t>Dramas, Independent Movies, International Movies</t>
        </is>
      </c>
      <c r="L881" s="19" t="inlineStr">
        <is>
          <t>When his wife goes missing, university professor Saurabh remains at home while the police investigate, but his grip on reality loosens as days pass.</t>
        </is>
      </c>
      <c r="M881" s="19" t="n">
        <v>2017</v>
      </c>
      <c r="N881" s="19">
        <f>IF(AND(OR(YearFilter="All",$M881=YearFilter),OR(RatingFilter="All",$I881=RatingFilter),OR(TypeFilter="All",$B881=TypeFilter),OR(GenreFilter="All",COUNTIFS(tblGenre[show_id],$A881,tblGenre[Genre],GenreFilter)&gt;0)),1,0)</f>
        <v/>
      </c>
    </row>
    <row r="882" ht="15" customHeight="1" s="20">
      <c r="A882" s="19" t="inlineStr">
        <is>
          <t>s7414</t>
        </is>
      </c>
      <c r="B882" s="19" t="inlineStr">
        <is>
          <t>Movie</t>
        </is>
      </c>
      <c r="C882" s="19" t="inlineStr">
        <is>
          <t>Martyrs of Marriage</t>
        </is>
      </c>
      <c r="D882" s="19" t="inlineStr">
        <is>
          <t>Deepika Narayan Bhardwaj</t>
        </is>
      </c>
      <c r="F882" s="19" t="inlineStr">
        <is>
          <t>India</t>
        </is>
      </c>
      <c r="G882" s="19" t="inlineStr">
        <is>
          <t>2018-03-15</t>
        </is>
      </c>
      <c r="H882" s="19" t="n">
        <v>2016</v>
      </c>
      <c r="I882" s="19" t="inlineStr">
        <is>
          <t>TV-14</t>
        </is>
      </c>
      <c r="J882" s="19" t="inlineStr">
        <is>
          <t>83 min</t>
        </is>
      </c>
      <c r="K882" s="19" t="inlineStr">
        <is>
          <t>Documentaries, International Movies</t>
        </is>
      </c>
      <c r="L882" s="19" t="inlineStr">
        <is>
          <t>This documentary reveals the cracks in India's anti-dowry act and gives voice to both women and men who've been victimized by the law's abusers.</t>
        </is>
      </c>
      <c r="M882" s="19" t="n">
        <v>2018</v>
      </c>
      <c r="N882" s="19">
        <f>IF(AND(OR(YearFilter="All",$M882=YearFilter),OR(RatingFilter="All",$I882=RatingFilter),OR(TypeFilter="All",$B882=TypeFilter),OR(GenreFilter="All",COUNTIFS(tblGenre[show_id],$A882,tblGenre[Genre],GenreFilter)&gt;0)),1,0)</f>
        <v/>
      </c>
    </row>
    <row r="883" ht="15" customHeight="1" s="20">
      <c r="A883" s="19" t="inlineStr">
        <is>
          <t>s7420</t>
        </is>
      </c>
      <c r="B883" s="19" t="inlineStr">
        <is>
          <t>Movie</t>
        </is>
      </c>
      <c r="C883" s="19" t="inlineStr">
        <is>
          <t>Masoom</t>
        </is>
      </c>
      <c r="D883" s="19" t="inlineStr">
        <is>
          <t>Shekhar Kapur</t>
        </is>
      </c>
      <c r="E883" s="19" t="inlineStr">
        <is>
          <t>Shabana Azmi, Naseeruddin Shah, Saeed Jaffrey, Jugal Hansraj, Urmila Matondkar, Aradhana Srivastav, Tanuja, Supriya Pathak</t>
        </is>
      </c>
      <c r="F883" s="19" t="inlineStr">
        <is>
          <t>India</t>
        </is>
      </c>
      <c r="G883" s="19" t="inlineStr">
        <is>
          <t>2019-12-31</t>
        </is>
      </c>
      <c r="H883" s="19" t="n">
        <v>1983</v>
      </c>
      <c r="I883" s="19" t="inlineStr">
        <is>
          <t>TV-14</t>
        </is>
      </c>
      <c r="J883" s="19" t="inlineStr">
        <is>
          <t>138 min</t>
        </is>
      </c>
      <c r="K883" s="19" t="inlineStr">
        <is>
          <t>Dramas, Independent Movies, International Movies</t>
        </is>
      </c>
      <c r="L883" s="19" t="inlineStr">
        <is>
          <t>A loving husband and father's joyful family life is rocked to its core upon the discovery that he has a young son borne from a past extramarital affair.</t>
        </is>
      </c>
      <c r="M883" s="19" t="n">
        <v>2019</v>
      </c>
      <c r="N883" s="19">
        <f>IF(AND(OR(YearFilter="All",$M883=YearFilter),OR(RatingFilter="All",$I883=RatingFilter),OR(TypeFilter="All",$B883=TypeFilter),OR(GenreFilter="All",COUNTIFS(tblGenre[show_id],$A883,tblGenre[Genre],GenreFilter)&gt;0)),1,0)</f>
        <v/>
      </c>
    </row>
    <row r="884" ht="15" customHeight="1" s="20">
      <c r="A884" s="19" t="inlineStr">
        <is>
          <t>s7423</t>
        </is>
      </c>
      <c r="B884" s="19" t="inlineStr">
        <is>
          <t>Movie</t>
        </is>
      </c>
      <c r="C884" s="19" t="inlineStr">
        <is>
          <t>Matichya Chuli</t>
        </is>
      </c>
      <c r="D884" s="19" t="inlineStr">
        <is>
          <t>Sudesh Manjrekar, Atul Kale</t>
        </is>
      </c>
      <c r="E884" s="19" t="inlineStr">
        <is>
          <t>Sudhir Joshi, Vandana Gupte, Ankush Chaudhari, Madhura Velankar, Sanjay Mone, Anand Abhyankar</t>
        </is>
      </c>
      <c r="F884" s="19" t="inlineStr">
        <is>
          <t>India</t>
        </is>
      </c>
      <c r="G884" s="19" t="inlineStr">
        <is>
          <t>2018-02-15</t>
        </is>
      </c>
      <c r="H884" s="19" t="n">
        <v>2006</v>
      </c>
      <c r="I884" s="19" t="inlineStr">
        <is>
          <t>TV-14</t>
        </is>
      </c>
      <c r="J884" s="19" t="inlineStr">
        <is>
          <t>132 min</t>
        </is>
      </c>
      <c r="K884" s="19" t="inlineStr">
        <is>
          <t>Comedies, Dramas, International Movies</t>
        </is>
      </c>
      <c r="L884" s="19" t="inlineStr">
        <is>
          <t>A jealous, possessive mother thinks she is competing with her new daughter-in-law for the affections of her overindulged son.</t>
        </is>
      </c>
      <c r="M884" s="19" t="n">
        <v>2018</v>
      </c>
      <c r="N884" s="19">
        <f>IF(AND(OR(YearFilter="All",$M884=YearFilter),OR(RatingFilter="All",$I884=RatingFilter),OR(TypeFilter="All",$B884=TypeFilter),OR(GenreFilter="All",COUNTIFS(tblGenre[show_id],$A884,tblGenre[Genre],GenreFilter)&gt;0)),1,0)</f>
        <v/>
      </c>
    </row>
    <row r="885" ht="15" customHeight="1" s="20">
      <c r="A885" s="19" t="inlineStr">
        <is>
          <t>s7429</t>
        </is>
      </c>
      <c r="B885" s="19" t="inlineStr">
        <is>
          <t>Movie</t>
        </is>
      </c>
      <c r="C885" s="19" t="inlineStr">
        <is>
          <t>Maza Pati Karodpati</t>
        </is>
      </c>
      <c r="D885" s="19" t="inlineStr">
        <is>
          <t>Sachin</t>
        </is>
      </c>
      <c r="E885" s="19" t="inlineStr">
        <is>
          <t>Sachin, Supriya Pilgaonkar, Ashok Saraf, Kishori Shahane, Suhas Bhalekar, Manchindra Kamble, Jairam Kulkarni, Nilu Phule, Shubha Khote</t>
        </is>
      </c>
      <c r="F885" s="19" t="inlineStr">
        <is>
          <t>India</t>
        </is>
      </c>
      <c r="G885" s="19" t="inlineStr">
        <is>
          <t>2018-01-01</t>
        </is>
      </c>
      <c r="H885" s="19" t="n">
        <v>1988</v>
      </c>
      <c r="I885" s="19" t="inlineStr">
        <is>
          <t>TV-PG</t>
        </is>
      </c>
      <c r="J885" s="19" t="inlineStr">
        <is>
          <t>132 min</t>
        </is>
      </c>
      <c r="K885" s="19" t="inlineStr">
        <is>
          <t>Comedies, International Movies, Romantic Movies</t>
        </is>
      </c>
      <c r="L885" s="19" t="inlineStr">
        <is>
          <t>An orphan girl who has ambitions of marrying a rich man changes her identity to win the heart of a prominent businessman's son.</t>
        </is>
      </c>
      <c r="M885" s="19" t="n">
        <v>2018</v>
      </c>
      <c r="N885" s="19">
        <f>IF(AND(OR(YearFilter="All",$M885=YearFilter),OR(RatingFilter="All",$I885=RatingFilter),OR(TypeFilter="All",$B885=TypeFilter),OR(GenreFilter="All",COUNTIFS(tblGenre[show_id],$A885,tblGenre[Genre],GenreFilter)&gt;0)),1,0)</f>
        <v/>
      </c>
    </row>
    <row r="886" ht="15" customHeight="1" s="20">
      <c r="A886" s="19" t="inlineStr">
        <is>
          <t>s7438</t>
        </is>
      </c>
      <c r="B886" s="19" t="inlineStr">
        <is>
          <t>Movie</t>
        </is>
      </c>
      <c r="C886" s="19" t="inlineStr">
        <is>
          <t>Melle</t>
        </is>
      </c>
      <c r="D886" s="19" t="inlineStr">
        <is>
          <t>Binu Ulahhannan</t>
        </is>
      </c>
      <c r="E886" s="19" t="inlineStr">
        <is>
          <t>Amith Chakalakkal, Thanuja Karthik, Joy Mathew, Joju George, Krishna Prabha, Ambika Mohan, P. Balachandran, Illikkett Namboothiri</t>
        </is>
      </c>
      <c r="F886" s="19" t="inlineStr">
        <is>
          <t>India</t>
        </is>
      </c>
      <c r="G886" s="19" t="inlineStr">
        <is>
          <t>2018-08-01</t>
        </is>
      </c>
      <c r="H886" s="19" t="n">
        <v>2017</v>
      </c>
      <c r="I886" s="19" t="inlineStr">
        <is>
          <t>TV-PG</t>
        </is>
      </c>
      <c r="J886" s="19" t="inlineStr">
        <is>
          <t>110 min</t>
        </is>
      </c>
      <c r="K886" s="19" t="inlineStr">
        <is>
          <t>Dramas, International Movies, Romantic Movies</t>
        </is>
      </c>
      <c r="L886" s="19" t="inlineStr">
        <is>
          <t>After recovering from a tragic experience, a young woman makes a journey to her father's homeland and falls in love with a kind-hearted doctor.</t>
        </is>
      </c>
      <c r="M886" s="19" t="n">
        <v>2018</v>
      </c>
      <c r="N886" s="19">
        <f>IF(AND(OR(YearFilter="All",$M886=YearFilter),OR(RatingFilter="All",$I886=RatingFilter),OR(TypeFilter="All",$B886=TypeFilter),OR(GenreFilter="All",COUNTIFS(tblGenre[show_id],$A886,tblGenre[Genre],GenreFilter)&gt;0)),1,0)</f>
        <v/>
      </c>
    </row>
    <row r="887" ht="15" customHeight="1" s="20">
      <c r="A887" s="19" t="inlineStr">
        <is>
          <t>s7451</t>
        </is>
      </c>
      <c r="B887" s="19" t="inlineStr">
        <is>
          <t>Movie</t>
        </is>
      </c>
      <c r="C887" s="19" t="inlineStr">
        <is>
          <t>Mi Shivajiraje Bhosale Boltoy</t>
        </is>
      </c>
      <c r="D887" s="19" t="inlineStr">
        <is>
          <t>Santosh Manjrekar</t>
        </is>
      </c>
      <c r="E887" s="19" t="inlineStr">
        <is>
          <t>Sachin Khedekar, Mahesh Manjrekar, Makarand Anaspure, Suchitra Bandekar, Siddharth Jadhav, Priya Bapat, Abhijit Kelkar, Ganesh Yadav, Reema Lagoo, Vidyadhar Joshi</t>
        </is>
      </c>
      <c r="F887" s="19" t="inlineStr">
        <is>
          <t>India</t>
        </is>
      </c>
      <c r="G887" s="19" t="inlineStr">
        <is>
          <t>2018-01-01</t>
        </is>
      </c>
      <c r="H887" s="19" t="n">
        <v>2009</v>
      </c>
      <c r="I887" s="19" t="inlineStr">
        <is>
          <t>TV-14</t>
        </is>
      </c>
      <c r="J887" s="19" t="inlineStr">
        <is>
          <t>148 min</t>
        </is>
      </c>
      <c r="K887" s="19" t="inlineStr">
        <is>
          <t>Comedies, International Movies, Sci-Fi &amp; Fantasy</t>
        </is>
      </c>
      <c r="L887" s="19" t="inlineStr">
        <is>
          <t>After a disgruntled man blames his Marathi heritage for his lack of his success, he is visited by Shivaji, a great medieval Marathi king.</t>
        </is>
      </c>
      <c r="M887" s="19" t="n">
        <v>2018</v>
      </c>
      <c r="N887" s="19">
        <f>IF(AND(OR(YearFilter="All",$M887=YearFilter),OR(RatingFilter="All",$I887=RatingFilter),OR(TypeFilter="All",$B887=TypeFilter),OR(GenreFilter="All",COUNTIFS(tblGenre[show_id],$A887,tblGenre[Genre],GenreFilter)&gt;0)),1,0)</f>
        <v/>
      </c>
    </row>
    <row r="888" ht="15" customHeight="1" s="20">
      <c r="A888" s="19" t="inlineStr">
        <is>
          <t>s7454</t>
        </is>
      </c>
      <c r="B888" s="19" t="inlineStr">
        <is>
          <t>TV Show</t>
        </is>
      </c>
      <c r="C888" s="19" t="inlineStr">
        <is>
          <t>Midnight Misadventures With Mallika Dua</t>
        </is>
      </c>
      <c r="E888" s="19" t="inlineStr">
        <is>
          <t>Mallika Dua</t>
        </is>
      </c>
      <c r="F888" s="19" t="inlineStr">
        <is>
          <t>India</t>
        </is>
      </c>
      <c r="G888" s="19" t="inlineStr">
        <is>
          <t>2019-04-01</t>
        </is>
      </c>
      <c r="H888" s="19" t="n">
        <v>2018</v>
      </c>
      <c r="I888" s="19" t="inlineStr">
        <is>
          <t>TV-14</t>
        </is>
      </c>
      <c r="J888" s="19" t="inlineStr">
        <is>
          <t>1 Season</t>
        </is>
      </c>
      <c r="K888" s="19" t="inlineStr">
        <is>
          <t>International TV Shows, Stand-Up Comedy &amp; Talk Shows, TV Comedies</t>
        </is>
      </c>
      <c r="L888" s="19" t="inlineStr">
        <is>
          <t>In this talk show, comedian Mallika Dua serves up big laughs as Shalishka and whips up a meal with her celebrity pals who dish on their diets and lives.</t>
        </is>
      </c>
      <c r="M888" s="19" t="n">
        <v>2019</v>
      </c>
      <c r="N888" s="19">
        <f>IF(AND(OR(YearFilter="All",$M888=YearFilter),OR(RatingFilter="All",$I888=RatingFilter),OR(TypeFilter="All",$B888=TypeFilter),OR(GenreFilter="All",COUNTIFS(tblGenre[show_id],$A888,tblGenre[Genre],GenreFilter)&gt;0)),1,0)</f>
        <v/>
      </c>
    </row>
    <row r="889" ht="15" customHeight="1" s="20">
      <c r="A889" s="19" t="inlineStr">
        <is>
          <t>s7459</t>
        </is>
      </c>
      <c r="B889" s="19" t="inlineStr">
        <is>
          <t>Movie</t>
        </is>
      </c>
      <c r="C889" s="19" t="inlineStr">
        <is>
          <t>Minnaminugu the FireFly</t>
        </is>
      </c>
      <c r="D889" s="19" t="inlineStr">
        <is>
          <t>Anil Thomas</t>
        </is>
      </c>
      <c r="E889" s="19" t="inlineStr">
        <is>
          <t>Surabhi Lakshmi, Krishnan Balakrishnan, Rebecca Santhosh, Prem Prakash, Archana Padmini</t>
        </is>
      </c>
      <c r="F889" s="19" t="inlineStr">
        <is>
          <t>India</t>
        </is>
      </c>
      <c r="G889" s="19" t="inlineStr">
        <is>
          <t>2018-08-01</t>
        </is>
      </c>
      <c r="H889" s="19" t="n">
        <v>2017</v>
      </c>
      <c r="I889" s="19" t="inlineStr">
        <is>
          <t>TV-14</t>
        </is>
      </c>
      <c r="J889" s="19" t="inlineStr">
        <is>
          <t>128 min</t>
        </is>
      </c>
      <c r="K889" s="19" t="inlineStr">
        <is>
          <t>Dramas, International Movies</t>
        </is>
      </c>
      <c r="L889" s="19" t="inlineStr">
        <is>
          <t>A nameless widow juggles multiple jobs to support her daughter’s decision to study abroad, only to discover that she has other plans.</t>
        </is>
      </c>
      <c r="M889" s="19" t="n">
        <v>2018</v>
      </c>
      <c r="N889" s="19">
        <f>IF(AND(OR(YearFilter="All",$M889=YearFilter),OR(RatingFilter="All",$I889=RatingFilter),OR(TypeFilter="All",$B889=TypeFilter),OR(GenreFilter="All",COUNTIFS(tblGenre[show_id],$A889,tblGenre[Genre],GenreFilter)&gt;0)),1,0)</f>
        <v/>
      </c>
    </row>
    <row r="890" ht="15" customHeight="1" s="20">
      <c r="A890" s="19" t="inlineStr">
        <is>
          <t>s7463</t>
        </is>
      </c>
      <c r="B890" s="19" t="inlineStr">
        <is>
          <t>Movie</t>
        </is>
      </c>
      <c r="C890" s="19" t="inlineStr">
        <is>
          <t>Mirzya</t>
        </is>
      </c>
      <c r="D890" s="19" t="inlineStr">
        <is>
          <t>Rakeysh Omprakash Mehra</t>
        </is>
      </c>
      <c r="E890" s="19" t="inlineStr">
        <is>
          <t>Harshvardhan Kapoor, Saiyami Kher, Anuj Choudhry, Art Malik, Om Puri, K.K. Raina, Anjali Patil</t>
        </is>
      </c>
      <c r="F890" s="19" t="inlineStr">
        <is>
          <t>India</t>
        </is>
      </c>
      <c r="G890" s="19" t="inlineStr">
        <is>
          <t>2017-02-20</t>
        </is>
      </c>
      <c r="H890" s="19" t="n">
        <v>2016</v>
      </c>
      <c r="I890" s="19" t="inlineStr">
        <is>
          <t>TV-MA</t>
        </is>
      </c>
      <c r="J890" s="19" t="inlineStr">
        <is>
          <t>129 min</t>
        </is>
      </c>
      <c r="K890" s="19" t="inlineStr">
        <is>
          <t>Dramas, International Movies, Music &amp; Musicals</t>
        </is>
      </c>
      <c r="L890" s="19" t="inlineStr">
        <is>
          <t>A modern love story is connected to an ancient folk tale as star-crossed lovers from different social classes are kept apart by their families.</t>
        </is>
      </c>
      <c r="M890" s="19" t="n">
        <v>2017</v>
      </c>
      <c r="N890" s="19">
        <f>IF(AND(OR(YearFilter="All",$M890=YearFilter),OR(RatingFilter="All",$I890=RatingFilter),OR(TypeFilter="All",$B890=TypeFilter),OR(GenreFilter="All",COUNTIFS(tblGenre[show_id],$A890,tblGenre[Genre],GenreFilter)&gt;0)),1,0)</f>
        <v/>
      </c>
    </row>
    <row r="891" ht="15" customHeight="1" s="20">
      <c r="A891" s="19" t="inlineStr">
        <is>
          <t>s7476</t>
        </is>
      </c>
      <c r="B891" s="19" t="inlineStr">
        <is>
          <t>Movie</t>
        </is>
      </c>
      <c r="C891" s="19" t="inlineStr">
        <is>
          <t>Moh Maya Money</t>
        </is>
      </c>
      <c r="D891" s="19" t="inlineStr">
        <is>
          <t>Munish Bhardwaj</t>
        </is>
      </c>
      <c r="E891" s="19" t="inlineStr">
        <is>
          <t>Ranvir Shorey, Neha Dhupia, Devendra Chowhan, Ashwath Bhatt, Vidushi Mehra, Anant Raina</t>
        </is>
      </c>
      <c r="F891" s="19" t="inlineStr">
        <is>
          <t>India</t>
        </is>
      </c>
      <c r="G891" s="19" t="inlineStr">
        <is>
          <t>2017-05-01</t>
        </is>
      </c>
      <c r="H891" s="19" t="n">
        <v>2016</v>
      </c>
      <c r="I891" s="19" t="inlineStr">
        <is>
          <t>TV-MA</t>
        </is>
      </c>
      <c r="J891" s="19" t="inlineStr">
        <is>
          <t>109 min</t>
        </is>
      </c>
      <c r="K891" s="19" t="inlineStr">
        <is>
          <t>Dramas, Independent Movies, International Movies</t>
        </is>
      </c>
      <c r="L891" s="19" t="inlineStr">
        <is>
          <t>After investing in a shady deal that quickly falls apart, a morally flexible real estate agent involves his wife in a dangerous recovery plan.</t>
        </is>
      </c>
      <c r="M891" s="19" t="n">
        <v>2017</v>
      </c>
      <c r="N891" s="19">
        <f>IF(AND(OR(YearFilter="All",$M891=YearFilter),OR(RatingFilter="All",$I891=RatingFilter),OR(TypeFilter="All",$B891=TypeFilter),OR(GenreFilter="All",COUNTIFS(tblGenre[show_id],$A891,tblGenre[Genre],GenreFilter)&gt;0)),1,0)</f>
        <v/>
      </c>
    </row>
    <row r="892" ht="15" customHeight="1" s="20">
      <c r="A892" s="19" t="inlineStr">
        <is>
          <t>s7513</t>
        </is>
      </c>
      <c r="B892" s="19" t="inlineStr">
        <is>
          <t>Movie</t>
        </is>
      </c>
      <c r="C892" s="19" t="inlineStr">
        <is>
          <t>Morya</t>
        </is>
      </c>
      <c r="D892" s="19" t="inlineStr">
        <is>
          <t>Avadhoot Gupte</t>
        </is>
      </c>
      <c r="E892" s="19" t="inlineStr">
        <is>
          <t>Santosh Juvekar, Chinmay Mandlekar, Pari Telang, S. Joshi, Dilip Prabhavalkar, Ganesh Yadav, Pushkar Shrotri</t>
        </is>
      </c>
      <c r="F892" s="19" t="inlineStr">
        <is>
          <t>India</t>
        </is>
      </c>
      <c r="G892" s="19" t="inlineStr">
        <is>
          <t>2018-02-15</t>
        </is>
      </c>
      <c r="H892" s="19" t="n">
        <v>2011</v>
      </c>
      <c r="I892" s="19" t="inlineStr">
        <is>
          <t>TV-14</t>
        </is>
      </c>
      <c r="J892" s="19" t="inlineStr">
        <is>
          <t>121 min</t>
        </is>
      </c>
      <c r="K892" s="19" t="inlineStr">
        <is>
          <t>Dramas, International Movies</t>
        </is>
      </c>
      <c r="L892" s="19" t="inlineStr">
        <is>
          <t>Two communities in Mumbai get a final chance to compete with each other in the celebration of the iconic Ganesh Chaturthi festival.</t>
        </is>
      </c>
      <c r="M892" s="19" t="n">
        <v>2018</v>
      </c>
      <c r="N892" s="19">
        <f>IF(AND(OR(YearFilter="All",$M892=YearFilter),OR(RatingFilter="All",$I892=RatingFilter),OR(TypeFilter="All",$B892=TypeFilter),OR(GenreFilter="All",COUNTIFS(tblGenre[show_id],$A892,tblGenre[Genre],GenreFilter)&gt;0)),1,0)</f>
        <v/>
      </c>
    </row>
    <row r="893" ht="15" customHeight="1" s="20">
      <c r="A893" s="19" t="inlineStr">
        <is>
          <t>s7514</t>
        </is>
      </c>
      <c r="B893" s="19" t="inlineStr">
        <is>
          <t>Movie</t>
        </is>
      </c>
      <c r="C893" s="19" t="inlineStr">
        <is>
          <t>Motu Patlu: King of Kings</t>
        </is>
      </c>
      <c r="D893" s="19" t="inlineStr">
        <is>
          <t>Suhas Kadav</t>
        </is>
      </c>
      <c r="E893" s="19" t="inlineStr">
        <is>
          <t>Saurav Chakrabarty, Vinay Pathak</t>
        </is>
      </c>
      <c r="F893" s="19" t="inlineStr">
        <is>
          <t>India</t>
        </is>
      </c>
      <c r="G893" s="19" t="inlineStr">
        <is>
          <t>2017-07-06</t>
        </is>
      </c>
      <c r="H893" s="19" t="n">
        <v>2016</v>
      </c>
      <c r="I893" s="19" t="inlineStr">
        <is>
          <t>TV-Y7-FV</t>
        </is>
      </c>
      <c r="J893" s="19" t="inlineStr">
        <is>
          <t>109 min</t>
        </is>
      </c>
      <c r="K893" s="19" t="inlineStr">
        <is>
          <t>Children &amp; Family Movies, Comedies</t>
        </is>
      </c>
      <c r="L893" s="19" t="inlineStr">
        <is>
          <t>Motu and Patlu want to help a circus lion get back to the jungle. On the way, the three become caught up in an exciting adventure in the forest.</t>
        </is>
      </c>
      <c r="M893" s="19" t="n">
        <v>2017</v>
      </c>
      <c r="N893" s="19">
        <f>IF(AND(OR(YearFilter="All",$M893=YearFilter),OR(RatingFilter="All",$I893=RatingFilter),OR(TypeFilter="All",$B893=TypeFilter),OR(GenreFilter="All",COUNTIFS(tblGenre[show_id],$A893,tblGenre[Genre],GenreFilter)&gt;0)),1,0)</f>
        <v/>
      </c>
    </row>
    <row r="894" ht="15" customHeight="1" s="20">
      <c r="A894" s="19" t="inlineStr">
        <is>
          <t>s7525</t>
        </is>
      </c>
      <c r="B894" s="19" t="inlineStr">
        <is>
          <t>Movie</t>
        </is>
      </c>
      <c r="C894" s="19" t="inlineStr">
        <is>
          <t>Mujhse Shaadi Karogi</t>
        </is>
      </c>
      <c r="D894" s="19" t="inlineStr">
        <is>
          <t>David Dhawan</t>
        </is>
      </c>
      <c r="E894" s="19" t="inlineStr">
        <is>
          <t>Rajpal Yadav, Amrish Puri, Kader Khan, Shashi Kala, Priyanka Chopra, Salman Khan, Akshay Kumar, Satish Shah</t>
        </is>
      </c>
      <c r="F894" s="19" t="inlineStr">
        <is>
          <t>India</t>
        </is>
      </c>
      <c r="G894" s="19" t="inlineStr">
        <is>
          <t>2019-12-31</t>
        </is>
      </c>
      <c r="H894" s="19" t="n">
        <v>2004</v>
      </c>
      <c r="I894" s="19" t="inlineStr">
        <is>
          <t>TV-PG</t>
        </is>
      </c>
      <c r="J894" s="19" t="inlineStr">
        <is>
          <t>158 min</t>
        </is>
      </c>
      <c r="K894" s="19" t="inlineStr">
        <is>
          <t>Comedies, International Movies, Romantic Movies</t>
        </is>
      </c>
      <c r="L894" s="19" t="inlineStr">
        <is>
          <t>Samir must overcome a hostile horoscope, a hot temper and a determined rival to win the heart of Rani, the love of his life.</t>
        </is>
      </c>
      <c r="M894" s="19" t="n">
        <v>2019</v>
      </c>
      <c r="N894" s="19">
        <f>IF(AND(OR(YearFilter="All",$M894=YearFilter),OR(RatingFilter="All",$I894=RatingFilter),OR(TypeFilter="All",$B894=TypeFilter),OR(GenreFilter="All",COUNTIFS(tblGenre[show_id],$A894,tblGenre[Genre],GenreFilter)&gt;0)),1,0)</f>
        <v/>
      </c>
    </row>
    <row r="895" ht="15" customHeight="1" s="20">
      <c r="A895" s="19" t="inlineStr">
        <is>
          <t>s7533</t>
        </is>
      </c>
      <c r="B895" s="19" t="inlineStr">
        <is>
          <t>Movie</t>
        </is>
      </c>
      <c r="C895" s="19" t="inlineStr">
        <is>
          <t>My Brother ... Nikhil</t>
        </is>
      </c>
      <c r="D895" s="19" t="inlineStr">
        <is>
          <t>Onir</t>
        </is>
      </c>
      <c r="E895" s="19" t="inlineStr">
        <is>
          <t>Juhi Chawla, Sanjay Suri, Victor Banerjee, Lillete Dubey, Purab Kohli, Dipannita Sharma, Gautam Kapoor</t>
        </is>
      </c>
      <c r="F895" s="19" t="inlineStr">
        <is>
          <t>India</t>
        </is>
      </c>
      <c r="G895" s="19" t="inlineStr">
        <is>
          <t>2018-10-30</t>
        </is>
      </c>
      <c r="H895" s="19" t="n">
        <v>2005</v>
      </c>
      <c r="I895" s="19" t="inlineStr">
        <is>
          <t>TV-PG</t>
        </is>
      </c>
      <c r="J895" s="19" t="inlineStr">
        <is>
          <t>116 min</t>
        </is>
      </c>
      <c r="K895" s="19" t="inlineStr">
        <is>
          <t>Dramas, Independent Movies, International Movies</t>
        </is>
      </c>
      <c r="L895" s="19" t="inlineStr">
        <is>
          <t>After being diagnosed HIV-positive, a champion swimmer is disowned and harassed by all except his loving sister and loyal boyfriend.</t>
        </is>
      </c>
      <c r="M895" s="19" t="n">
        <v>2018</v>
      </c>
      <c r="N895" s="19">
        <f>IF(AND(OR(YearFilter="All",$M895=YearFilter),OR(RatingFilter="All",$I895=RatingFilter),OR(TypeFilter="All",$B895=TypeFilter),OR(GenreFilter="All",COUNTIFS(tblGenre[show_id],$A895,tblGenre[Genre],GenreFilter)&gt;0)),1,0)</f>
        <v/>
      </c>
    </row>
    <row r="896" ht="15" customHeight="1" s="20">
      <c r="A896" s="19" t="inlineStr">
        <is>
          <t>s7553</t>
        </is>
      </c>
      <c r="B896" s="19" t="inlineStr">
        <is>
          <t>Movie</t>
        </is>
      </c>
      <c r="C896" s="19" t="inlineStr">
        <is>
          <t>Mythily Veendum Varunnu</t>
        </is>
      </c>
      <c r="D896" s="19" t="inlineStr">
        <is>
          <t>Sabu Varghese</t>
        </is>
      </c>
      <c r="E896" s="19" t="inlineStr">
        <is>
          <t>Udhay, Kiran Raj, I.M. Vijayan, Sandhanam, Shivani Bhai, Sangeetha Balan</t>
        </is>
      </c>
      <c r="F896" s="19" t="inlineStr">
        <is>
          <t>India</t>
        </is>
      </c>
      <c r="G896" s="19" t="inlineStr">
        <is>
          <t>2018-08-01</t>
        </is>
      </c>
      <c r="H896" s="19" t="n">
        <v>2017</v>
      </c>
      <c r="I896" s="19" t="inlineStr">
        <is>
          <t>TV-PG</t>
        </is>
      </c>
      <c r="J896" s="19" t="inlineStr">
        <is>
          <t>88 min</t>
        </is>
      </c>
      <c r="K896" s="19" t="inlineStr">
        <is>
          <t>Horror Movies, International Movies</t>
        </is>
      </c>
      <c r="L896" s="19" t="inlineStr">
        <is>
          <t>After losing her father, a young woman moves to the city to earn money. When she finds a job at a mysterious bungalow, her worst nightmares come true.</t>
        </is>
      </c>
      <c r="M896" s="19" t="n">
        <v>2018</v>
      </c>
      <c r="N896" s="19">
        <f>IF(AND(OR(YearFilter="All",$M896=YearFilter),OR(RatingFilter="All",$I896=RatingFilter),OR(TypeFilter="All",$B896=TypeFilter),OR(GenreFilter="All",COUNTIFS(tblGenre[show_id],$A896,tblGenre[Genre],GenreFilter)&gt;0)),1,0)</f>
        <v/>
      </c>
    </row>
    <row r="897" ht="15" customHeight="1" s="20">
      <c r="A897" s="19" t="inlineStr">
        <is>
          <t>s7555</t>
        </is>
      </c>
      <c r="B897" s="19" t="inlineStr">
        <is>
          <t>Movie</t>
        </is>
      </c>
      <c r="C897" s="19" t="inlineStr">
        <is>
          <t>Naga The Eternal Yogi</t>
        </is>
      </c>
      <c r="D897" s="19" t="inlineStr">
        <is>
          <t>Krishna Agazzi, Filippo Gastaldi</t>
        </is>
      </c>
      <c r="F897" s="19" t="inlineStr">
        <is>
          <t>Italy, India</t>
        </is>
      </c>
      <c r="G897" s="19" t="inlineStr">
        <is>
          <t>2017-02-05</t>
        </is>
      </c>
      <c r="H897" s="19" t="n">
        <v>2016</v>
      </c>
      <c r="I897" s="19" t="inlineStr">
        <is>
          <t>TV-PG</t>
        </is>
      </c>
      <c r="J897" s="19" t="inlineStr">
        <is>
          <t>73 min</t>
        </is>
      </c>
      <c r="K897" s="19" t="inlineStr">
        <is>
          <t>Documentaries, International Movies</t>
        </is>
      </c>
      <c r="L897" s="19" t="inlineStr">
        <is>
          <t>This documentary examines the naked yoga gurus of India whose devout spiritual practice connects them to the eternal, transcending the material world.</t>
        </is>
      </c>
      <c r="M897" s="19" t="n">
        <v>2017</v>
      </c>
      <c r="N897" s="19">
        <f>IF(AND(OR(YearFilter="All",$M897=YearFilter),OR(RatingFilter="All",$I897=RatingFilter),OR(TypeFilter="All",$B897=TypeFilter),OR(GenreFilter="All",COUNTIFS(tblGenre[show_id],$A897,tblGenre[Genre],GenreFilter)&gt;0)),1,0)</f>
        <v/>
      </c>
    </row>
    <row r="898" ht="15" customHeight="1" s="20">
      <c r="A898" s="19" t="inlineStr">
        <is>
          <t>s7558</t>
        </is>
      </c>
      <c r="B898" s="19" t="inlineStr">
        <is>
          <t>Movie</t>
        </is>
      </c>
      <c r="C898" s="19" t="inlineStr">
        <is>
          <t>Namak Halaal</t>
        </is>
      </c>
      <c r="D898" s="19" t="inlineStr">
        <is>
          <t>Prakash Mehra</t>
        </is>
      </c>
      <c r="E898" s="19" t="inlineStr">
        <is>
          <t>Amitabh Bachchan, Shashi Kapoor, Parveen Babi, Smita Patil, Waheeda Rehman, Om Prakash, Ranjeet, Satyendra Kapoor</t>
        </is>
      </c>
      <c r="F898" s="19" t="inlineStr">
        <is>
          <t>India</t>
        </is>
      </c>
      <c r="G898" s="19" t="inlineStr">
        <is>
          <t>2019-12-31</t>
        </is>
      </c>
      <c r="H898" s="19" t="n">
        <v>1982</v>
      </c>
      <c r="I898" s="19" t="inlineStr">
        <is>
          <t>TV-14</t>
        </is>
      </c>
      <c r="J898" s="19" t="inlineStr">
        <is>
          <t>171 min</t>
        </is>
      </c>
      <c r="K898" s="19" t="inlineStr">
        <is>
          <t>Action &amp; Adventure, Comedies, International Movies</t>
        </is>
      </c>
      <c r="L898" s="19" t="inlineStr">
        <is>
          <t>While loyally defending his boss from mobsters trying to kill him, a naive, hotel bellboy discovers the family he never knew he had.</t>
        </is>
      </c>
      <c r="M898" s="19" t="n">
        <v>2019</v>
      </c>
      <c r="N898" s="19">
        <f>IF(AND(OR(YearFilter="All",$M898=YearFilter),OR(RatingFilter="All",$I898=RatingFilter),OR(TypeFilter="All",$B898=TypeFilter),OR(GenreFilter="All",COUNTIFS(tblGenre[show_id],$A898,tblGenre[Genre],GenreFilter)&gt;0)),1,0)</f>
        <v/>
      </c>
    </row>
    <row r="899" ht="15" customHeight="1" s="20">
      <c r="A899" s="19" t="inlineStr">
        <is>
          <t>s7566</t>
        </is>
      </c>
      <c r="B899" s="19" t="inlineStr">
        <is>
          <t>Movie</t>
        </is>
      </c>
      <c r="C899" s="19" t="inlineStr">
        <is>
          <t>Natsamrat - Asa Nat Hone Nahi</t>
        </is>
      </c>
      <c r="D899" s="19" t="inlineStr">
        <is>
          <t>Mahesh Manjrekar</t>
        </is>
      </c>
      <c r="E899" s="19" t="inlineStr">
        <is>
          <t>Nana Patekar, Medha Manjrekar, Mrinmayee Deshpande, Sunil Barve, Vikram Gokhale, Neha Pendse</t>
        </is>
      </c>
      <c r="F899" s="19" t="inlineStr">
        <is>
          <t>India</t>
        </is>
      </c>
      <c r="G899" s="19" t="inlineStr">
        <is>
          <t>2018-06-01</t>
        </is>
      </c>
      <c r="H899" s="19" t="n">
        <v>2016</v>
      </c>
      <c r="I899" s="19" t="inlineStr">
        <is>
          <t>TV-14</t>
        </is>
      </c>
      <c r="J899" s="19" t="inlineStr">
        <is>
          <t>165 min</t>
        </is>
      </c>
      <c r="K899" s="19" t="inlineStr">
        <is>
          <t>Dramas, International Movies</t>
        </is>
      </c>
      <c r="L899" s="19" t="inlineStr">
        <is>
          <t>A veteran Shakespearean actor steps off the stage and into the painful tragedy of old age, facing ungrateful family and his fleeting legacy.</t>
        </is>
      </c>
      <c r="M899" s="19" t="n">
        <v>2018</v>
      </c>
      <c r="N899" s="19">
        <f>IF(AND(OR(YearFilter="All",$M899=YearFilter),OR(RatingFilter="All",$I899=RatingFilter),OR(TypeFilter="All",$B899=TypeFilter),OR(GenreFilter="All",COUNTIFS(tblGenre[show_id],$A899,tblGenre[Genre],GenreFilter)&gt;0)),1,0)</f>
        <v/>
      </c>
    </row>
    <row r="900" ht="15" customHeight="1" s="20">
      <c r="A900" s="19" t="inlineStr">
        <is>
          <t>s7583</t>
        </is>
      </c>
      <c r="B900" s="19" t="inlineStr">
        <is>
          <t>Movie</t>
        </is>
      </c>
      <c r="C900" s="19" t="inlineStr">
        <is>
          <t>Nibunan</t>
        </is>
      </c>
      <c r="D900" s="19" t="inlineStr">
        <is>
          <t>Arun Vaidyanathan</t>
        </is>
      </c>
      <c r="E900" s="19" t="inlineStr">
        <is>
          <t>Arjun, Prasanna, Varalakshmi Sarathkumar, Sruthi Hariharan, Vaibhav Reddy, Suman, Suhasini, Krishna Sekhar</t>
        </is>
      </c>
      <c r="F900" s="19" t="inlineStr">
        <is>
          <t>India</t>
        </is>
      </c>
      <c r="G900" s="19" t="inlineStr">
        <is>
          <t>2018-05-01</t>
        </is>
      </c>
      <c r="H900" s="19" t="n">
        <v>2017</v>
      </c>
      <c r="I900" s="19" t="inlineStr">
        <is>
          <t>TV-14</t>
        </is>
      </c>
      <c r="J900" s="19" t="inlineStr">
        <is>
          <t>124 min</t>
        </is>
      </c>
      <c r="K900" s="19" t="inlineStr">
        <is>
          <t>Action &amp; Adventure, Dramas, International Movies</t>
        </is>
      </c>
      <c r="L900" s="19" t="inlineStr">
        <is>
          <t>With numbers written on a doll as their only clue, three officers of the law track down a psychotic killer, unearthing dark secrets along the way.</t>
        </is>
      </c>
      <c r="M900" s="19" t="n">
        <v>2018</v>
      </c>
      <c r="N900" s="19">
        <f>IF(AND(OR(YearFilter="All",$M900=YearFilter),OR(RatingFilter="All",$I900=RatingFilter),OR(TypeFilter="All",$B900=TypeFilter),OR(GenreFilter="All",COUNTIFS(tblGenre[show_id],$A900,tblGenre[Genre],GenreFilter)&gt;0)),1,0)</f>
        <v/>
      </c>
    </row>
    <row r="901" ht="15" customHeight="1" s="20">
      <c r="A901" s="19" t="inlineStr">
        <is>
          <t>s7591</t>
        </is>
      </c>
      <c r="B901" s="19" t="inlineStr">
        <is>
          <t>Movie</t>
        </is>
      </c>
      <c r="C901" s="19" t="inlineStr">
        <is>
          <t>No Entry</t>
        </is>
      </c>
      <c r="D901" s="19" t="inlineStr">
        <is>
          <t>Anees Bazmee</t>
        </is>
      </c>
      <c r="E901" s="19" t="inlineStr">
        <is>
          <t>Anil Kapoor, Salman Khan, Fardeen Khan, Bipasha Basu, Lara Dutta, Esha Deol, Celina Jaitly, Boman Irani</t>
        </is>
      </c>
      <c r="F901" s="19" t="inlineStr">
        <is>
          <t>India</t>
        </is>
      </c>
      <c r="G901" s="19" t="inlineStr">
        <is>
          <t>2018-03-01</t>
        </is>
      </c>
      <c r="H901" s="19" t="n">
        <v>2005</v>
      </c>
      <c r="I901" s="19" t="inlineStr">
        <is>
          <t>TV-PG</t>
        </is>
      </c>
      <c r="J901" s="19" t="inlineStr">
        <is>
          <t>161 min</t>
        </is>
      </c>
      <c r="K901" s="19" t="inlineStr">
        <is>
          <t>Comedies, International Movies</t>
        </is>
      </c>
      <c r="L901" s="19" t="inlineStr">
        <is>
          <t>After a prank goes sideways, three buddies find their relationships  – with women and each other – tested in unexpected ways.</t>
        </is>
      </c>
      <c r="M901" s="19" t="n">
        <v>2018</v>
      </c>
      <c r="N901" s="19">
        <f>IF(AND(OR(YearFilter="All",$M901=YearFilter),OR(RatingFilter="All",$I901=RatingFilter),OR(TypeFilter="All",$B901=TypeFilter),OR(GenreFilter="All",COUNTIFS(tblGenre[show_id],$A901,tblGenre[Genre],GenreFilter)&gt;0)),1,0)</f>
        <v/>
      </c>
    </row>
    <row r="902" ht="15" customHeight="1" s="20">
      <c r="A902" s="19" t="inlineStr">
        <is>
          <t>s7596</t>
        </is>
      </c>
      <c r="B902" s="19" t="inlineStr">
        <is>
          <t>Movie</t>
        </is>
      </c>
      <c r="C902" s="19" t="inlineStr">
        <is>
          <t>Norm of the North: Keys to the Kingdom</t>
        </is>
      </c>
      <c r="D902" s="19" t="inlineStr">
        <is>
          <t>Tim Maltby</t>
        </is>
      </c>
      <c r="E902" s="19" t="inlineStr">
        <is>
          <t>Andrew Toth, Cole Howard, Maya Kay, Jennifer Cameron, Alan Marriott, Lee Tockar, Brian Drummond</t>
        </is>
      </c>
      <c r="F902" s="19" t="inlineStr">
        <is>
          <t>India, United States</t>
        </is>
      </c>
      <c r="G902" s="19" t="inlineStr">
        <is>
          <t>2020-08-21</t>
        </is>
      </c>
      <c r="H902" s="19" t="n">
        <v>2019</v>
      </c>
      <c r="I902" s="19" t="inlineStr">
        <is>
          <t>TV-PG</t>
        </is>
      </c>
      <c r="J902" s="19" t="inlineStr">
        <is>
          <t>92 min</t>
        </is>
      </c>
      <c r="K902" s="19" t="inlineStr">
        <is>
          <t>Children &amp; Family Movies</t>
        </is>
      </c>
      <c r="L902" s="19" t="inlineStr">
        <is>
          <t>When Norm the polar bear is framed for a crime he didn’t commit, his friends step up to help him clear his name.</t>
        </is>
      </c>
      <c r="M902" s="19" t="n">
        <v>2020</v>
      </c>
      <c r="N902" s="19">
        <f>IF(AND(OR(YearFilter="All",$M902=YearFilter),OR(RatingFilter="All",$I902=RatingFilter),OR(TypeFilter="All",$B902=TypeFilter),OR(GenreFilter="All",COUNTIFS(tblGenre[show_id],$A902,tblGenre[Genre],GenreFilter)&gt;0)),1,0)</f>
        <v/>
      </c>
    </row>
    <row r="903" ht="15" customHeight="1" s="20">
      <c r="A903" s="19" t="inlineStr">
        <is>
          <t>s7597</t>
        </is>
      </c>
      <c r="B903" s="19" t="inlineStr">
        <is>
          <t>Movie</t>
        </is>
      </c>
      <c r="C903" s="19" t="inlineStr">
        <is>
          <t>Norm of the North: King Sized Adventure</t>
        </is>
      </c>
      <c r="D903" s="19" t="inlineStr">
        <is>
          <t>Richard Finn, Tim Maltby</t>
        </is>
      </c>
      <c r="E903" s="19" t="inlineStr">
        <is>
          <t>Alan Marriott, Andrew Toth, Brian Dobson, Cole Howard, Jennifer Cameron, Jonathan Holmes, Lee Tockar, Lisa Durupt, Maya Kay, Michael Dobson</t>
        </is>
      </c>
      <c r="F903" s="19" t="inlineStr">
        <is>
          <t>United States, India, South Korea, China</t>
        </is>
      </c>
      <c r="G903" s="19" t="inlineStr">
        <is>
          <t>2019-09-09</t>
        </is>
      </c>
      <c r="H903" s="19" t="n">
        <v>2019</v>
      </c>
      <c r="I903" s="19" t="inlineStr">
        <is>
          <t>TV-PG</t>
        </is>
      </c>
      <c r="J903" s="19" t="inlineStr">
        <is>
          <t>90 min</t>
        </is>
      </c>
      <c r="K903" s="19" t="inlineStr">
        <is>
          <t>Children &amp; Family Movies, Comedies</t>
        </is>
      </c>
      <c r="L903" s="19" t="inlineStr">
        <is>
          <t>Before planning an awesome wedding for his grandfather, a polar bear king must take back a stolen artifact from an evil archaeologist first.</t>
        </is>
      </c>
      <c r="M903" s="19" t="n">
        <v>2019</v>
      </c>
      <c r="N903" s="19">
        <f>IF(AND(OR(YearFilter="All",$M903=YearFilter),OR(RatingFilter="All",$I903=RatingFilter),OR(TypeFilter="All",$B903=TypeFilter),OR(GenreFilter="All",COUNTIFS(tblGenre[show_id],$A903,tblGenre[Genre],GenreFilter)&gt;0)),1,0)</f>
        <v/>
      </c>
    </row>
    <row r="904" ht="15" customHeight="1" s="20">
      <c r="A904" s="19" t="inlineStr">
        <is>
          <t>s7653</t>
        </is>
      </c>
      <c r="B904" s="19" t="inlineStr">
        <is>
          <t>Movie</t>
        </is>
      </c>
      <c r="C904" s="19" t="inlineStr">
        <is>
          <t>On Yoga The Architecture of Peace</t>
        </is>
      </c>
      <c r="D904" s="19" t="inlineStr">
        <is>
          <t>Heitor Dhalia</t>
        </is>
      </c>
      <c r="E904" s="19" t="inlineStr">
        <is>
          <t>Michael O’Neill</t>
        </is>
      </c>
      <c r="F904" s="19" t="inlineStr">
        <is>
          <t>Brazil, India, China, United States</t>
        </is>
      </c>
      <c r="G904" s="19" t="inlineStr">
        <is>
          <t>2018-01-10</t>
        </is>
      </c>
      <c r="H904" s="19" t="n">
        <v>2017</v>
      </c>
      <c r="I904" s="19" t="inlineStr">
        <is>
          <t>TV-14</t>
        </is>
      </c>
      <c r="J904" s="19" t="inlineStr">
        <is>
          <t>92 min</t>
        </is>
      </c>
      <c r="K904" s="19" t="inlineStr">
        <is>
          <t>Documentaries, Faith &amp; Spirituality</t>
        </is>
      </c>
      <c r="L904" s="19" t="inlineStr">
        <is>
          <t>Based on photographer Michael O’Neill’s book of the same name, this documentary traces the author’s 10-year journey through the landscape of yoga.</t>
        </is>
      </c>
      <c r="M904" s="19" t="n">
        <v>2018</v>
      </c>
      <c r="N904" s="19">
        <f>IF(AND(OR(YearFilter="All",$M904=YearFilter),OR(RatingFilter="All",$I904=RatingFilter),OR(TypeFilter="All",$B904=TypeFilter),OR(GenreFilter="All",COUNTIFS(tblGenre[show_id],$A904,tblGenre[Genre],GenreFilter)&gt;0)),1,0)</f>
        <v/>
      </c>
    </row>
    <row r="905" ht="15" customHeight="1" s="20">
      <c r="A905" s="19" t="inlineStr">
        <is>
          <t>s7654</t>
        </is>
      </c>
      <c r="B905" s="19" t="inlineStr">
        <is>
          <t>Movie</t>
        </is>
      </c>
      <c r="C905" s="19" t="inlineStr">
        <is>
          <t>Onaatah</t>
        </is>
      </c>
      <c r="D905" s="19" t="inlineStr">
        <is>
          <t>Pradip Kurbah</t>
        </is>
      </c>
      <c r="E905" s="19" t="inlineStr">
        <is>
          <t>Sweety Pala, Merlvin Mukhim, Richard Kharpuri, Enshon Lamare, Mary Nonghuloo, Destina Mawrie, Anvil Laloo, Tashneem Lyngdoh</t>
        </is>
      </c>
      <c r="F905" s="19" t="inlineStr">
        <is>
          <t>India</t>
        </is>
      </c>
      <c r="G905" s="19" t="inlineStr">
        <is>
          <t>2018-05-01</t>
        </is>
      </c>
      <c r="H905" s="19" t="n">
        <v>2016</v>
      </c>
      <c r="I905" s="19" t="inlineStr">
        <is>
          <t>TV-14</t>
        </is>
      </c>
      <c r="J905" s="19" t="inlineStr">
        <is>
          <t>107 min</t>
        </is>
      </c>
      <c r="K905" s="19" t="inlineStr">
        <is>
          <t>Dramas, International Movies</t>
        </is>
      </c>
      <c r="L905" s="19" t="inlineStr">
        <is>
          <t>Seeking to heal after a traumatic assault, a young woman retreats to a small village by the hills, where she finds hope, love and new purpose.</t>
        </is>
      </c>
      <c r="M905" s="19" t="n">
        <v>2018</v>
      </c>
      <c r="N905" s="19">
        <f>IF(AND(OR(YearFilter="All",$M905=YearFilter),OR(RatingFilter="All",$I905=RatingFilter),OR(TypeFilter="All",$B905=TypeFilter),OR(GenreFilter="All",COUNTIFS(tblGenre[show_id],$A905,tblGenre[Genre],GenreFilter)&gt;0)),1,0)</f>
        <v/>
      </c>
    </row>
    <row r="906" ht="15" customHeight="1" s="20">
      <c r="A906" s="19" t="inlineStr">
        <is>
          <t>s7663</t>
        </is>
      </c>
      <c r="B906" s="19" t="inlineStr">
        <is>
          <t>Movie</t>
        </is>
      </c>
      <c r="C906" s="19" t="inlineStr">
        <is>
          <t>One Heart: The A.R. Rahman Concert Film</t>
        </is>
      </c>
      <c r="E906" s="19" t="inlineStr">
        <is>
          <t>A.R. Rahman</t>
        </is>
      </c>
      <c r="F906" s="19" t="inlineStr">
        <is>
          <t>India</t>
        </is>
      </c>
      <c r="G906" s="19" t="inlineStr">
        <is>
          <t>2017-11-01</t>
        </is>
      </c>
      <c r="H906" s="19" t="n">
        <v>2017</v>
      </c>
      <c r="I906" s="19" t="inlineStr">
        <is>
          <t>TV-G</t>
        </is>
      </c>
      <c r="J906" s="19" t="inlineStr">
        <is>
          <t>87 min</t>
        </is>
      </c>
      <c r="K906" s="19" t="inlineStr">
        <is>
          <t>Documentaries, International Movies, Music &amp; Musicals</t>
        </is>
      </c>
      <c r="L906" s="19" t="inlineStr">
        <is>
          <t>In this concert film, Indian musical maestro A.R. Rahman performs 15 of his most popular songs and reveals himself through interviews and clips.</t>
        </is>
      </c>
      <c r="M906" s="19" t="n">
        <v>2017</v>
      </c>
      <c r="N906" s="19">
        <f>IF(AND(OR(YearFilter="All",$M906=YearFilter),OR(RatingFilter="All",$I906=RatingFilter),OR(TypeFilter="All",$B906=TypeFilter),OR(GenreFilter="All",COUNTIFS(tblGenre[show_id],$A906,tblGenre[Genre],GenreFilter)&gt;0)),1,0)</f>
        <v/>
      </c>
    </row>
    <row r="907" ht="15" customHeight="1" s="20">
      <c r="A907" s="19" t="inlineStr">
        <is>
          <t>s7666</t>
        </is>
      </c>
      <c r="B907" s="19" t="inlineStr">
        <is>
          <t>Movie</t>
        </is>
      </c>
      <c r="C907" s="19" t="inlineStr">
        <is>
          <t>One Night Stand</t>
        </is>
      </c>
      <c r="D907" s="19" t="inlineStr">
        <is>
          <t>Jasmine D'Souza</t>
        </is>
      </c>
      <c r="E907" s="19" t="inlineStr">
        <is>
          <t>Tanuj Virwani, Sunny Leone, Narendra Jetley, Aamir Ahmed, Kapil Punjabi, Madhurima Banerjee, Ninad Kamat, Geeta Bisht</t>
        </is>
      </c>
      <c r="F907" s="19" t="inlineStr">
        <is>
          <t>India</t>
        </is>
      </c>
      <c r="G907" s="19" t="inlineStr">
        <is>
          <t>2017-10-15</t>
        </is>
      </c>
      <c r="H907" s="19" t="n">
        <v>2016</v>
      </c>
      <c r="I907" s="19" t="inlineStr">
        <is>
          <t>TV-MA</t>
        </is>
      </c>
      <c r="J907" s="19" t="inlineStr">
        <is>
          <t>93 min</t>
        </is>
      </c>
      <c r="K907" s="19" t="inlineStr">
        <is>
          <t>Dramas, International Movies, Music &amp; Musicals</t>
        </is>
      </c>
      <c r="L907" s="19" t="inlineStr">
        <is>
          <t>An obsession with a woman with whom he had a one-night stand brings disharmony into a man's life and destroys his peace of mind.</t>
        </is>
      </c>
      <c r="M907" s="19" t="n">
        <v>2017</v>
      </c>
      <c r="N907" s="19">
        <f>IF(AND(OR(YearFilter="All",$M907=YearFilter),OR(RatingFilter="All",$I907=RatingFilter),OR(TypeFilter="All",$B907=TypeFilter),OR(GenreFilter="All",COUNTIFS(tblGenre[show_id],$A907,tblGenre[Genre],GenreFilter)&gt;0)),1,0)</f>
        <v/>
      </c>
    </row>
    <row r="908" ht="15" customHeight="1" s="20">
      <c r="A908" s="19" t="inlineStr">
        <is>
          <t>s7681</t>
        </is>
      </c>
      <c r="B908" s="19" t="inlineStr">
        <is>
          <t>Movie</t>
        </is>
      </c>
      <c r="C908" s="19" t="inlineStr">
        <is>
          <t>Oru Vishsheshapetta Biryani Kissa</t>
        </is>
      </c>
      <c r="D908" s="19" t="inlineStr">
        <is>
          <t>Kiran Narayanan</t>
        </is>
      </c>
      <c r="E908" s="19" t="inlineStr">
        <is>
          <t>Nedumudi Venu, V.K. Sriraman, Lena, Sunil Sukhada, Mammukoya, Joju George, Bhagath Baby Manuel, Sasi Kalinga</t>
        </is>
      </c>
      <c r="F908" s="19" t="inlineStr">
        <is>
          <t>India</t>
        </is>
      </c>
      <c r="G908" s="19" t="inlineStr">
        <is>
          <t>2018-08-01</t>
        </is>
      </c>
      <c r="H908" s="19" t="n">
        <v>2017</v>
      </c>
      <c r="I908" s="19" t="inlineStr">
        <is>
          <t>TV-14</t>
        </is>
      </c>
      <c r="J908" s="19" t="inlineStr">
        <is>
          <t>122 min</t>
        </is>
      </c>
      <c r="K908" s="19" t="inlineStr">
        <is>
          <t>Comedies, Dramas, International Movies</t>
        </is>
      </c>
      <c r="L908" s="19" t="inlineStr">
        <is>
          <t>When the village's biryani cook unexpectedly passes, a widow steps up to the plate and takes on new delectable challenges.</t>
        </is>
      </c>
      <c r="M908" s="19" t="n">
        <v>2018</v>
      </c>
      <c r="N908" s="19">
        <f>IF(AND(OR(YearFilter="All",$M908=YearFilter),OR(RatingFilter="All",$I908=RatingFilter),OR(TypeFilter="All",$B908=TypeFilter),OR(GenreFilter="All",COUNTIFS(tblGenre[show_id],$A908,tblGenre[Genre],GenreFilter)&gt;0)),1,0)</f>
        <v/>
      </c>
    </row>
    <row r="909" ht="15" customHeight="1" s="20">
      <c r="A909" s="19" t="inlineStr">
        <is>
          <t>s7683</t>
        </is>
      </c>
      <c r="B909" s="19" t="inlineStr">
        <is>
          <t>Movie</t>
        </is>
      </c>
      <c r="C909" s="19" t="inlineStr">
        <is>
          <t>Ottaal</t>
        </is>
      </c>
      <c r="D909" s="19" t="inlineStr">
        <is>
          <t>Jayaraj Rajasekharan Nair</t>
        </is>
      </c>
      <c r="E909" s="19" t="inlineStr">
        <is>
          <t>Ashanth K. Shah, Kumarakom Vasudevan, Shine Tom Chacko, Sabitha Jayaraj, Thomas J. Kannampuzha</t>
        </is>
      </c>
      <c r="F909" s="19" t="inlineStr">
        <is>
          <t>India</t>
        </is>
      </c>
      <c r="G909" s="19" t="inlineStr">
        <is>
          <t>2017-03-15</t>
        </is>
      </c>
      <c r="H909" s="19" t="n">
        <v>2014</v>
      </c>
      <c r="I909" s="19" t="inlineStr">
        <is>
          <t>TV-PG</t>
        </is>
      </c>
      <c r="J909" s="19" t="inlineStr">
        <is>
          <t>88 min</t>
        </is>
      </c>
      <c r="K909" s="19" t="inlineStr">
        <is>
          <t>Dramas, International Movies</t>
        </is>
      </c>
      <c r="L909" s="19" t="inlineStr">
        <is>
          <t>Young orphan Kuttappayi goes to live with his grandfather in the country, but his new life takes a hard turn when his grandfather's health fails.</t>
        </is>
      </c>
      <c r="M909" s="19" t="n">
        <v>2017</v>
      </c>
      <c r="N909" s="19">
        <f>IF(AND(OR(YearFilter="All",$M909=YearFilter),OR(RatingFilter="All",$I909=RatingFilter),OR(TypeFilter="All",$B909=TypeFilter),OR(GenreFilter="All",COUNTIFS(tblGenre[show_id],$A909,tblGenre[Genre],GenreFilter)&gt;0)),1,0)</f>
        <v/>
      </c>
    </row>
    <row r="910" ht="15" customHeight="1" s="20">
      <c r="A910" s="19" t="inlineStr">
        <is>
          <t>s7689</t>
        </is>
      </c>
      <c r="B910" s="19" t="inlineStr">
        <is>
          <t>Movie</t>
        </is>
      </c>
      <c r="C910" s="19" t="inlineStr">
        <is>
          <t>P Se PM Tak</t>
        </is>
      </c>
      <c r="D910" s="19" t="inlineStr">
        <is>
          <t>Kundan Shah</t>
        </is>
      </c>
      <c r="E910" s="19" t="inlineStr">
        <is>
          <t>Meenakshi Dixit, Indrajeet Soni, Bharat Jadhav, Yashpal Sharma, Anjan Srivastav, Deepak Shirke, Akhilendra Mishra, Mushtaq Khan, Aanand Kale</t>
        </is>
      </c>
      <c r="F910" s="19" t="inlineStr">
        <is>
          <t>India</t>
        </is>
      </c>
      <c r="G910" s="19" t="inlineStr">
        <is>
          <t>2018-08-01</t>
        </is>
      </c>
      <c r="H910" s="19" t="n">
        <v>2015</v>
      </c>
      <c r="I910" s="19" t="inlineStr">
        <is>
          <t>TV-14</t>
        </is>
      </c>
      <c r="J910" s="19" t="inlineStr">
        <is>
          <t>117 min</t>
        </is>
      </c>
      <c r="K910" s="19" t="inlineStr">
        <is>
          <t>Comedies, Independent Movies, International Movies</t>
        </is>
      </c>
      <c r="L910" s="19" t="inlineStr">
        <is>
          <t>A prostitute who is down on her luck gets caught in the middle of an elaborate scheme orchestrated by two local politicians.</t>
        </is>
      </c>
      <c r="M910" s="19" t="n">
        <v>2018</v>
      </c>
      <c r="N910" s="19">
        <f>IF(AND(OR(YearFilter="All",$M910=YearFilter),OR(RatingFilter="All",$I910=RatingFilter),OR(TypeFilter="All",$B910=TypeFilter),OR(GenreFilter="All",COUNTIFS(tblGenre[show_id],$A910,tblGenre[Genre],GenreFilter)&gt;0)),1,0)</f>
        <v/>
      </c>
    </row>
    <row r="911" ht="15" customHeight="1" s="20">
      <c r="A911" s="19" t="inlineStr">
        <is>
          <t>s7692</t>
        </is>
      </c>
      <c r="B911" s="19" t="inlineStr">
        <is>
          <t>Movie</t>
        </is>
      </c>
      <c r="C911" s="19" t="inlineStr">
        <is>
          <t>Paathi</t>
        </is>
      </c>
      <c r="D911" s="19" t="inlineStr">
        <is>
          <t>Chandran Narikode</t>
        </is>
      </c>
      <c r="E911" s="19" t="inlineStr">
        <is>
          <t>Indrans, Joy Mathew, Kalabhavan Shajohn, Sasi Kalinga, Santhosh Keezhattoor, Valsala Menon, Seema G. Nair, Parvathi T</t>
        </is>
      </c>
      <c r="F911" s="19" t="inlineStr">
        <is>
          <t>India</t>
        </is>
      </c>
      <c r="G911" s="19" t="inlineStr">
        <is>
          <t>2018-07-01</t>
        </is>
      </c>
      <c r="H911" s="19" t="n">
        <v>2017</v>
      </c>
      <c r="I911" s="19" t="inlineStr">
        <is>
          <t>TV-14</t>
        </is>
      </c>
      <c r="J911" s="19" t="inlineStr">
        <is>
          <t>89 min</t>
        </is>
      </c>
      <c r="K911" s="19" t="inlineStr">
        <is>
          <t>Dramas, International Movies</t>
        </is>
      </c>
      <c r="L911" s="19" t="inlineStr">
        <is>
          <t>A face painter for Theyyam rituals who is himself disfigured conceals his guilt over the fact that he performs abortions as a medical practitioner.</t>
        </is>
      </c>
      <c r="M911" s="19" t="n">
        <v>2018</v>
      </c>
      <c r="N911" s="19">
        <f>IF(AND(OR(YearFilter="All",$M911=YearFilter),OR(RatingFilter="All",$I911=RatingFilter),OR(TypeFilter="All",$B911=TypeFilter),OR(GenreFilter="All",COUNTIFS(tblGenre[show_id],$A911,tblGenre[Genre],GenreFilter)&gt;0)),1,0)</f>
        <v/>
      </c>
    </row>
    <row r="912" ht="15" customHeight="1" s="20">
      <c r="A912" s="19" t="inlineStr">
        <is>
          <t>s7703</t>
        </is>
      </c>
      <c r="B912" s="19" t="inlineStr">
        <is>
          <t>Movie</t>
        </is>
      </c>
      <c r="C912" s="19" t="inlineStr">
        <is>
          <t>Papa the Great</t>
        </is>
      </c>
      <c r="D912" s="19" t="inlineStr">
        <is>
          <t>Bhagyaraj</t>
        </is>
      </c>
      <c r="E912" s="19" t="inlineStr">
        <is>
          <t>Krishan Kumar, Nagma, Satya Prakash, Master Bobby, Satish Kaushik, Laxmikant Berde, Mahavir Shah, Anil Dhawan, Shama Deshpande, Shatrughan Sinha</t>
        </is>
      </c>
      <c r="F912" s="19" t="inlineStr">
        <is>
          <t>India</t>
        </is>
      </c>
      <c r="G912" s="19" t="inlineStr">
        <is>
          <t>2017-12-08</t>
        </is>
      </c>
      <c r="H912" s="19" t="n">
        <v>2000</v>
      </c>
      <c r="I912" s="19" t="inlineStr">
        <is>
          <t>TV-PG</t>
        </is>
      </c>
      <c r="J912" s="19" t="inlineStr">
        <is>
          <t>137 min</t>
        </is>
      </c>
      <c r="K912" s="19" t="inlineStr">
        <is>
          <t>Comedies, Dramas, International Movies</t>
        </is>
      </c>
      <c r="L912" s="19" t="inlineStr">
        <is>
          <t>After witnessing a murder, a meek family man must summon his courage when he finds himself on the wrong side of a notorious gangster.</t>
        </is>
      </c>
      <c r="M912" s="19" t="n">
        <v>2017</v>
      </c>
      <c r="N912" s="19">
        <f>IF(AND(OR(YearFilter="All",$M912=YearFilter),OR(RatingFilter="All",$I912=RatingFilter),OR(TypeFilter="All",$B912=TypeFilter),OR(GenreFilter="All",COUNTIFS(tblGenre[show_id],$A912,tblGenre[Genre],GenreFilter)&gt;0)),1,0)</f>
        <v/>
      </c>
    </row>
    <row r="913" ht="15" customHeight="1" s="20">
      <c r="A913" s="19" t="inlineStr">
        <is>
          <t>s7707</t>
        </is>
      </c>
      <c r="B913" s="19" t="inlineStr">
        <is>
          <t>Movie</t>
        </is>
      </c>
      <c r="C913" s="19" t="inlineStr">
        <is>
          <t>Pardes</t>
        </is>
      </c>
      <c r="D913" s="19" t="inlineStr">
        <is>
          <t>Subhash Ghai</t>
        </is>
      </c>
      <c r="E913" s="19" t="inlineStr">
        <is>
          <t>Shah Rukh Khan, Amrish Puri, Mahima Chaudhry, Apoorva Agnihotri, Alok Nath, Himani Shivpuri, Padmavati Rao, Madhuri Bhatia, Dina Pathak, Benu Kalsi, Anand Balraj, Ajay Nagrath, Deepak Qazir, Shashi Sharma, Smita Jaykar, Pavan Malhotra, Aditya Narayan, Subhash Ghai</t>
        </is>
      </c>
      <c r="F913" s="19" t="inlineStr">
        <is>
          <t>India</t>
        </is>
      </c>
      <c r="G913" s="19" t="inlineStr">
        <is>
          <t>2018-03-01</t>
        </is>
      </c>
      <c r="H913" s="19" t="n">
        <v>1997</v>
      </c>
      <c r="I913" s="19" t="inlineStr">
        <is>
          <t>TV-14</t>
        </is>
      </c>
      <c r="J913" s="19" t="inlineStr">
        <is>
          <t>187 min</t>
        </is>
      </c>
      <c r="K913" s="19" t="inlineStr">
        <is>
          <t>Dramas, International Movies, Romantic Movies</t>
        </is>
      </c>
      <c r="L913" s="19" t="inlineStr">
        <is>
          <t>Prompted by loyalty, Arjun plays matchmaker between his philandering foster brother and a conservative girl but winds up falling in love himself.</t>
        </is>
      </c>
      <c r="M913" s="19" t="n">
        <v>2018</v>
      </c>
      <c r="N913" s="19">
        <f>IF(AND(OR(YearFilter="All",$M913=YearFilter),OR(RatingFilter="All",$I913=RatingFilter),OR(TypeFilter="All",$B913=TypeFilter),OR(GenreFilter="All",COUNTIFS(tblGenre[show_id],$A913,tblGenre[Genre],GenreFilter)&gt;0)),1,0)</f>
        <v/>
      </c>
    </row>
    <row r="914" ht="15" customHeight="1" s="20">
      <c r="A914" s="19" t="inlineStr">
        <is>
          <t>s7708</t>
        </is>
      </c>
      <c r="B914" s="19" t="inlineStr">
        <is>
          <t>Movie</t>
        </is>
      </c>
      <c r="C914" s="19" t="inlineStr">
        <is>
          <t>Pareeth Pandaari</t>
        </is>
      </c>
      <c r="D914" s="19" t="inlineStr">
        <is>
          <t>Gafoor Y. Elliyaas</t>
        </is>
      </c>
      <c r="E914" s="19" t="inlineStr">
        <is>
          <t>Kalabhavan Shajohn, Sajitha Madathil, Jaffer Idukki, Sunil Sukhada, Joy Mathew, Ansiba</t>
        </is>
      </c>
      <c r="F914" s="19" t="inlineStr">
        <is>
          <t>India</t>
        </is>
      </c>
      <c r="G914" s="19" t="inlineStr">
        <is>
          <t>2018-07-01</t>
        </is>
      </c>
      <c r="H914" s="19" t="n">
        <v>2017</v>
      </c>
      <c r="I914" s="19" t="inlineStr">
        <is>
          <t>TV-PG</t>
        </is>
      </c>
      <c r="J914" s="19" t="inlineStr">
        <is>
          <t>109 min</t>
        </is>
      </c>
      <c r="K914" s="19" t="inlineStr">
        <is>
          <t>Dramas, Independent Movies, International Movies</t>
        </is>
      </c>
      <c r="L914" s="19" t="inlineStr">
        <is>
          <t>As the parents of three unmarried daughters, a humble cook and his wife contend with the challenges of matchmaking and social expectations.</t>
        </is>
      </c>
      <c r="M914" s="19" t="n">
        <v>2018</v>
      </c>
      <c r="N914" s="19">
        <f>IF(AND(OR(YearFilter="All",$M914=YearFilter),OR(RatingFilter="All",$I914=RatingFilter),OR(TypeFilter="All",$B914=TypeFilter),OR(GenreFilter="All",COUNTIFS(tblGenre[show_id],$A914,tblGenre[Genre],GenreFilter)&gt;0)),1,0)</f>
        <v/>
      </c>
    </row>
    <row r="915" ht="15" customHeight="1" s="20">
      <c r="A915" s="19" t="inlineStr">
        <is>
          <t>s7713</t>
        </is>
      </c>
      <c r="B915" s="19" t="inlineStr">
        <is>
          <t>Movie</t>
        </is>
      </c>
      <c r="C915" s="19" t="inlineStr">
        <is>
          <t>Patiala House</t>
        </is>
      </c>
      <c r="D915" s="19" t="inlineStr">
        <is>
          <t>Nikhil Advani</t>
        </is>
      </c>
      <c r="E915" s="19" t="inlineStr">
        <is>
          <t>Rishi Kapoor, Dimple Kapadia, Akshay Kumar, Anushka Sharma, Tinnu Anand, Soni Razdan, Prem Chopra, Masood Akhtar, Jeneva Talwar, Suparna Marwah</t>
        </is>
      </c>
      <c r="F915" s="19" t="inlineStr">
        <is>
          <t>India</t>
        </is>
      </c>
      <c r="G915" s="19" t="inlineStr">
        <is>
          <t>2017-10-22</t>
        </is>
      </c>
      <c r="H915" s="19" t="n">
        <v>2011</v>
      </c>
      <c r="I915" s="19" t="inlineStr">
        <is>
          <t>TV-PG</t>
        </is>
      </c>
      <c r="J915" s="19" t="inlineStr">
        <is>
          <t>140 min</t>
        </is>
      </c>
      <c r="K915" s="19" t="inlineStr">
        <is>
          <t>Dramas, International Movies, Sports Movies</t>
        </is>
      </c>
      <c r="L915" s="19" t="inlineStr">
        <is>
          <t>A talented young Indian cricket player must defy his father's wishes to play for the side of England, a rebellion his siblings quietly cheer.</t>
        </is>
      </c>
      <c r="M915" s="19" t="n">
        <v>2017</v>
      </c>
      <c r="N915" s="19">
        <f>IF(AND(OR(YearFilter="All",$M915=YearFilter),OR(RatingFilter="All",$I915=RatingFilter),OR(TypeFilter="All",$B915=TypeFilter),OR(GenreFilter="All",COUNTIFS(tblGenre[show_id],$A915,tblGenre[Genre],GenreFilter)&gt;0)),1,0)</f>
        <v/>
      </c>
    </row>
    <row r="916" ht="15" customHeight="1" s="20">
      <c r="A916" s="19" t="inlineStr">
        <is>
          <t>s7718</t>
        </is>
      </c>
      <c r="B916" s="19" t="inlineStr">
        <is>
          <t>Movie</t>
        </is>
      </c>
      <c r="C916" s="19" t="inlineStr">
        <is>
          <t>Paulettante Veedu</t>
        </is>
      </c>
      <c r="D916" s="19" t="inlineStr">
        <is>
          <t>Dileep Narayanan</t>
        </is>
      </c>
      <c r="E916" s="19" t="inlineStr">
        <is>
          <t>Saikumar, Amal Unnithan, Manasa Radhakrishnan, K.P.A.C. Lalitha, Sudheer Karamana, Seema G. Nair</t>
        </is>
      </c>
      <c r="F916" s="19" t="inlineStr">
        <is>
          <t>India</t>
        </is>
      </c>
      <c r="G916" s="19" t="inlineStr">
        <is>
          <t>2018-07-01</t>
        </is>
      </c>
      <c r="H916" s="19" t="n">
        <v>2016</v>
      </c>
      <c r="I916" s="19" t="inlineStr">
        <is>
          <t>TV-14</t>
        </is>
      </c>
      <c r="J916" s="19" t="inlineStr">
        <is>
          <t>104 min</t>
        </is>
      </c>
      <c r="K916" s="19" t="inlineStr">
        <is>
          <t>Dramas, International Movies</t>
        </is>
      </c>
      <c r="L916" s="19" t="inlineStr">
        <is>
          <t>A wealthy businessman's miserly habits cause no small amount of stress and embarrassment to his family, particularly his daughter.</t>
        </is>
      </c>
      <c r="M916" s="19" t="n">
        <v>2018</v>
      </c>
      <c r="N916" s="19">
        <f>IF(AND(OR(YearFilter="All",$M916=YearFilter),OR(RatingFilter="All",$I916=RatingFilter),OR(TypeFilter="All",$B916=TypeFilter),OR(GenreFilter="All",COUNTIFS(tblGenre[show_id],$A916,tblGenre[Genre],GenreFilter)&gt;0)),1,0)</f>
        <v/>
      </c>
    </row>
    <row r="917" ht="15" customHeight="1" s="20">
      <c r="A917" s="19" t="inlineStr">
        <is>
          <t>s7720</t>
        </is>
      </c>
      <c r="B917" s="19" t="inlineStr">
        <is>
          <t>Movie</t>
        </is>
      </c>
      <c r="C917" s="19" t="inlineStr">
        <is>
          <t>Paying Guests</t>
        </is>
      </c>
      <c r="D917" s="19" t="inlineStr">
        <is>
          <t>Paritosh Painter</t>
        </is>
      </c>
      <c r="E917" s="19" t="inlineStr">
        <is>
          <t>Shreyas Talpade, Javed Jaffrey, Aashish Chaudhary, Vatsal Seth, Celina Jaitly, Johnny Lever, Delnaaz Paul, Riya Sen, Sayali Bhagat, Neha Dhupia</t>
        </is>
      </c>
      <c r="F917" s="19" t="inlineStr">
        <is>
          <t>India</t>
        </is>
      </c>
      <c r="G917" s="19" t="inlineStr">
        <is>
          <t>2018-07-01</t>
        </is>
      </c>
      <c r="H917" s="19" t="n">
        <v>2009</v>
      </c>
      <c r="I917" s="19" t="inlineStr">
        <is>
          <t>TV-14</t>
        </is>
      </c>
      <c r="J917" s="19" t="inlineStr">
        <is>
          <t>114 min</t>
        </is>
      </c>
      <c r="K917" s="19" t="inlineStr">
        <is>
          <t>Comedies, International Movies</t>
        </is>
      </c>
      <c r="L917" s="19" t="inlineStr">
        <is>
          <t>Desperate for a place to live, twentysomething bachelors Parikshit, Jayesh, Parag and Bhavesh finally locate a house to rent, only to learn that the landlords will consider married applicants only.</t>
        </is>
      </c>
      <c r="M917" s="19" t="n">
        <v>2018</v>
      </c>
      <c r="N917" s="19">
        <f>IF(AND(OR(YearFilter="All",$M917=YearFilter),OR(RatingFilter="All",$I917=RatingFilter),OR(TypeFilter="All",$B917=TypeFilter),OR(GenreFilter="All",COUNTIFS(tblGenre[show_id],$A917,tblGenre[Genre],GenreFilter)&gt;0)),1,0)</f>
        <v/>
      </c>
    </row>
    <row r="918" ht="15" customHeight="1" s="20">
      <c r="A918" s="19" t="inlineStr">
        <is>
          <t>s7737</t>
        </is>
      </c>
      <c r="B918" s="19" t="inlineStr">
        <is>
          <t>Movie</t>
        </is>
      </c>
      <c r="C918" s="19" t="inlineStr">
        <is>
          <t>Phir Se</t>
        </is>
      </c>
      <c r="D918" s="19" t="inlineStr">
        <is>
          <t>Ajay Bhuyan, Kunal Kohli</t>
        </is>
      </c>
      <c r="E918" s="19" t="inlineStr">
        <is>
          <t>Kunal Kohli, Jennifer Winget, Sumona Chakravarti, Sushmita Mukherjee, Kanwaljit Singh, Dalip Tahil, Rajit Kapoor</t>
        </is>
      </c>
      <c r="F918" s="19" t="inlineStr">
        <is>
          <t>India</t>
        </is>
      </c>
      <c r="G918" s="19" t="inlineStr">
        <is>
          <t>2018-01-15</t>
        </is>
      </c>
      <c r="H918" s="19" t="n">
        <v>2015</v>
      </c>
      <c r="I918" s="19" t="inlineStr">
        <is>
          <t>TV-14</t>
        </is>
      </c>
      <c r="J918" s="19" t="inlineStr">
        <is>
          <t>118 min</t>
        </is>
      </c>
      <c r="K918" s="19" t="inlineStr">
        <is>
          <t>International Movies, Romantic Movies</t>
        </is>
      </c>
      <c r="L918" s="19" t="inlineStr">
        <is>
          <t>The paths of a man and a woman, who have both been recently divorced from their spouses, intersect at an art exhibition in London.</t>
        </is>
      </c>
      <c r="M918" s="19" t="n">
        <v>2018</v>
      </c>
      <c r="N918" s="19">
        <f>IF(AND(OR(YearFilter="All",$M918=YearFilter),OR(RatingFilter="All",$I918=RatingFilter),OR(TypeFilter="All",$B918=TypeFilter),OR(GenreFilter="All",COUNTIFS(tblGenre[show_id],$A918,tblGenre[Genre],GenreFilter)&gt;0)),1,0)</f>
        <v/>
      </c>
    </row>
    <row r="919" ht="15" customHeight="1" s="20">
      <c r="A919" s="19" t="inlineStr">
        <is>
          <t>s7740</t>
        </is>
      </c>
      <c r="B919" s="19" t="inlineStr">
        <is>
          <t>Movie</t>
        </is>
      </c>
      <c r="C919" s="19" t="inlineStr">
        <is>
          <t>Phullu</t>
        </is>
      </c>
      <c r="D919" s="19" t="inlineStr">
        <is>
          <t>Abhishek Saxena</t>
        </is>
      </c>
      <c r="E919" s="19" t="inlineStr">
        <is>
          <t>Sharib Hashmi, Nutan Surya, Jyotii Sethi, Inaamulhaq, Trisha Kale, Namya Saxena, Shivam Pradhan, Kimti Anand, Paras Raj Gandhi</t>
        </is>
      </c>
      <c r="F919" s="19" t="inlineStr">
        <is>
          <t>India</t>
        </is>
      </c>
      <c r="G919" s="19" t="inlineStr">
        <is>
          <t>2019-12-31</t>
        </is>
      </c>
      <c r="H919" s="19" t="n">
        <v>2017</v>
      </c>
      <c r="I919" s="19" t="inlineStr">
        <is>
          <t>TV-14</t>
        </is>
      </c>
      <c r="J919" s="19" t="inlineStr">
        <is>
          <t>96 min</t>
        </is>
      </c>
      <c r="K919" s="19" t="inlineStr">
        <is>
          <t>Dramas, Independent Movies, International Movies</t>
        </is>
      </c>
      <c r="L919" s="19" t="inlineStr">
        <is>
          <t>Struck by the lack of clean resources for menstruating women in his village, a jobless loafer braves social stigmas to create low-cost sanitary napkins.</t>
        </is>
      </c>
      <c r="M919" s="19" t="n">
        <v>2019</v>
      </c>
      <c r="N919" s="19">
        <f>IF(AND(OR(YearFilter="All",$M919=YearFilter),OR(RatingFilter="All",$I919=RatingFilter),OR(TypeFilter="All",$B919=TypeFilter),OR(GenreFilter="All",COUNTIFS(tblGenre[show_id],$A919,tblGenre[Genre],GenreFilter)&gt;0)),1,0)</f>
        <v/>
      </c>
    </row>
    <row r="920" ht="15" customHeight="1" s="20">
      <c r="A920" s="19" t="inlineStr">
        <is>
          <t>s7743</t>
        </is>
      </c>
      <c r="B920" s="19" t="inlineStr">
        <is>
          <t>Movie</t>
        </is>
      </c>
      <c r="C920" s="19" t="inlineStr">
        <is>
          <t>Pimpal</t>
        </is>
      </c>
      <c r="D920" s="19" t="inlineStr">
        <is>
          <t>Gajendra Ahire</t>
        </is>
      </c>
      <c r="E920" s="19" t="inlineStr">
        <is>
          <t>Dilip Prabhavalkar, Priya Bapat, Kishore Kadam, Vrinda Gajendra, Alok Rajwade, Sakhi Gokhale</t>
        </is>
      </c>
      <c r="F920" s="19" t="inlineStr">
        <is>
          <t>India</t>
        </is>
      </c>
      <c r="G920" s="19" t="inlineStr">
        <is>
          <t>2018-11-15</t>
        </is>
      </c>
      <c r="H920" s="19" t="n">
        <v>2017</v>
      </c>
      <c r="I920" s="19" t="inlineStr">
        <is>
          <t>TV-PG</t>
        </is>
      </c>
      <c r="J920" s="19" t="inlineStr">
        <is>
          <t>92 min</t>
        </is>
      </c>
      <c r="K920" s="19" t="inlineStr">
        <is>
          <t>Dramas, Independent Movies, International Movies</t>
        </is>
      </c>
      <c r="L920" s="19" t="inlineStr">
        <is>
          <t>As a lonely widower prepares to leave India to live with his children in America, he looks back on past memories and unfinished business.</t>
        </is>
      </c>
      <c r="M920" s="19" t="n">
        <v>2018</v>
      </c>
      <c r="N920" s="19">
        <f>IF(AND(OR(YearFilter="All",$M920=YearFilter),OR(RatingFilter="All",$I920=RatingFilter),OR(TypeFilter="All",$B920=TypeFilter),OR(GenreFilter="All",COUNTIFS(tblGenre[show_id],$A920,tblGenre[Genre],GenreFilter)&gt;0)),1,0)</f>
        <v/>
      </c>
    </row>
    <row r="921" ht="15" customHeight="1" s="20">
      <c r="A921" s="19" t="inlineStr">
        <is>
          <t>s7745</t>
        </is>
      </c>
      <c r="B921" s="19" t="inlineStr">
        <is>
          <t>Movie</t>
        </is>
      </c>
      <c r="C921" s="19" t="inlineStr">
        <is>
          <t>Pitaah</t>
        </is>
      </c>
      <c r="D921" s="19" t="inlineStr">
        <is>
          <t>Mahesh Manjrekar</t>
        </is>
      </c>
      <c r="E921" s="19" t="inlineStr">
        <is>
          <t>Sanjay Dutt, Nandita Das, Om Puri, Jackie Shroff, Mita Vashisht, Sachin Khedekar, Anjan Srivastav, Dinesh Anand, Mink Singh, Siddharth</t>
        </is>
      </c>
      <c r="F921" s="19" t="inlineStr">
        <is>
          <t>India</t>
        </is>
      </c>
      <c r="G921" s="19" t="inlineStr">
        <is>
          <t>2018-03-01</t>
        </is>
      </c>
      <c r="H921" s="19" t="n">
        <v>2002</v>
      </c>
      <c r="I921" s="19" t="inlineStr">
        <is>
          <t>TV-MA</t>
        </is>
      </c>
      <c r="J921" s="19" t="inlineStr">
        <is>
          <t>127 min</t>
        </is>
      </c>
      <c r="K921" s="19" t="inlineStr">
        <is>
          <t>Dramas, International Movies, Music &amp; Musicals</t>
        </is>
      </c>
      <c r="L921" s="19" t="inlineStr">
        <is>
          <t>Thakur Avadh is an evil landlord in a remote village who rules with an iron fist. His two sons live a debauched life, knowing that their father will bail them out of any scrape.</t>
        </is>
      </c>
      <c r="M921" s="19" t="n">
        <v>2018</v>
      </c>
      <c r="N921" s="19">
        <f>IF(AND(OR(YearFilter="All",$M921=YearFilter),OR(RatingFilter="All",$I921=RatingFilter),OR(TypeFilter="All",$B921=TypeFilter),OR(GenreFilter="All",COUNTIFS(tblGenre[show_id],$A921,tblGenre[Genre],GenreFilter)&gt;0)),1,0)</f>
        <v/>
      </c>
    </row>
    <row r="922" ht="15" customHeight="1" s="20">
      <c r="A922" s="19" t="inlineStr">
        <is>
          <t>s7760</t>
        </is>
      </c>
      <c r="B922" s="19" t="inlineStr">
        <is>
          <t>TV Show</t>
        </is>
      </c>
      <c r="C922" s="19" t="inlineStr">
        <is>
          <t>Powder</t>
        </is>
      </c>
      <c r="E922" s="19" t="inlineStr">
        <is>
          <t>Manish Chaudhary, Pankaj Tripathi, Geetika Tyagi, Rahul Bagga</t>
        </is>
      </c>
      <c r="F922" s="19" t="inlineStr">
        <is>
          <t>India</t>
        </is>
      </c>
      <c r="G922" s="19" t="inlineStr">
        <is>
          <t>2018-02-15</t>
        </is>
      </c>
      <c r="H922" s="19" t="n">
        <v>2010</v>
      </c>
      <c r="I922" s="19" t="inlineStr">
        <is>
          <t>TV-14</t>
        </is>
      </c>
      <c r="J922" s="19" t="inlineStr">
        <is>
          <t>1 Season</t>
        </is>
      </c>
      <c r="K922" s="19" t="inlineStr">
        <is>
          <t>Crime TV Shows, International TV Shows, TV Dramas</t>
        </is>
      </c>
      <c r="L922" s="19" t="inlineStr">
        <is>
          <t>Two men who grew up in Mumbai's slums are drawn into the city's brutal narcotics trade, where they fight on opposite sides of the law.</t>
        </is>
      </c>
      <c r="M922" s="19" t="n">
        <v>2018</v>
      </c>
      <c r="N922" s="19">
        <f>IF(AND(OR(YearFilter="All",$M922=YearFilter),OR(RatingFilter="All",$I922=RatingFilter),OR(TypeFilter="All",$B922=TypeFilter),OR(GenreFilter="All",COUNTIFS(tblGenre[show_id],$A922,tblGenre[Genre],GenreFilter)&gt;0)),1,0)</f>
        <v/>
      </c>
    </row>
    <row r="923" ht="15" customHeight="1" s="20">
      <c r="A923" s="19" t="inlineStr">
        <is>
          <t>s7790</t>
        </is>
      </c>
      <c r="B923" s="19" t="inlineStr">
        <is>
          <t>Movie</t>
        </is>
      </c>
      <c r="C923" s="19" t="inlineStr">
        <is>
          <t>Prague</t>
        </is>
      </c>
      <c r="D923" s="19" t="inlineStr">
        <is>
          <t>Ashish R. Shukla</t>
        </is>
      </c>
      <c r="E923" s="19" t="inlineStr">
        <is>
          <t>Chandan Roy Sanyal, Elena Kazan, Kumar Mayank, Sonia Bindra, Arfi Lamba</t>
        </is>
      </c>
      <c r="F923" s="19" t="inlineStr">
        <is>
          <t>India, Switzerland</t>
        </is>
      </c>
      <c r="G923" s="19" t="inlineStr">
        <is>
          <t>2017-12-01</t>
        </is>
      </c>
      <c r="H923" s="19" t="n">
        <v>2013</v>
      </c>
      <c r="I923" s="19" t="inlineStr">
        <is>
          <t>TV-MA</t>
        </is>
      </c>
      <c r="J923" s="19" t="inlineStr">
        <is>
          <t>106 min</t>
        </is>
      </c>
      <c r="K923" s="19" t="inlineStr">
        <is>
          <t>Dramas, Independent Movies, International Movies</t>
        </is>
      </c>
      <c r="L923" s="19" t="inlineStr">
        <is>
          <t>The chaotic ramblings of a young architect's mind take hold of his life as he leaves behind his past in India to work in Prague.</t>
        </is>
      </c>
      <c r="M923" s="19" t="n">
        <v>2017</v>
      </c>
      <c r="N923" s="19">
        <f>IF(AND(OR(YearFilter="All",$M923=YearFilter),OR(RatingFilter="All",$I923=RatingFilter),OR(TypeFilter="All",$B923=TypeFilter),OR(GenreFilter="All",COUNTIFS(tblGenre[show_id],$A923,tblGenre[Genre],GenreFilter)&gt;0)),1,0)</f>
        <v/>
      </c>
    </row>
    <row r="924" ht="15" customHeight="1" s="20">
      <c r="A924" s="19" t="inlineStr">
        <is>
          <t>s7792</t>
        </is>
      </c>
      <c r="B924" s="19" t="inlineStr">
        <is>
          <t>Movie</t>
        </is>
      </c>
      <c r="C924" s="19" t="inlineStr">
        <is>
          <t>Premachi Goshta</t>
        </is>
      </c>
      <c r="D924" s="19" t="inlineStr">
        <is>
          <t>Satish Rajwade</t>
        </is>
      </c>
      <c r="E924" s="19" t="inlineStr">
        <is>
          <t>Atul Kulkarni, Sagarika Ghatge, Rohini Hattangadi, Sulekha Talvalkar, Meera Welankar, Satish Rajwade</t>
        </is>
      </c>
      <c r="F924" s="19" t="inlineStr">
        <is>
          <t>India</t>
        </is>
      </c>
      <c r="G924" s="19" t="inlineStr">
        <is>
          <t>2018-02-15</t>
        </is>
      </c>
      <c r="H924" s="19" t="n">
        <v>2013</v>
      </c>
      <c r="I924" s="19" t="inlineStr">
        <is>
          <t>TV-14</t>
        </is>
      </c>
      <c r="J924" s="19" t="inlineStr">
        <is>
          <t>127 min</t>
        </is>
      </c>
      <c r="K924" s="19" t="inlineStr">
        <is>
          <t>International Movies, Romantic Movies</t>
        </is>
      </c>
      <c r="L924" s="19" t="inlineStr">
        <is>
          <t>A man and a woman struggling to keep their respective marriages afloat run into each other at a marriage counselor's office, with unexpected results.</t>
        </is>
      </c>
      <c r="M924" s="19" t="n">
        <v>2018</v>
      </c>
      <c r="N924" s="19">
        <f>IF(AND(OR(YearFilter="All",$M924=YearFilter),OR(RatingFilter="All",$I924=RatingFilter),OR(TypeFilter="All",$B924=TypeFilter),OR(GenreFilter="All",COUNTIFS(tblGenre[show_id],$A924,tblGenre[Genre],GenreFilter)&gt;0)),1,0)</f>
        <v/>
      </c>
    </row>
    <row r="925" ht="15" customHeight="1" s="20">
      <c r="A925" s="19" t="inlineStr">
        <is>
          <t>s7802</t>
        </is>
      </c>
      <c r="B925" s="19" t="inlineStr">
        <is>
          <t>Movie</t>
        </is>
      </c>
      <c r="C925" s="19" t="inlineStr">
        <is>
          <t>Pukar</t>
        </is>
      </c>
      <c r="D925" s="19" t="inlineStr">
        <is>
          <t>Rajkumar Santoshi</t>
        </is>
      </c>
      <c r="E925" s="19" t="inlineStr">
        <is>
          <t>Anil Kapoor, Madhuri Dixit, Namrata Shirodkar, Danny Denzongpa, Om Puri, Kulbhushan Kharbanda, Farida Jalal, Shivaji Satham</t>
        </is>
      </c>
      <c r="F925" s="19" t="inlineStr">
        <is>
          <t>India</t>
        </is>
      </c>
      <c r="G925" s="19" t="inlineStr">
        <is>
          <t>2018-03-01</t>
        </is>
      </c>
      <c r="H925" s="19" t="n">
        <v>2000</v>
      </c>
      <c r="I925" s="19" t="inlineStr">
        <is>
          <t>TV-14</t>
        </is>
      </c>
      <c r="J925" s="19" t="inlineStr">
        <is>
          <t>165 min</t>
        </is>
      </c>
      <c r="K925" s="19" t="inlineStr">
        <is>
          <t>Action &amp; Adventure, Dramas, International Movies</t>
        </is>
      </c>
      <c r="L925" s="19" t="inlineStr">
        <is>
          <t>A notorious terrorist manipulates an Indian army major's jilted lover into helping him obtain a classified military code.</t>
        </is>
      </c>
      <c r="M925" s="19" t="n">
        <v>2018</v>
      </c>
      <c r="N925" s="19">
        <f>IF(AND(OR(YearFilter="All",$M925=YearFilter),OR(RatingFilter="All",$I925=RatingFilter),OR(TypeFilter="All",$B925=TypeFilter),OR(GenreFilter="All",COUNTIFS(tblGenre[show_id],$A925,tblGenre[Genre],GenreFilter)&gt;0)),1,0)</f>
        <v/>
      </c>
    </row>
    <row r="926" ht="15" customHeight="1" s="20">
      <c r="A926" s="19" t="inlineStr">
        <is>
          <t>s7804</t>
        </is>
      </c>
      <c r="B926" s="19" t="inlineStr">
        <is>
          <t>Movie</t>
        </is>
      </c>
      <c r="C926" s="19" t="inlineStr">
        <is>
          <t>Punjab 1984</t>
        </is>
      </c>
      <c r="D926" s="19" t="inlineStr">
        <is>
          <t>Anurag Singh</t>
        </is>
      </c>
      <c r="E926" s="19" t="inlineStr">
        <is>
          <t>Diljit Dosanjh, Kiron Kher, Sonam Bajwa, Pavan Malhotra, Rana Ranbir, Vishwas Kini, Manav Vij, Vansh Bhardwaj</t>
        </is>
      </c>
      <c r="F926" s="19" t="inlineStr">
        <is>
          <t>Canada, India</t>
        </is>
      </c>
      <c r="G926" s="19" t="inlineStr">
        <is>
          <t>2017-11-01</t>
        </is>
      </c>
      <c r="H926" s="19" t="n">
        <v>2014</v>
      </c>
      <c r="I926" s="19" t="inlineStr">
        <is>
          <t>TV-14</t>
        </is>
      </c>
      <c r="J926" s="19" t="inlineStr">
        <is>
          <t>158 min</t>
        </is>
      </c>
      <c r="K926" s="19" t="inlineStr">
        <is>
          <t>Dramas, International Movies</t>
        </is>
      </c>
      <c r="L926" s="19" t="inlineStr">
        <is>
          <t>During a time of political turmoil, a mother goes on a journey in search of her missing son, who has been misjudged and labeled a terrorist.</t>
        </is>
      </c>
      <c r="M926" s="19" t="n">
        <v>2017</v>
      </c>
      <c r="N926" s="19">
        <f>IF(AND(OR(YearFilter="All",$M926=YearFilter),OR(RatingFilter="All",$I926=RatingFilter),OR(TypeFilter="All",$B926=TypeFilter),OR(GenreFilter="All",COUNTIFS(tblGenre[show_id],$A926,tblGenre[Genre],GenreFilter)&gt;0)),1,0)</f>
        <v/>
      </c>
    </row>
    <row r="927" ht="15" customHeight="1" s="20">
      <c r="A927" s="19" t="inlineStr">
        <is>
          <t>s7806</t>
        </is>
      </c>
      <c r="B927" s="19" t="inlineStr">
        <is>
          <t>Movie</t>
        </is>
      </c>
      <c r="C927" s="19" t="inlineStr">
        <is>
          <t>Pyaar Ka Punchnama</t>
        </is>
      </c>
      <c r="D927" s="19" t="inlineStr">
        <is>
          <t>Luv Ranjan</t>
        </is>
      </c>
      <c r="E927" s="19" t="inlineStr">
        <is>
          <t>Kartik Aaryan, Divyendu Sharma, Raayo S. Bakhirta, Nushrat Bharucha, Sonalli Sehgall, Ishita Raj</t>
        </is>
      </c>
      <c r="F927" s="19" t="inlineStr">
        <is>
          <t>India</t>
        </is>
      </c>
      <c r="G927" s="19" t="inlineStr">
        <is>
          <t>2017-05-01</t>
        </is>
      </c>
      <c r="H927" s="19" t="n">
        <v>2011</v>
      </c>
      <c r="I927" s="19" t="inlineStr">
        <is>
          <t>TV-14</t>
        </is>
      </c>
      <c r="J927" s="19" t="inlineStr">
        <is>
          <t>149 min</t>
        </is>
      </c>
      <c r="K927" s="19" t="inlineStr">
        <is>
          <t>Comedies, Dramas, International Movies</t>
        </is>
      </c>
      <c r="L927" s="19" t="inlineStr">
        <is>
          <t>Matters of the heart introduce chaos into the once-idyllic bachelor existence of three young men who share an apartment.</t>
        </is>
      </c>
      <c r="M927" s="19" t="n">
        <v>2017</v>
      </c>
      <c r="N927" s="19">
        <f>IF(AND(OR(YearFilter="All",$M927=YearFilter),OR(RatingFilter="All",$I927=RatingFilter),OR(TypeFilter="All",$B927=TypeFilter),OR(GenreFilter="All",COUNTIFS(tblGenre[show_id],$A927,tblGenre[Genre],GenreFilter)&gt;0)),1,0)</f>
        <v/>
      </c>
    </row>
    <row r="928" ht="15" customHeight="1" s="20">
      <c r="A928" s="19" t="inlineStr">
        <is>
          <t>s7807</t>
        </is>
      </c>
      <c r="B928" s="19" t="inlineStr">
        <is>
          <t>TV Show</t>
        </is>
      </c>
      <c r="C928" s="19" t="inlineStr">
        <is>
          <t>Pyaar Tune Kya Kiya</t>
        </is>
      </c>
      <c r="E928" s="19" t="inlineStr">
        <is>
          <t>Meiyang Chang, Surbhi Jyoti</t>
        </is>
      </c>
      <c r="F928" s="19" t="inlineStr">
        <is>
          <t>India</t>
        </is>
      </c>
      <c r="G928" s="19" t="inlineStr">
        <is>
          <t>2017-06-01</t>
        </is>
      </c>
      <c r="H928" s="19" t="n">
        <v>2014</v>
      </c>
      <c r="I928" s="19" t="inlineStr">
        <is>
          <t>TV-14</t>
        </is>
      </c>
      <c r="J928" s="19" t="inlineStr">
        <is>
          <t>3 Seasons</t>
        </is>
      </c>
      <c r="K928" s="19" t="inlineStr">
        <is>
          <t>International TV Shows, Romantic TV Shows, TV Dramas</t>
        </is>
      </c>
      <c r="L928" s="19" t="inlineStr">
        <is>
          <t>From teen lovers defying social and religious taboos to a student falling for her teacher, these stories explore joy and heartache in modern romance.</t>
        </is>
      </c>
      <c r="M928" s="19" t="n">
        <v>2017</v>
      </c>
      <c r="N928" s="19">
        <f>IF(AND(OR(YearFilter="All",$M928=YearFilter),OR(RatingFilter="All",$I928=RatingFilter),OR(TypeFilter="All",$B928=TypeFilter),OR(GenreFilter="All",COUNTIFS(tblGenre[show_id],$A928,tblGenre[Genre],GenreFilter)&gt;0)),1,0)</f>
        <v/>
      </c>
    </row>
    <row r="929" ht="15" customHeight="1" s="20">
      <c r="A929" s="19" t="inlineStr">
        <is>
          <t>s7820</t>
        </is>
      </c>
      <c r="B929" s="19" t="inlineStr">
        <is>
          <t>Movie</t>
        </is>
      </c>
      <c r="C929" s="19" t="inlineStr">
        <is>
          <t>Radiopetti</t>
        </is>
      </c>
      <c r="D929" s="19" t="inlineStr">
        <is>
          <t>Hari Viswanath</t>
        </is>
      </c>
      <c r="E929" s="19" t="inlineStr">
        <is>
          <t>Lakshmanan, TVV Ramanujam, Shobana, Nivas Adithan, Indhumathi, Baby Maya, Master Rohan</t>
        </is>
      </c>
      <c r="F929" s="19" t="inlineStr">
        <is>
          <t>India</t>
        </is>
      </c>
      <c r="G929" s="19" t="inlineStr">
        <is>
          <t>2017-01-01</t>
        </is>
      </c>
      <c r="H929" s="19" t="n">
        <v>2015</v>
      </c>
      <c r="I929" s="19" t="inlineStr">
        <is>
          <t>TV-PG</t>
        </is>
      </c>
      <c r="J929" s="19" t="inlineStr">
        <is>
          <t>83 min</t>
        </is>
      </c>
      <c r="K929" s="19" t="inlineStr">
        <is>
          <t>Dramas, International Movies</t>
        </is>
      </c>
      <c r="L929" s="19" t="inlineStr">
        <is>
          <t>An elderly, hearing-impaired Indian man stays connected to the world of the past through the beloved valve radio he has owned since childhood.</t>
        </is>
      </c>
      <c r="M929" s="19" t="n">
        <v>2017</v>
      </c>
      <c r="N929" s="19">
        <f>IF(AND(OR(YearFilter="All",$M929=YearFilter),OR(RatingFilter="All",$I929=RatingFilter),OR(TypeFilter="All",$B929=TypeFilter),OR(GenreFilter="All",COUNTIFS(tblGenre[show_id],$A929,tblGenre[Genre],GenreFilter)&gt;0)),1,0)</f>
        <v/>
      </c>
    </row>
    <row r="930" ht="15" customHeight="1" s="20">
      <c r="A930" s="19" t="inlineStr">
        <is>
          <t>s7822</t>
        </is>
      </c>
      <c r="B930" s="19" t="inlineStr">
        <is>
          <t>Movie</t>
        </is>
      </c>
      <c r="C930" s="19" t="inlineStr">
        <is>
          <t>Rahasya</t>
        </is>
      </c>
      <c r="D930" s="19" t="inlineStr">
        <is>
          <t>Manish Gupta</t>
        </is>
      </c>
      <c r="E930" s="19" t="inlineStr">
        <is>
          <t>Kay Kay Menon, Ashish Vidyarthi, Tisca Chopra, Mita Vashisht, Bikramjeet Kanwarpal, Ashwini Kalsekar, Kunal Sharma, Nimai Bali</t>
        </is>
      </c>
      <c r="F930" s="19" t="inlineStr">
        <is>
          <t>India</t>
        </is>
      </c>
      <c r="G930" s="19" t="inlineStr">
        <is>
          <t>2018-03-01</t>
        </is>
      </c>
      <c r="H930" s="19" t="n">
        <v>2015</v>
      </c>
      <c r="I930" s="19" t="inlineStr">
        <is>
          <t>TV-14</t>
        </is>
      </c>
      <c r="J930" s="19" t="inlineStr">
        <is>
          <t>117 min</t>
        </is>
      </c>
      <c r="K930" s="19" t="inlineStr">
        <is>
          <t>Dramas, International Movies</t>
        </is>
      </c>
      <c r="L930" s="19" t="inlineStr">
        <is>
          <t>The murder of a teenage girl found dead in her bedroom opens up a twisted investigation that leads into a dark, murky labyrinth of secrets and lies.</t>
        </is>
      </c>
      <c r="M930" s="19" t="n">
        <v>2018</v>
      </c>
      <c r="N930" s="19">
        <f>IF(AND(OR(YearFilter="All",$M930=YearFilter),OR(RatingFilter="All",$I930=RatingFilter),OR(TypeFilter="All",$B930=TypeFilter),OR(GenreFilter="All",COUNTIFS(tblGenre[show_id],$A930,tblGenre[Genre],GenreFilter)&gt;0)),1,0)</f>
        <v/>
      </c>
    </row>
    <row r="931" ht="15" customHeight="1" s="20">
      <c r="A931" s="19" t="inlineStr">
        <is>
          <t>s7825</t>
        </is>
      </c>
      <c r="B931" s="19" t="inlineStr">
        <is>
          <t>Movie</t>
        </is>
      </c>
      <c r="C931" s="19" t="inlineStr">
        <is>
          <t>Raja Hindustani</t>
        </is>
      </c>
      <c r="D931" s="19" t="inlineStr">
        <is>
          <t>Dharmesh Darshan</t>
        </is>
      </c>
      <c r="E931" s="19" t="inlineStr">
        <is>
          <t>Aamir Khan, Karisma Kapoor, Suresh Oberoi, Johnny Lever, Navneet Nishan, Veeru Krishnan, Kunal Khemu, Pramod Moutho, Mohnish Bahl</t>
        </is>
      </c>
      <c r="F931" s="19" t="inlineStr">
        <is>
          <t>India</t>
        </is>
      </c>
      <c r="G931" s="19" t="inlineStr">
        <is>
          <t>2017-05-01</t>
        </is>
      </c>
      <c r="H931" s="19" t="n">
        <v>1996</v>
      </c>
      <c r="I931" s="19" t="inlineStr">
        <is>
          <t>TV-14</t>
        </is>
      </c>
      <c r="J931" s="19" t="inlineStr">
        <is>
          <t>177 min</t>
        </is>
      </c>
      <c r="K931" s="19" t="inlineStr">
        <is>
          <t>Dramas, International Movies, Romantic Movies</t>
        </is>
      </c>
      <c r="L931" s="19" t="inlineStr">
        <is>
          <t>When a poor taxi driver falls in love with a wealthy young woman, he must stand up to her family and contend with his own insecurities.</t>
        </is>
      </c>
      <c r="M931" s="19" t="n">
        <v>2017</v>
      </c>
      <c r="N931" s="19">
        <f>IF(AND(OR(YearFilter="All",$M931=YearFilter),OR(RatingFilter="All",$I931=RatingFilter),OR(TypeFilter="All",$B931=TypeFilter),OR(GenreFilter="All",COUNTIFS(tblGenre[show_id],$A931,tblGenre[Genre],GenreFilter)&gt;0)),1,0)</f>
        <v/>
      </c>
    </row>
    <row r="932" ht="15" customHeight="1" s="20">
      <c r="A932" s="19" t="inlineStr">
        <is>
          <t>s7826</t>
        </is>
      </c>
      <c r="B932" s="19" t="inlineStr">
        <is>
          <t>Movie</t>
        </is>
      </c>
      <c r="C932" s="19" t="inlineStr">
        <is>
          <t>Rajnigandha</t>
        </is>
      </c>
      <c r="D932" s="19" t="inlineStr">
        <is>
          <t>Basu Chatterjee</t>
        </is>
      </c>
      <c r="E932" s="19" t="inlineStr">
        <is>
          <t>Vidya Sinha, Amol Palekar, Dinesh Thakur, Ranjita Thakur, Veena Gaud, Manju Maini</t>
        </is>
      </c>
      <c r="F932" s="19" t="inlineStr">
        <is>
          <t>India</t>
        </is>
      </c>
      <c r="G932" s="19" t="inlineStr">
        <is>
          <t>2019-12-31</t>
        </is>
      </c>
      <c r="H932" s="19" t="n">
        <v>1974</v>
      </c>
      <c r="I932" s="19" t="inlineStr">
        <is>
          <t>TV-PG</t>
        </is>
      </c>
      <c r="J932" s="19" t="inlineStr">
        <is>
          <t>104 min</t>
        </is>
      </c>
      <c r="K932" s="19" t="inlineStr">
        <is>
          <t>Comedies, Dramas, Independent Movies</t>
        </is>
      </c>
      <c r="L932" s="19" t="inlineStr">
        <is>
          <t>A grad student leaves her boyfriend in Delhi for a job interview in Mumbai, where she reconnects with an old flame for whom she still has feelings.</t>
        </is>
      </c>
      <c r="M932" s="19" t="n">
        <v>2019</v>
      </c>
      <c r="N932" s="19">
        <f>IF(AND(OR(YearFilter="All",$M932=YearFilter),OR(RatingFilter="All",$I932=RatingFilter),OR(TypeFilter="All",$B932=TypeFilter),OR(GenreFilter="All",COUNTIFS(tblGenre[show_id],$A932,tblGenre[Genre],GenreFilter)&gt;0)),1,0)</f>
        <v/>
      </c>
    </row>
    <row r="933" ht="15" customHeight="1" s="20">
      <c r="A933" s="19" t="inlineStr">
        <is>
          <t>s7828</t>
        </is>
      </c>
      <c r="B933" s="19" t="inlineStr">
        <is>
          <t>Movie</t>
        </is>
      </c>
      <c r="C933" s="19" t="inlineStr">
        <is>
          <t>Ram Teri Ganga Maili</t>
        </is>
      </c>
      <c r="D933" s="19" t="inlineStr">
        <is>
          <t>Raj Kapoor</t>
        </is>
      </c>
      <c r="E933" s="19" t="inlineStr">
        <is>
          <t>Mandakini, Rajiv Kapoor, Divya Rana, Saeed Jaffrey, Kulbhushan Kharbanda, Raza Murad, Sushma Seth, Trilok Kapoor</t>
        </is>
      </c>
      <c r="F933" s="19" t="inlineStr">
        <is>
          <t>India</t>
        </is>
      </c>
      <c r="G933" s="19" t="inlineStr">
        <is>
          <t>2019-12-31</t>
        </is>
      </c>
      <c r="H933" s="19" t="n">
        <v>1985</v>
      </c>
      <c r="I933" s="19" t="inlineStr">
        <is>
          <t>TV-14</t>
        </is>
      </c>
      <c r="J933" s="19" t="inlineStr">
        <is>
          <t>178 min</t>
        </is>
      </c>
      <c r="K933" s="19" t="inlineStr">
        <is>
          <t>Classic Movies, Dramas, International Movies</t>
        </is>
      </c>
      <c r="L933" s="19" t="inlineStr">
        <is>
          <t>Abandoned by her new husband and father of her son, a mountain woman journeys to Calcutta to find him, constantly tested by social evils along the way.</t>
        </is>
      </c>
      <c r="M933" s="19" t="n">
        <v>2019</v>
      </c>
      <c r="N933" s="19">
        <f>IF(AND(OR(YearFilter="All",$M933=YearFilter),OR(RatingFilter="All",$I933=RatingFilter),OR(TypeFilter="All",$B933=TypeFilter),OR(GenreFilter="All",COUNTIFS(tblGenre[show_id],$A933,tblGenre[Genre],GenreFilter)&gt;0)),1,0)</f>
        <v/>
      </c>
    </row>
    <row r="934" ht="15" customHeight="1" s="20">
      <c r="A934" s="19" t="inlineStr">
        <is>
          <t>s7829</t>
        </is>
      </c>
      <c r="B934" s="19" t="inlineStr">
        <is>
          <t>TV Show</t>
        </is>
      </c>
      <c r="C934" s="19" t="inlineStr">
        <is>
          <t>Ramayan</t>
        </is>
      </c>
      <c r="E934" s="19" t="inlineStr">
        <is>
          <t>Gagan Malik, Neha Sargam, Neil Bhatt</t>
        </is>
      </c>
      <c r="F934" s="19" t="inlineStr">
        <is>
          <t>India</t>
        </is>
      </c>
      <c r="G934" s="19" t="inlineStr">
        <is>
          <t>2018-04-01</t>
        </is>
      </c>
      <c r="H934" s="19" t="n">
        <v>2012</v>
      </c>
      <c r="I934" s="19" t="inlineStr">
        <is>
          <t>TV-14</t>
        </is>
      </c>
      <c r="J934" s="19" t="inlineStr">
        <is>
          <t>1 Season</t>
        </is>
      </c>
      <c r="K934" s="19" t="inlineStr">
        <is>
          <t>International TV Shows, TV Dramas</t>
        </is>
      </c>
      <c r="L934" s="19" t="inlineStr">
        <is>
          <t>A prince's divine destiny to rule as a king is thwarted by his stepmother's scheme to put her own child on the throne in this legendary epic.</t>
        </is>
      </c>
      <c r="M934" s="19" t="n">
        <v>2018</v>
      </c>
      <c r="N934" s="19">
        <f>IF(AND(OR(YearFilter="All",$M934=YearFilter),OR(RatingFilter="All",$I934=RatingFilter),OR(TypeFilter="All",$B934=TypeFilter),OR(GenreFilter="All",COUNTIFS(tblGenre[show_id],$A934,tblGenre[Genre],GenreFilter)&gt;0)),1,0)</f>
        <v/>
      </c>
    </row>
    <row r="935" ht="15" customHeight="1" s="20">
      <c r="A935" s="19" t="inlineStr">
        <is>
          <t>s7831</t>
        </is>
      </c>
      <c r="B935" s="19" t="inlineStr">
        <is>
          <t>Movie</t>
        </is>
      </c>
      <c r="C935" s="19" t="inlineStr">
        <is>
          <t>Ramji Londonwaley</t>
        </is>
      </c>
      <c r="D935" s="19" t="inlineStr">
        <is>
          <t>Sanjay Dayma</t>
        </is>
      </c>
      <c r="E935" s="19" t="inlineStr">
        <is>
          <t>Madhavan, Samita Bangargi, Harsh Chhaya, Rajendranath Zutshi, Shikha Shalu Varma, Satish Shah, Akhilendra Mishra</t>
        </is>
      </c>
      <c r="F935" s="19" t="inlineStr">
        <is>
          <t>India</t>
        </is>
      </c>
      <c r="G935" s="19" t="inlineStr">
        <is>
          <t>2019-12-31</t>
        </is>
      </c>
      <c r="H935" s="19" t="n">
        <v>2005</v>
      </c>
      <c r="I935" s="19" t="inlineStr">
        <is>
          <t>TV-14</t>
        </is>
      </c>
      <c r="J935" s="19" t="inlineStr">
        <is>
          <t>154 min</t>
        </is>
      </c>
      <c r="K935" s="19" t="inlineStr">
        <is>
          <t>Comedies, Dramas, International Movies</t>
        </is>
      </c>
      <c r="L935" s="19" t="inlineStr">
        <is>
          <t>A small-town cook moves to London to earn a living, but from his employer’s sudden death to the immigration officials on his trail, plans soon go sour.</t>
        </is>
      </c>
      <c r="M935" s="19" t="n">
        <v>2019</v>
      </c>
      <c r="N935" s="19">
        <f>IF(AND(OR(YearFilter="All",$M935=YearFilter),OR(RatingFilter="All",$I935=RatingFilter),OR(TypeFilter="All",$B935=TypeFilter),OR(GenreFilter="All",COUNTIFS(tblGenre[show_id],$A935,tblGenre[Genre],GenreFilter)&gt;0)),1,0)</f>
        <v/>
      </c>
    </row>
    <row r="936" ht="15" customHeight="1" s="20">
      <c r="A936" s="19" t="inlineStr">
        <is>
          <t>s7833</t>
        </is>
      </c>
      <c r="B936" s="19" t="inlineStr">
        <is>
          <t>Movie</t>
        </is>
      </c>
      <c r="C936" s="19" t="inlineStr">
        <is>
          <t>Ranbhool</t>
        </is>
      </c>
      <c r="D936" s="19" t="inlineStr">
        <is>
          <t>Girish Joshi</t>
        </is>
      </c>
      <c r="E936" s="19" t="inlineStr">
        <is>
          <t>Subodh Bhave, Mohan Joshi, Vinay Apte, Uday Tikekar, Tejaswini Pandit, Saii Ranade, Daksha Mahendra, Gargi Datar</t>
        </is>
      </c>
      <c r="F936" s="19" t="inlineStr">
        <is>
          <t>India</t>
        </is>
      </c>
      <c r="G936" s="19" t="inlineStr">
        <is>
          <t>2018-03-15</t>
        </is>
      </c>
      <c r="H936" s="19" t="n">
        <v>2010</v>
      </c>
      <c r="I936" s="19" t="inlineStr">
        <is>
          <t>TV-MA</t>
        </is>
      </c>
      <c r="J936" s="19" t="inlineStr">
        <is>
          <t>115 min</t>
        </is>
      </c>
      <c r="K936" s="19" t="inlineStr">
        <is>
          <t>Horror Movies, International Movies, Thrillers</t>
        </is>
      </c>
      <c r="L936" s="19" t="inlineStr">
        <is>
          <t>Believing himself to be God's envoy, a troubled young man embarks on a killing spree as his passion for music becomes a psychotic obsession.</t>
        </is>
      </c>
      <c r="M936" s="19" t="n">
        <v>2018</v>
      </c>
      <c r="N936" s="19">
        <f>IF(AND(OR(YearFilter="All",$M936=YearFilter),OR(RatingFilter="All",$I936=RatingFilter),OR(TypeFilter="All",$B936=TypeFilter),OR(GenreFilter="All",COUNTIFS(tblGenre[show_id],$A936,tblGenre[Genre],GenreFilter)&gt;0)),1,0)</f>
        <v/>
      </c>
    </row>
    <row r="937" ht="15" customHeight="1" s="20">
      <c r="A937" s="19" t="inlineStr">
        <is>
          <t>s7836</t>
        </is>
      </c>
      <c r="B937" s="19" t="inlineStr">
        <is>
          <t>TV Show</t>
        </is>
      </c>
      <c r="C937" s="19" t="inlineStr">
        <is>
          <t>Razia Sultan</t>
        </is>
      </c>
      <c r="E937" s="19" t="inlineStr">
        <is>
          <t>Pankhuri Awasthy, Saurabh Pandey, Rohit Purohit, Sooraj Tapar, Mohit Abrol, Seema Kapoor</t>
        </is>
      </c>
      <c r="F937" s="19" t="inlineStr">
        <is>
          <t>India</t>
        </is>
      </c>
      <c r="G937" s="19" t="inlineStr">
        <is>
          <t>2017-04-01</t>
        </is>
      </c>
      <c r="H937" s="19" t="n">
        <v>2015</v>
      </c>
      <c r="I937" s="19" t="inlineStr">
        <is>
          <t>TV-14</t>
        </is>
      </c>
      <c r="J937" s="19" t="inlineStr">
        <is>
          <t>1 Season</t>
        </is>
      </c>
      <c r="K937" s="19" t="inlineStr">
        <is>
          <t>International TV Shows, Romantic TV Shows, TV Dramas</t>
        </is>
      </c>
      <c r="L937" s="19" t="inlineStr">
        <is>
          <t>This sweeping historical drama charts the rise of a remarkable real-life figure, the first woman to ever rule the Delhi Sultanate.</t>
        </is>
      </c>
      <c r="M937" s="19" t="n">
        <v>2017</v>
      </c>
      <c r="N937" s="19">
        <f>IF(AND(OR(YearFilter="All",$M937=YearFilter),OR(RatingFilter="All",$I937=RatingFilter),OR(TypeFilter="All",$B937=TypeFilter),OR(GenreFilter="All",COUNTIFS(tblGenre[show_id],$A937,tblGenre[Genre],GenreFilter)&gt;0)),1,0)</f>
        <v/>
      </c>
    </row>
    <row r="938" ht="15" customHeight="1" s="20">
      <c r="A938" s="19" t="inlineStr">
        <is>
          <t>s7838</t>
        </is>
      </c>
      <c r="B938" s="19" t="inlineStr">
        <is>
          <t>Movie</t>
        </is>
      </c>
      <c r="C938" s="19" t="inlineStr">
        <is>
          <t>Ready</t>
        </is>
      </c>
      <c r="D938" s="19" t="inlineStr">
        <is>
          <t>Anees Bazmee</t>
        </is>
      </c>
      <c r="E938" s="19" t="inlineStr">
        <is>
          <t>Salman Khan, Asin, Paresh Rawal, Mahesh Manjrekar, Anuradha Patel, Manoj Pahwa, Manoj Joshi, Puneet Issar, Sharat Saxena, Akhilendra Mishra, Zarine Khan, Arya Babbar</t>
        </is>
      </c>
      <c r="F938" s="19" t="inlineStr">
        <is>
          <t>India</t>
        </is>
      </c>
      <c r="G938" s="19" t="inlineStr">
        <is>
          <t>2017-10-22</t>
        </is>
      </c>
      <c r="H938" s="19" t="n">
        <v>2011</v>
      </c>
      <c r="I938" s="19" t="inlineStr">
        <is>
          <t>TV-PG</t>
        </is>
      </c>
      <c r="J938" s="19" t="inlineStr">
        <is>
          <t>144 min</t>
        </is>
      </c>
      <c r="K938" s="19" t="inlineStr">
        <is>
          <t>Comedies, International Movies, Romantic Movies</t>
        </is>
      </c>
      <c r="L938" s="19" t="inlineStr">
        <is>
          <t>Bollywood superstar Salman Khan plays Prem, an heir to a perfume fortune who falls in love with the wrong woman in this romantic comedy.</t>
        </is>
      </c>
      <c r="M938" s="19" t="n">
        <v>2017</v>
      </c>
      <c r="N938" s="19">
        <f>IF(AND(OR(YearFilter="All",$M938=YearFilter),OR(RatingFilter="All",$I938=RatingFilter),OR(TypeFilter="All",$B938=TypeFilter),OR(GenreFilter="All",COUNTIFS(tblGenre[show_id],$A938,tblGenre[Genre],GenreFilter)&gt;0)),1,0)</f>
        <v/>
      </c>
    </row>
    <row r="939" ht="15" customHeight="1" s="20">
      <c r="A939" s="19" t="inlineStr">
        <is>
          <t>s7846</t>
        </is>
      </c>
      <c r="B939" s="19" t="inlineStr">
        <is>
          <t>Movie</t>
        </is>
      </c>
      <c r="C939" s="19" t="inlineStr">
        <is>
          <t>Red Oleanders Raktokarobi</t>
        </is>
      </c>
      <c r="D939" s="19" t="inlineStr">
        <is>
          <t>Amitava Bhattacharya</t>
        </is>
      </c>
      <c r="E939" s="19" t="inlineStr">
        <is>
          <t>Shantilal Mukherjee, Mumtaz Sorcar, Rahul, Koushik Sen, Rajesh Sharma, Debdut Ghosh, Anindya Banerjee, Amitabha Bhattacharjee, Usashi Chakraborty, Dipankar Dey</t>
        </is>
      </c>
      <c r="F939" s="19" t="inlineStr">
        <is>
          <t>India</t>
        </is>
      </c>
      <c r="G939" s="19" t="inlineStr">
        <is>
          <t>2018-09-15</t>
        </is>
      </c>
      <c r="H939" s="19" t="n">
        <v>2017</v>
      </c>
      <c r="I939" s="19" t="inlineStr">
        <is>
          <t>TV-14</t>
        </is>
      </c>
      <c r="J939" s="19" t="inlineStr">
        <is>
          <t>112 min</t>
        </is>
      </c>
      <c r="K939" s="19" t="inlineStr">
        <is>
          <t>Dramas, International Movies</t>
        </is>
      </c>
      <c r="L939" s="19" t="inlineStr">
        <is>
          <t>When a theater group stages a production of a Rabindranath Tagore play, they begin to notice parallels between the story and their own lives.</t>
        </is>
      </c>
      <c r="M939" s="19" t="n">
        <v>2018</v>
      </c>
      <c r="N939" s="19">
        <f>IF(AND(OR(YearFilter="All",$M939=YearFilter),OR(RatingFilter="All",$I939=RatingFilter),OR(TypeFilter="All",$B939=TypeFilter),OR(GenreFilter="All",COUNTIFS(tblGenre[show_id],$A939,tblGenre[Genre],GenreFilter)&gt;0)),1,0)</f>
        <v/>
      </c>
    </row>
    <row r="940" ht="15" customHeight="1" s="20">
      <c r="A940" s="19" t="inlineStr">
        <is>
          <t>s7862</t>
        </is>
      </c>
      <c r="B940" s="19" t="inlineStr">
        <is>
          <t>Movie</t>
        </is>
      </c>
      <c r="C940" s="19" t="inlineStr">
        <is>
          <t>Revelations</t>
        </is>
      </c>
      <c r="D940" s="19" t="inlineStr">
        <is>
          <t>Vijay Jayapal</t>
        </is>
      </c>
      <c r="E940" s="19" t="inlineStr">
        <is>
          <t>Chetan, Lakshmi Priyaa Chandramouli, Anantharam Karthik, Arpita Banerjee</t>
        </is>
      </c>
      <c r="F940" s="19" t="inlineStr">
        <is>
          <t>India</t>
        </is>
      </c>
      <c r="G940" s="19" t="inlineStr">
        <is>
          <t>2017-03-01</t>
        </is>
      </c>
      <c r="H940" s="19" t="n">
        <v>2016</v>
      </c>
      <c r="I940" s="19" t="inlineStr">
        <is>
          <t>NR</t>
        </is>
      </c>
      <c r="J940" s="19" t="inlineStr">
        <is>
          <t>118 min</t>
        </is>
      </c>
      <c r="K940" s="19" t="inlineStr">
        <is>
          <t>Dramas, International Movies</t>
        </is>
      </c>
      <c r="L940" s="19" t="inlineStr">
        <is>
          <t>After four years together, a husband and wife become entangled in secret, sexually charged relationships that threaten to unravel their marriage.</t>
        </is>
      </c>
      <c r="M940" s="19" t="n">
        <v>2017</v>
      </c>
      <c r="N940" s="19">
        <f>IF(AND(OR(YearFilter="All",$M940=YearFilter),OR(RatingFilter="All",$I940=RatingFilter),OR(TypeFilter="All",$B940=TypeFilter),OR(GenreFilter="All",COUNTIFS(tblGenre[show_id],$A940,tblGenre[Genre],GenreFilter)&gt;0)),1,0)</f>
        <v/>
      </c>
    </row>
    <row r="941" ht="15" customHeight="1" s="20">
      <c r="A941" s="19" t="inlineStr">
        <is>
          <t>s7870</t>
        </is>
      </c>
      <c r="B941" s="19" t="inlineStr">
        <is>
          <t>Movie</t>
        </is>
      </c>
      <c r="C941" s="19" t="inlineStr">
        <is>
          <t>Ringan</t>
        </is>
      </c>
      <c r="D941" s="19" t="inlineStr">
        <is>
          <t>Makarand Mane</t>
        </is>
      </c>
      <c r="E941" s="19" t="inlineStr">
        <is>
          <t>Shashank Shende, Sahil Joshi, Suhas Sirsat, Kalyanee Mulay, Vijay Salve, Umesh Jagtap, Shantanu Gangane, Abhay Mahajan, Vitthal Patil, Ketan Pawar</t>
        </is>
      </c>
      <c r="F941" s="19" t="inlineStr">
        <is>
          <t>India</t>
        </is>
      </c>
      <c r="G941" s="19" t="inlineStr">
        <is>
          <t>2018-05-01</t>
        </is>
      </c>
      <c r="H941" s="19" t="n">
        <v>2015</v>
      </c>
      <c r="I941" s="19" t="inlineStr">
        <is>
          <t>TV-14</t>
        </is>
      </c>
      <c r="J941" s="19" t="inlineStr">
        <is>
          <t>103 min</t>
        </is>
      </c>
      <c r="K941" s="19" t="inlineStr">
        <is>
          <t>Dramas, International Movies</t>
        </is>
      </c>
      <c r="L941" s="19" t="inlineStr">
        <is>
          <t>Desperate to save his land, an indebted farmer journeys to Pandharpur to seek divine blessing with his small son, who searches for his mother.</t>
        </is>
      </c>
      <c r="M941" s="19" t="n">
        <v>2018</v>
      </c>
      <c r="N941" s="19">
        <f>IF(AND(OR(YearFilter="All",$M941=YearFilter),OR(RatingFilter="All",$I941=RatingFilter),OR(TypeFilter="All",$B941=TypeFilter),OR(GenreFilter="All",COUNTIFS(tblGenre[show_id],$A941,tblGenre[Genre],GenreFilter)&gt;0)),1,0)</f>
        <v/>
      </c>
    </row>
    <row r="942" ht="15" customHeight="1" s="20">
      <c r="A942" s="19" t="inlineStr">
        <is>
          <t>s7872</t>
        </is>
      </c>
      <c r="B942" s="19" t="inlineStr">
        <is>
          <t>Movie</t>
        </is>
      </c>
      <c r="C942" s="19" t="inlineStr">
        <is>
          <t>Rise of the Zombie</t>
        </is>
      </c>
      <c r="D942" s="19" t="inlineStr">
        <is>
          <t>Devaki Singh, Luke Kenny</t>
        </is>
      </c>
      <c r="E942" s="19" t="inlineStr">
        <is>
          <t>Luke Kenny, Kirti Kulhari, Ashwin Mushran, Benjamin Gilani</t>
        </is>
      </c>
      <c r="F942" s="19" t="inlineStr">
        <is>
          <t>India</t>
        </is>
      </c>
      <c r="G942" s="19" t="inlineStr">
        <is>
          <t>2017-12-15</t>
        </is>
      </c>
      <c r="H942" s="19" t="n">
        <v>2013</v>
      </c>
      <c r="I942" s="19" t="inlineStr">
        <is>
          <t>TV-MA</t>
        </is>
      </c>
      <c r="J942" s="19" t="inlineStr">
        <is>
          <t>83 min</t>
        </is>
      </c>
      <c r="K942" s="19" t="inlineStr">
        <is>
          <t>Horror Movies, International Movies</t>
        </is>
      </c>
      <c r="L942" s="19" t="inlineStr">
        <is>
          <t>A heartbroken wildlife photographer throws himself into his work, only to find himself experiencing strange transformations.</t>
        </is>
      </c>
      <c r="M942" s="19" t="n">
        <v>2017</v>
      </c>
      <c r="N942" s="19">
        <f>IF(AND(OR(YearFilter="All",$M942=YearFilter),OR(RatingFilter="All",$I942=RatingFilter),OR(TypeFilter="All",$B942=TypeFilter),OR(GenreFilter="All",COUNTIFS(tblGenre[show_id],$A942,tblGenre[Genre],GenreFilter)&gt;0)),1,0)</f>
        <v/>
      </c>
    </row>
    <row r="943" ht="15" customHeight="1" s="20">
      <c r="A943" s="19" t="inlineStr">
        <is>
          <t>s7873</t>
        </is>
      </c>
      <c r="B943" s="19" t="inlineStr">
        <is>
          <t>TV Show</t>
        </is>
      </c>
      <c r="C943" s="19" t="inlineStr">
        <is>
          <t>Rishta.com</t>
        </is>
      </c>
      <c r="E943" s="19" t="inlineStr">
        <is>
          <t>Shruti Seth, Kavi Shastri, Siddhant Karnick, Kavin Dave</t>
        </is>
      </c>
      <c r="F943" s="19" t="inlineStr">
        <is>
          <t>India</t>
        </is>
      </c>
      <c r="G943" s="19" t="inlineStr">
        <is>
          <t>2018-03-15</t>
        </is>
      </c>
      <c r="H943" s="19" t="n">
        <v>2010</v>
      </c>
      <c r="I943" s="19" t="inlineStr">
        <is>
          <t>TV-14</t>
        </is>
      </c>
      <c r="J943" s="19" t="inlineStr">
        <is>
          <t>1 Season</t>
        </is>
      </c>
      <c r="K943" s="19" t="inlineStr">
        <is>
          <t>International TV Shows, Romantic TV Shows, TV Comedies</t>
        </is>
      </c>
      <c r="L943" s="19" t="inlineStr">
        <is>
          <t>Partners at an Indian matrimonial agency face endlessly challenging and often impossible demands as they help clients make the perfect match.</t>
        </is>
      </c>
      <c r="M943" s="19" t="n">
        <v>2018</v>
      </c>
      <c r="N943" s="19">
        <f>IF(AND(OR(YearFilter="All",$M943=YearFilter),OR(RatingFilter="All",$I943=RatingFilter),OR(TypeFilter="All",$B943=TypeFilter),OR(GenreFilter="All",COUNTIFS(tblGenre[show_id],$A943,tblGenre[Genre],GenreFilter)&gt;0)),1,0)</f>
        <v/>
      </c>
    </row>
    <row r="944" ht="15" customHeight="1" s="20">
      <c r="A944" s="19" t="inlineStr">
        <is>
          <t>s7874</t>
        </is>
      </c>
      <c r="B944" s="19" t="inlineStr">
        <is>
          <t>Movie</t>
        </is>
      </c>
      <c r="C944" s="19" t="inlineStr">
        <is>
          <t>Rivaaz</t>
        </is>
      </c>
      <c r="D944" s="19" t="inlineStr">
        <is>
          <t>Ashok Nanda</t>
        </is>
      </c>
      <c r="E944" s="19" t="inlineStr">
        <is>
          <t>Deepti Naval, Vijay Raaz, Meghna Naidu, Saadhika Randhawa, Ritisha Vijayvargya, Manoj Biddvai, Sayaji Shinde, Reema Lagoo</t>
        </is>
      </c>
      <c r="F944" s="19" t="inlineStr">
        <is>
          <t>India</t>
        </is>
      </c>
      <c r="G944" s="19" t="inlineStr">
        <is>
          <t>2017-11-01</t>
        </is>
      </c>
      <c r="H944" s="19" t="n">
        <v>2011</v>
      </c>
      <c r="I944" s="19" t="inlineStr">
        <is>
          <t>TV-MA</t>
        </is>
      </c>
      <c r="J944" s="19" t="inlineStr">
        <is>
          <t>107 min</t>
        </is>
      </c>
      <c r="K944" s="19" t="inlineStr">
        <is>
          <t>Dramas, Independent Movies, International Movies</t>
        </is>
      </c>
      <c r="L944" s="19" t="inlineStr">
        <is>
          <t>In a village where girls are auctioned off rather than married, a man falls in love with a girl who is about to face the bidders.</t>
        </is>
      </c>
      <c r="M944" s="19" t="n">
        <v>2017</v>
      </c>
      <c r="N944" s="19">
        <f>IF(AND(OR(YearFilter="All",$M944=YearFilter),OR(RatingFilter="All",$I944=RatingFilter),OR(TypeFilter="All",$B944=TypeFilter),OR(GenreFilter="All",COUNTIFS(tblGenre[show_id],$A944,tblGenre[Genre],GenreFilter)&gt;0)),1,0)</f>
        <v/>
      </c>
    </row>
    <row r="945" ht="15" customHeight="1" s="20">
      <c r="A945" s="19" t="inlineStr">
        <is>
          <t>s7875</t>
        </is>
      </c>
      <c r="B945" s="19" t="inlineStr">
        <is>
          <t>Movie</t>
        </is>
      </c>
      <c r="C945" s="19" t="inlineStr">
        <is>
          <t>Road to Sangam</t>
        </is>
      </c>
      <c r="D945" s="19" t="inlineStr">
        <is>
          <t>Amit Rai</t>
        </is>
      </c>
      <c r="E945" s="19" t="inlineStr">
        <is>
          <t>Paresh Rawal, Om Puri, Pavan Malhotra, Javed Sheikh, Swati Chitnis, Masood Akhtar, Sudhir Nema, Rakesh Srivastava</t>
        </is>
      </c>
      <c r="F945" s="19" t="inlineStr">
        <is>
          <t>India</t>
        </is>
      </c>
      <c r="G945" s="19" t="inlineStr">
        <is>
          <t>2019-12-31</t>
        </is>
      </c>
      <c r="H945" s="19" t="n">
        <v>2010</v>
      </c>
      <c r="I945" s="19" t="inlineStr">
        <is>
          <t>TV-14</t>
        </is>
      </c>
      <c r="J945" s="19" t="inlineStr">
        <is>
          <t>136 min</t>
        </is>
      </c>
      <c r="K945" s="19" t="inlineStr">
        <is>
          <t>Dramas, Independent Movies, International Movies</t>
        </is>
      </c>
      <c r="L945" s="19" t="inlineStr">
        <is>
          <t>As communal violence erupts in his neighborhood, a Muslim mechanic presses forward to repair a historic truck that will transport Gandhi’s last remains.</t>
        </is>
      </c>
      <c r="M945" s="19" t="n">
        <v>2019</v>
      </c>
      <c r="N945" s="19">
        <f>IF(AND(OR(YearFilter="All",$M945=YearFilter),OR(RatingFilter="All",$I945=RatingFilter),OR(TypeFilter="All",$B945=TypeFilter),OR(GenreFilter="All",COUNTIFS(tblGenre[show_id],$A945,tblGenre[Genre],GenreFilter)&gt;0)),1,0)</f>
        <v/>
      </c>
    </row>
    <row r="946" ht="15" customHeight="1" s="20">
      <c r="A946" s="19" t="inlineStr">
        <is>
          <t>s7889</t>
        </is>
      </c>
      <c r="B946" s="19" t="inlineStr">
        <is>
          <t>Movie</t>
        </is>
      </c>
      <c r="C946" s="19" t="inlineStr">
        <is>
          <t>Romeo Ranjha</t>
        </is>
      </c>
      <c r="D946" s="19" t="inlineStr">
        <is>
          <t>Navaniat Singh</t>
        </is>
      </c>
      <c r="E946" s="19" t="inlineStr">
        <is>
          <t>Jazzy B, Garry Sandhu, Monica Bedi, Parul Gulati, Rana Ranbir, Yograj Singh, Rana Jung Bahadur, Sanga Jagir</t>
        </is>
      </c>
      <c r="F946" s="19" t="inlineStr">
        <is>
          <t>India, Canada</t>
        </is>
      </c>
      <c r="G946" s="19" t="inlineStr">
        <is>
          <t>2017-11-01</t>
        </is>
      </c>
      <c r="H946" s="19" t="n">
        <v>2014</v>
      </c>
      <c r="I946" s="19" t="inlineStr">
        <is>
          <t>TV-14</t>
        </is>
      </c>
      <c r="J946" s="19" t="inlineStr">
        <is>
          <t>122 min</t>
        </is>
      </c>
      <c r="K946" s="19" t="inlineStr">
        <is>
          <t>Action &amp; Adventure, Comedies, Music &amp; Musicals</t>
        </is>
      </c>
      <c r="L946" s="19" t="inlineStr">
        <is>
          <t>Two common boys travel from India to Thailand to find success and money, enjoying their friendship and finding ways to cheat the cheats.</t>
        </is>
      </c>
      <c r="M946" s="19" t="n">
        <v>2017</v>
      </c>
      <c r="N946" s="19">
        <f>IF(AND(OR(YearFilter="All",$M946=YearFilter),OR(RatingFilter="All",$I946=RatingFilter),OR(TypeFilter="All",$B946=TypeFilter),OR(GenreFilter="All",COUNTIFS(tblGenre[show_id],$A946,tblGenre[Genre],GenreFilter)&gt;0)),1,0)</f>
        <v/>
      </c>
    </row>
    <row r="947" ht="15" customHeight="1" s="20">
      <c r="A947" s="19" t="inlineStr">
        <is>
          <t>s7899</t>
        </is>
      </c>
      <c r="B947" s="19" t="inlineStr">
        <is>
          <t>Movie</t>
        </is>
      </c>
      <c r="C947" s="19" t="inlineStr">
        <is>
          <t>Rukh</t>
        </is>
      </c>
      <c r="D947" s="19" t="inlineStr">
        <is>
          <t>Atanu Mukherjee</t>
        </is>
      </c>
      <c r="E947" s="19" t="inlineStr">
        <is>
          <t>Adarsh Gourav, Manoj Bajpayee, Smita Tambe, Kumud Mishra</t>
        </is>
      </c>
      <c r="F947" s="19" t="inlineStr">
        <is>
          <t>India</t>
        </is>
      </c>
      <c r="G947" s="19" t="inlineStr">
        <is>
          <t>2018-04-01</t>
        </is>
      </c>
      <c r="H947" s="19" t="n">
        <v>2017</v>
      </c>
      <c r="I947" s="19" t="inlineStr">
        <is>
          <t>TV-MA</t>
        </is>
      </c>
      <c r="J947" s="19" t="inlineStr">
        <is>
          <t>103 min</t>
        </is>
      </c>
      <c r="K947" s="19" t="inlineStr">
        <is>
          <t>Dramas, Independent Movies, International Movies</t>
        </is>
      </c>
      <c r="L947" s="19" t="inlineStr">
        <is>
          <t>Following the untimely death of his father, a young man begins to reconnect with his family while uncovering some difficult truths.</t>
        </is>
      </c>
      <c r="M947" s="19" t="n">
        <v>2018</v>
      </c>
      <c r="N947" s="19">
        <f>IF(AND(OR(YearFilter="All",$M947=YearFilter),OR(RatingFilter="All",$I947=RatingFilter),OR(TypeFilter="All",$B947=TypeFilter),OR(GenreFilter="All",COUNTIFS(tblGenre[show_id],$A947,tblGenre[Genre],GenreFilter)&gt;0)),1,0)</f>
        <v/>
      </c>
    </row>
    <row r="948" ht="15" customHeight="1" s="20">
      <c r="A948" s="19" t="inlineStr">
        <is>
          <t>s7903</t>
        </is>
      </c>
      <c r="B948" s="19" t="inlineStr">
        <is>
          <t>Movie</t>
        </is>
      </c>
      <c r="C948" s="19" t="inlineStr">
        <is>
          <t>Run</t>
        </is>
      </c>
      <c r="D948" s="19" t="inlineStr">
        <is>
          <t>Jeeva</t>
        </is>
      </c>
      <c r="E948" s="19" t="inlineStr">
        <is>
          <t>Abhishek Bachchan, Bhoomika Chawla, Mahesh Manjrekar, Vijay Raaz, Mukesh Rishi, Ayesha Jhulka, Anjan Srivastav, Goga Kapoor, Mukul Agarwal, Shweta Menon</t>
        </is>
      </c>
      <c r="F948" s="19" t="inlineStr">
        <is>
          <t>India</t>
        </is>
      </c>
      <c r="G948" s="19" t="inlineStr">
        <is>
          <t>2018-03-01</t>
        </is>
      </c>
      <c r="H948" s="19" t="n">
        <v>2004</v>
      </c>
      <c r="I948" s="19" t="inlineStr">
        <is>
          <t>TV-14</t>
        </is>
      </c>
      <c r="J948" s="19" t="inlineStr">
        <is>
          <t>134 min</t>
        </is>
      </c>
      <c r="K948" s="19" t="inlineStr">
        <is>
          <t>Action &amp; Adventure, International Movies, Music &amp; Musicals</t>
        </is>
      </c>
      <c r="L948" s="19" t="inlineStr">
        <is>
          <t>Siddharth falls in love with beautiful Jhanvi. But Jhanvi's brother Ganpat is overly possessive – and determined to destroy their relationship.</t>
        </is>
      </c>
      <c r="M948" s="19" t="n">
        <v>2018</v>
      </c>
      <c r="N948" s="19">
        <f>IF(AND(OR(YearFilter="All",$M948=YearFilter),OR(RatingFilter="All",$I948=RatingFilter),OR(TypeFilter="All",$B948=TypeFilter),OR(GenreFilter="All",COUNTIFS(tblGenre[show_id],$A948,tblGenre[Genre],GenreFilter)&gt;0)),1,0)</f>
        <v/>
      </c>
    </row>
    <row r="949" ht="15" customHeight="1" s="20">
      <c r="A949" s="19" t="inlineStr">
        <is>
          <t>s7911</t>
        </is>
      </c>
      <c r="B949" s="19" t="inlineStr">
        <is>
          <t>Movie</t>
        </is>
      </c>
      <c r="C949" s="19" t="inlineStr">
        <is>
          <t>Rustom</t>
        </is>
      </c>
      <c r="D949" s="19" t="inlineStr">
        <is>
          <t>Dharmendra Suresh Desai</t>
        </is>
      </c>
      <c r="E949" s="19" t="inlineStr">
        <is>
          <t>Akshay Kumar, Ileana D'Cruz, Arjan Bajwa, Esha Gupta, Pavan Malhotra, Parmeet Sethi, Sachin Khedekar, Anang Desai, Kumud Mishra, Brijendra Kala, Usha Nadkarni, Kanwaljeet Singh</t>
        </is>
      </c>
      <c r="F949" s="19" t="inlineStr">
        <is>
          <t>India</t>
        </is>
      </c>
      <c r="G949" s="19" t="inlineStr">
        <is>
          <t>2017-01-06</t>
        </is>
      </c>
      <c r="H949" s="19" t="n">
        <v>2016</v>
      </c>
      <c r="I949" s="19" t="inlineStr">
        <is>
          <t>TV-14</t>
        </is>
      </c>
      <c r="J949" s="19" t="inlineStr">
        <is>
          <t>141 min</t>
        </is>
      </c>
      <c r="K949" s="19" t="inlineStr">
        <is>
          <t>Dramas, International Movies</t>
        </is>
      </c>
      <c r="L949" s="19" t="inlineStr">
        <is>
          <t>A decorated naval officer kills his wife's lover, leading to a sensational trial and a national obsession over passion versus premeditated murder.</t>
        </is>
      </c>
      <c r="M949" s="19" t="n">
        <v>2017</v>
      </c>
      <c r="N949" s="19">
        <f>IF(AND(OR(YearFilter="All",$M949=YearFilter),OR(RatingFilter="All",$I949=RatingFilter),OR(TypeFilter="All",$B949=TypeFilter),OR(GenreFilter="All",COUNTIFS(tblGenre[show_id],$A949,tblGenre[Genre],GenreFilter)&gt;0)),1,0)</f>
        <v/>
      </c>
    </row>
    <row r="950" ht="15" customHeight="1" s="20">
      <c r="A950" s="19" t="inlineStr">
        <is>
          <t>s7914</t>
        </is>
      </c>
      <c r="B950" s="19" t="inlineStr">
        <is>
          <t>Movie</t>
        </is>
      </c>
      <c r="C950" s="19" t="inlineStr">
        <is>
          <t>Saath Saath</t>
        </is>
      </c>
      <c r="D950" s="19" t="inlineStr">
        <is>
          <t>Raman Kumar</t>
        </is>
      </c>
      <c r="E950" s="19" t="inlineStr">
        <is>
          <t>Deepti Naval, Farooq Shaikh, Satish Shah, Iftekhar, A.K. Hangal, Neena Gupta, Avtar Gill, Javed Khan</t>
        </is>
      </c>
      <c r="F950" s="19" t="inlineStr">
        <is>
          <t>India</t>
        </is>
      </c>
      <c r="G950" s="19" t="inlineStr">
        <is>
          <t>2019-12-31</t>
        </is>
      </c>
      <c r="H950" s="19" t="n">
        <v>1982</v>
      </c>
      <c r="I950" s="19" t="inlineStr">
        <is>
          <t>TV-14</t>
        </is>
      </c>
      <c r="J950" s="19" t="inlineStr">
        <is>
          <t>118 min</t>
        </is>
      </c>
      <c r="K950" s="19" t="inlineStr">
        <is>
          <t>Dramas, Independent Movies, International Movies</t>
        </is>
      </c>
      <c r="L950" s="19" t="inlineStr">
        <is>
          <t>A young woman falls for her classmate’s idealistic, non-materialistic ways, but is troubled upon seeing his principles change after they marry.</t>
        </is>
      </c>
      <c r="M950" s="19" t="n">
        <v>2019</v>
      </c>
      <c r="N950" s="19">
        <f>IF(AND(OR(YearFilter="All",$M950=YearFilter),OR(RatingFilter="All",$I950=RatingFilter),OR(TypeFilter="All",$B950=TypeFilter),OR(GenreFilter="All",COUNTIFS(tblGenre[show_id],$A950,tblGenre[Genre],GenreFilter)&gt;0)),1,0)</f>
        <v/>
      </c>
    </row>
    <row r="951" ht="15" customHeight="1" s="20">
      <c r="A951" s="19" t="inlineStr">
        <is>
          <t>s7918</t>
        </is>
      </c>
      <c r="B951" s="19" t="inlineStr">
        <is>
          <t>Movie</t>
        </is>
      </c>
      <c r="C951" s="19" t="inlineStr">
        <is>
          <t>Sadma</t>
        </is>
      </c>
      <c r="D951" s="19" t="inlineStr">
        <is>
          <t>Balu Mahendra</t>
        </is>
      </c>
      <c r="E951" s="19" t="inlineStr">
        <is>
          <t>Kamal Hassan, Sridevi, Silk Smitha, Gulshan Grover, Paintal, Arvind Deshpande</t>
        </is>
      </c>
      <c r="F951" s="19" t="inlineStr">
        <is>
          <t>India</t>
        </is>
      </c>
      <c r="G951" s="19" t="inlineStr">
        <is>
          <t>2019-12-31</t>
        </is>
      </c>
      <c r="H951" s="19" t="n">
        <v>1983</v>
      </c>
      <c r="I951" s="19" t="inlineStr">
        <is>
          <t>TV-14</t>
        </is>
      </c>
      <c r="J951" s="19" t="inlineStr">
        <is>
          <t>137 min</t>
        </is>
      </c>
      <c r="K951" s="19" t="inlineStr">
        <is>
          <t>Dramas, International Movies, Romantic Movies</t>
        </is>
      </c>
      <c r="L951" s="19" t="inlineStr">
        <is>
          <t>After a traumatic injury leaves her with amnesia and age regression, a young woman is sold to a brothel before a teacher becomes her savior.</t>
        </is>
      </c>
      <c r="M951" s="19" t="n">
        <v>2019</v>
      </c>
      <c r="N951" s="19">
        <f>IF(AND(OR(YearFilter="All",$M951=YearFilter),OR(RatingFilter="All",$I951=RatingFilter),OR(TypeFilter="All",$B951=TypeFilter),OR(GenreFilter="All",COUNTIFS(tblGenre[show_id],$A951,tblGenre[Genre],GenreFilter)&gt;0)),1,0)</f>
        <v/>
      </c>
    </row>
    <row r="952" ht="15" customHeight="1" s="20">
      <c r="A952" s="19" t="inlineStr">
        <is>
          <t>s7920</t>
        </is>
      </c>
      <c r="B952" s="19" t="inlineStr">
        <is>
          <t>Movie</t>
        </is>
      </c>
      <c r="C952" s="19" t="inlineStr">
        <is>
          <t>Saeed Mirza: The Leftist Sufi</t>
        </is>
      </c>
      <c r="D952" s="19" t="inlineStr">
        <is>
          <t>Kireet Khurana, Padmakumar Narasimhamurthy</t>
        </is>
      </c>
      <c r="E952" s="19" t="inlineStr">
        <is>
          <t>Saeed Akhtar Mirza</t>
        </is>
      </c>
      <c r="F952" s="19" t="inlineStr">
        <is>
          <t>India</t>
        </is>
      </c>
      <c r="G952" s="19" t="inlineStr">
        <is>
          <t>2017-05-01</t>
        </is>
      </c>
      <c r="H952" s="19" t="n">
        <v>2016</v>
      </c>
      <c r="I952" s="19" t="inlineStr">
        <is>
          <t>TV-MA</t>
        </is>
      </c>
      <c r="J952" s="19" t="inlineStr">
        <is>
          <t>61 min</t>
        </is>
      </c>
      <c r="K952" s="19" t="inlineStr">
        <is>
          <t>Documentaries, International Movies</t>
        </is>
      </c>
      <c r="L952" s="19" t="inlineStr">
        <is>
          <t>This documentary profiles the celebrated Hindi film director known as much for his embrace of leftist politics and social concerns as lyrical cinema.</t>
        </is>
      </c>
      <c r="M952" s="19" t="n">
        <v>2017</v>
      </c>
      <c r="N952" s="19">
        <f>IF(AND(OR(YearFilter="All",$M952=YearFilter),OR(RatingFilter="All",$I952=RatingFilter),OR(TypeFilter="All",$B952=TypeFilter),OR(GenreFilter="All",COUNTIFS(tblGenre[show_id],$A952,tblGenre[Genre],GenreFilter)&gt;0)),1,0)</f>
        <v/>
      </c>
    </row>
    <row r="953" ht="15" customHeight="1" s="20">
      <c r="A953" s="19" t="inlineStr">
        <is>
          <t>s7922</t>
        </is>
      </c>
      <c r="B953" s="19" t="inlineStr">
        <is>
          <t>Movie</t>
        </is>
      </c>
      <c r="C953" s="19" t="inlineStr">
        <is>
          <t>Saheb Bibi Golaam</t>
        </is>
      </c>
      <c r="D953" s="19" t="inlineStr">
        <is>
          <t>Pratim D. Gupta</t>
        </is>
      </c>
      <c r="E953" s="19" t="inlineStr">
        <is>
          <t>Anjan Dutt, Swastika Mukherjee, Ritwick Chakraborty, Parno Mittra, Bikram Chatterjee, Sohag Sen, Sumanta Mukherjee, Arun Mukhopadhyay</t>
        </is>
      </c>
      <c r="F953" s="19" t="inlineStr">
        <is>
          <t>India</t>
        </is>
      </c>
      <c r="G953" s="19" t="inlineStr">
        <is>
          <t>2017-01-01</t>
        </is>
      </c>
      <c r="H953" s="19" t="n">
        <v>2016</v>
      </c>
      <c r="I953" s="19" t="inlineStr">
        <is>
          <t>TV-MA</t>
        </is>
      </c>
      <c r="J953" s="19" t="inlineStr">
        <is>
          <t>118 min</t>
        </is>
      </c>
      <c r="K953" s="19" t="inlineStr">
        <is>
          <t>Dramas, International Movies</t>
        </is>
      </c>
      <c r="L953" s="19" t="inlineStr">
        <is>
          <t>A charming cabbie, a cop turned assassin and a housewife who’s also a hooker share one thing in common: a bizarre and violent afternoon in Kolkata.</t>
        </is>
      </c>
      <c r="M953" s="19" t="n">
        <v>2017</v>
      </c>
      <c r="N953" s="19">
        <f>IF(AND(OR(YearFilter="All",$M953=YearFilter),OR(RatingFilter="All",$I953=RatingFilter),OR(TypeFilter="All",$B953=TypeFilter),OR(GenreFilter="All",COUNTIFS(tblGenre[show_id],$A953,tblGenre[Genre],GenreFilter)&gt;0)),1,0)</f>
        <v/>
      </c>
    </row>
    <row r="954" ht="15" customHeight="1" s="20">
      <c r="A954" s="19" t="inlineStr">
        <is>
          <t>s7923</t>
        </is>
      </c>
      <c r="B954" s="19" t="inlineStr">
        <is>
          <t>Movie</t>
        </is>
      </c>
      <c r="C954" s="19" t="inlineStr">
        <is>
          <t>Sairat</t>
        </is>
      </c>
      <c r="D954" s="19" t="inlineStr">
        <is>
          <t>Nagraj Manjule</t>
        </is>
      </c>
      <c r="E954" s="19" t="inlineStr">
        <is>
          <t>Rinku Rajguru, Akash Thosar, Arbaz Shaikh, Tanaji Galgunde, Suresh Vishwakarma</t>
        </is>
      </c>
      <c r="F954" s="19" t="inlineStr">
        <is>
          <t>India</t>
        </is>
      </c>
      <c r="G954" s="19" t="inlineStr">
        <is>
          <t>2018-04-01</t>
        </is>
      </c>
      <c r="H954" s="19" t="n">
        <v>2016</v>
      </c>
      <c r="I954" s="19" t="inlineStr">
        <is>
          <t>TV-14</t>
        </is>
      </c>
      <c r="J954" s="19" t="inlineStr">
        <is>
          <t>173 min</t>
        </is>
      </c>
      <c r="K954" s="19" t="inlineStr">
        <is>
          <t>Dramas, International Movies, Romantic Movies</t>
        </is>
      </c>
      <c r="L954" s="19" t="inlineStr">
        <is>
          <t>When two college students – a rich man’s daughter and a fisherman’s son – defy social edicts by falling in love, violence erupts in their village.</t>
        </is>
      </c>
      <c r="M954" s="19" t="n">
        <v>2018</v>
      </c>
      <c r="N954" s="19">
        <f>IF(AND(OR(YearFilter="All",$M954=YearFilter),OR(RatingFilter="All",$I954=RatingFilter),OR(TypeFilter="All",$B954=TypeFilter),OR(GenreFilter="All",COUNTIFS(tblGenre[show_id],$A954,tblGenre[Genre],GenreFilter)&gt;0)),1,0)</f>
        <v/>
      </c>
    </row>
    <row r="955" ht="15" customHeight="1" s="20">
      <c r="A955" s="19" t="inlineStr">
        <is>
          <t>s7924</t>
        </is>
      </c>
      <c r="B955" s="19" t="inlineStr">
        <is>
          <t>Movie</t>
        </is>
      </c>
      <c r="C955" s="19" t="inlineStr">
        <is>
          <t>Sakhi</t>
        </is>
      </c>
      <c r="D955" s="19" t="inlineStr">
        <is>
          <t>Sanjay Soorkar</t>
        </is>
      </c>
      <c r="E955" s="19" t="inlineStr">
        <is>
          <t>Ashok Saraf, Sonali Kulkarni, Subodh Bhave, Usha Nadkarni, Raghavendra Kadkol, Pushkar Shrotri, Lokesh Gupte, Santosh Juvekar, Jyoti Joshi, Kishor Mahabole</t>
        </is>
      </c>
      <c r="F955" s="19" t="inlineStr">
        <is>
          <t>India</t>
        </is>
      </c>
      <c r="G955" s="19" t="inlineStr">
        <is>
          <t>2018-02-15</t>
        </is>
      </c>
      <c r="H955" s="19" t="n">
        <v>2007</v>
      </c>
      <c r="I955" s="19" t="inlineStr">
        <is>
          <t>TV-PG</t>
        </is>
      </c>
      <c r="J955" s="19" t="inlineStr">
        <is>
          <t>152 min</t>
        </is>
      </c>
      <c r="K955" s="19" t="inlineStr">
        <is>
          <t>Dramas, International Movies, Music &amp; Musicals</t>
        </is>
      </c>
      <c r="L955" s="19" t="inlineStr">
        <is>
          <t>Caught in a downward spiral of failed career moves, misguided ambitions and bad relations, a pair of lost souls find hope in an unexpected friendship.</t>
        </is>
      </c>
      <c r="M955" s="19" t="n">
        <v>2018</v>
      </c>
      <c r="N955" s="19">
        <f>IF(AND(OR(YearFilter="All",$M955=YearFilter),OR(RatingFilter="All",$I955=RatingFilter),OR(TypeFilter="All",$B955=TypeFilter),OR(GenreFilter="All",COUNTIFS(tblGenre[show_id],$A955,tblGenre[Genre],GenreFilter)&gt;0)),1,0)</f>
        <v/>
      </c>
    </row>
    <row r="956" ht="15" customHeight="1" s="20">
      <c r="A956" s="19" t="inlineStr">
        <is>
          <t>s7926</t>
        </is>
      </c>
      <c r="B956" s="19" t="inlineStr">
        <is>
          <t>Movie</t>
        </is>
      </c>
      <c r="C956" s="19" t="inlineStr">
        <is>
          <t>Samantaral</t>
        </is>
      </c>
      <c r="D956" s="19" t="inlineStr">
        <is>
          <t>Partha Chakraborty</t>
        </is>
      </c>
      <c r="E956" s="19" t="inlineStr">
        <is>
          <t>Riddhi Sen, Parambrata Chatterjee, Soumitra Chatterjee, Aparajita Adhya, Tanusree Chakraborty, Kushal Chakraborty, Anindya Banerjee, Surangana Banerjee</t>
        </is>
      </c>
      <c r="F956" s="19" t="inlineStr">
        <is>
          <t>India</t>
        </is>
      </c>
      <c r="G956" s="19" t="inlineStr">
        <is>
          <t>2018-09-15</t>
        </is>
      </c>
      <c r="H956" s="19" t="n">
        <v>2017</v>
      </c>
      <c r="I956" s="19" t="inlineStr">
        <is>
          <t>TV-MA</t>
        </is>
      </c>
      <c r="J956" s="19" t="inlineStr">
        <is>
          <t>110 min</t>
        </is>
      </c>
      <c r="K956" s="19" t="inlineStr">
        <is>
          <t>Dramas, International Movies</t>
        </is>
      </c>
      <c r="L956" s="19" t="inlineStr">
        <is>
          <t>On a family visit, a young man and his girlfriend set out to discover why his eccentric uncle has been mysteriously confined to one room for years.</t>
        </is>
      </c>
      <c r="M956" s="19" t="n">
        <v>2018</v>
      </c>
      <c r="N956" s="19">
        <f>IF(AND(OR(YearFilter="All",$M956=YearFilter),OR(RatingFilter="All",$I956=RatingFilter),OR(TypeFilter="All",$B956=TypeFilter),OR(GenreFilter="All",COUNTIFS(tblGenre[show_id],$A956,tblGenre[Genre],GenreFilter)&gt;0)),1,0)</f>
        <v/>
      </c>
    </row>
    <row r="957" ht="15" customHeight="1" s="20">
      <c r="A957" s="19" t="inlineStr">
        <is>
          <t>s7927</t>
        </is>
      </c>
      <c r="B957" s="19" t="inlineStr">
        <is>
          <t>Movie</t>
        </is>
      </c>
      <c r="C957" s="19" t="inlineStr">
        <is>
          <t>Samarppanam</t>
        </is>
      </c>
      <c r="D957" s="19" t="inlineStr">
        <is>
          <t>K. Gopinathan</t>
        </is>
      </c>
      <c r="E957" s="19" t="inlineStr">
        <is>
          <t>Virginia Rodriguez, Anil Nedumangad, Santhosh Keezhattoor, Indrans, P. Balachandran, Renji Panicker, Gopalan</t>
        </is>
      </c>
      <c r="F957" s="19" t="inlineStr">
        <is>
          <t>India</t>
        </is>
      </c>
      <c r="G957" s="19" t="inlineStr">
        <is>
          <t>2018-03-01</t>
        </is>
      </c>
      <c r="H957" s="19" t="n">
        <v>2017</v>
      </c>
      <c r="I957" s="19" t="inlineStr">
        <is>
          <t>TV-PG</t>
        </is>
      </c>
      <c r="J957" s="19" t="inlineStr">
        <is>
          <t>116 min</t>
        </is>
      </c>
      <c r="K957" s="19" t="inlineStr">
        <is>
          <t>Dramas, International Movies</t>
        </is>
      </c>
      <c r="L957" s="19" t="inlineStr">
        <is>
          <t>When a young girl is killed in a suspicious train accident, three very different lives become intertwined in their quest for answers.</t>
        </is>
      </c>
      <c r="M957" s="19" t="n">
        <v>2018</v>
      </c>
      <c r="N957" s="19">
        <f>IF(AND(OR(YearFilter="All",$M957=YearFilter),OR(RatingFilter="All",$I957=RatingFilter),OR(TypeFilter="All",$B957=TypeFilter),OR(GenreFilter="All",COUNTIFS(tblGenre[show_id],$A957,tblGenre[Genre],GenreFilter)&gt;0)),1,0)</f>
        <v/>
      </c>
    </row>
    <row r="958" ht="15" customHeight="1" s="20">
      <c r="A958" s="19" t="inlineStr">
        <is>
          <t>s7932</t>
        </is>
      </c>
      <c r="B958" s="19" t="inlineStr">
        <is>
          <t>Movie</t>
        </is>
      </c>
      <c r="C958" s="19" t="inlineStr">
        <is>
          <t>Sanai Choughade</t>
        </is>
      </c>
      <c r="D958" s="19" t="inlineStr">
        <is>
          <t>Rajeev Patil</t>
        </is>
      </c>
      <c r="E958" s="19" t="inlineStr">
        <is>
          <t>Shreyas Talpade, Subodh Bhave, Sai Tamhankar, Santosh Juvekar, Tushar Dalvi, Bharti Aacharekar</t>
        </is>
      </c>
      <c r="F958" s="19" t="inlineStr">
        <is>
          <t>India</t>
        </is>
      </c>
      <c r="G958" s="19" t="inlineStr">
        <is>
          <t>2018-01-01</t>
        </is>
      </c>
      <c r="H958" s="19" t="n">
        <v>2008</v>
      </c>
      <c r="I958" s="19" t="inlineStr">
        <is>
          <t>TV-14</t>
        </is>
      </c>
      <c r="J958" s="19" t="inlineStr">
        <is>
          <t>122 min</t>
        </is>
      </c>
      <c r="K958" s="19" t="inlineStr">
        <is>
          <t>Comedies, Dramas, International Movies</t>
        </is>
      </c>
      <c r="L958" s="19" t="inlineStr">
        <is>
          <t>In an effort to honor the family matriarch's dying wish, Urmila and her husband, Shrikant, embark on a quest to find a husband for charismatic yet choosey Sai. But some things are easier said than done.</t>
        </is>
      </c>
      <c r="M958" s="19" t="n">
        <v>2018</v>
      </c>
      <c r="N958" s="19">
        <f>IF(AND(OR(YearFilter="All",$M958=YearFilter),OR(RatingFilter="All",$I958=RatingFilter),OR(TypeFilter="All",$B958=TypeFilter),OR(GenreFilter="All",COUNTIFS(tblGenre[show_id],$A958,tblGenre[Genre],GenreFilter)&gt;0)),1,0)</f>
        <v/>
      </c>
    </row>
    <row r="959" ht="15" customHeight="1" s="20">
      <c r="A959" s="19" t="inlineStr">
        <is>
          <t>s7933</t>
        </is>
      </c>
      <c r="B959" s="19" t="inlineStr">
        <is>
          <t>Movie</t>
        </is>
      </c>
      <c r="C959" s="19" t="inlineStr">
        <is>
          <t>Sangam</t>
        </is>
      </c>
      <c r="D959" s="19" t="inlineStr">
        <is>
          <t>Raj Kapoor</t>
        </is>
      </c>
      <c r="E959" s="19" t="inlineStr">
        <is>
          <t>Raj Kapoor, Vyjayanthimala, Rajendra Kumar, Lalita Pawar, Achala Sachdev, Hari Shivdasani, Raj Mehra, Iftekhar</t>
        </is>
      </c>
      <c r="F959" s="19" t="inlineStr">
        <is>
          <t>India</t>
        </is>
      </c>
      <c r="G959" s="19" t="inlineStr">
        <is>
          <t>2019-12-31</t>
        </is>
      </c>
      <c r="H959" s="19" t="n">
        <v>1964</v>
      </c>
      <c r="I959" s="19" t="inlineStr">
        <is>
          <t>TV-14</t>
        </is>
      </c>
      <c r="J959" s="19" t="inlineStr">
        <is>
          <t>228 min</t>
        </is>
      </c>
      <c r="K959" s="19" t="inlineStr">
        <is>
          <t>Classic Movies, Dramas, International Movies</t>
        </is>
      </c>
      <c r="L959" s="19" t="inlineStr">
        <is>
          <t>Returning home from war after being assumed dead, a pilot weds the woman he has long loved, unaware that she had been planning to marry his best friend.</t>
        </is>
      </c>
      <c r="M959" s="19" t="n">
        <v>2019</v>
      </c>
      <c r="N959" s="19">
        <f>IF(AND(OR(YearFilter="All",$M959=YearFilter),OR(RatingFilter="All",$I959=RatingFilter),OR(TypeFilter="All",$B959=TypeFilter),OR(GenreFilter="All",COUNTIFS(tblGenre[show_id],$A959,tblGenre[Genre],GenreFilter)&gt;0)),1,0)</f>
        <v/>
      </c>
    </row>
    <row r="960" ht="15" customHeight="1" s="20">
      <c r="A960" s="19" t="inlineStr">
        <is>
          <t>s7938</t>
        </is>
      </c>
      <c r="B960" s="19" t="inlineStr">
        <is>
          <t>Movie</t>
        </is>
      </c>
      <c r="C960" s="19" t="inlineStr">
        <is>
          <t>Sardaarji 2</t>
        </is>
      </c>
      <c r="D960" s="19" t="inlineStr">
        <is>
          <t>Rohit Jugraj</t>
        </is>
      </c>
      <c r="E960" s="19" t="inlineStr">
        <is>
          <t>Jaswinder Bhalla, Sonam Bajwa, Diljit Dosanjh, Monica Gill</t>
        </is>
      </c>
      <c r="F960" s="19" t="inlineStr">
        <is>
          <t>Australia, India</t>
        </is>
      </c>
      <c r="G960" s="19" t="inlineStr">
        <is>
          <t>2017-10-15</t>
        </is>
      </c>
      <c r="H960" s="19" t="n">
        <v>2016</v>
      </c>
      <c r="I960" s="19" t="inlineStr">
        <is>
          <t>TV-PG</t>
        </is>
      </c>
      <c r="J960" s="19" t="inlineStr">
        <is>
          <t>145 min</t>
        </is>
      </c>
      <c r="K960" s="19" t="inlineStr">
        <is>
          <t>Action &amp; Adventure, Comedies, International Movies</t>
        </is>
      </c>
      <c r="L960" s="19" t="inlineStr">
        <is>
          <t>A simple farmer's life becomes complicated after he resolves to save his village from an economic crisis by traveling to Australia to earn money.</t>
        </is>
      </c>
      <c r="M960" s="19" t="n">
        <v>2017</v>
      </c>
      <c r="N960" s="19">
        <f>IF(AND(OR(YearFilter="All",$M960=YearFilter),OR(RatingFilter="All",$I960=RatingFilter),OR(TypeFilter="All",$B960=TypeFilter),OR(GenreFilter="All",COUNTIFS(tblGenre[show_id],$A960,tblGenre[Genre],GenreFilter)&gt;0)),1,0)</f>
        <v/>
      </c>
    </row>
    <row r="961" ht="15" customHeight="1" s="20">
      <c r="A961" s="19" t="inlineStr">
        <is>
          <t>s7939</t>
        </is>
      </c>
      <c r="B961" s="19" t="inlineStr">
        <is>
          <t>Movie</t>
        </is>
      </c>
      <c r="C961" s="19" t="inlineStr">
        <is>
          <t>Sarivar Sari</t>
        </is>
      </c>
      <c r="D961" s="19" t="inlineStr">
        <is>
          <t>Gajendra Ahire</t>
        </is>
      </c>
      <c r="E961" s="19" t="inlineStr">
        <is>
          <t>Madhura Velankar, Mohan Joshi, Nina Kulkarni, Manasi Salvi, Milind Gunaji, Shreyas Talpade, Bharat Jadhav</t>
        </is>
      </c>
      <c r="F961" s="19" t="inlineStr">
        <is>
          <t>India</t>
        </is>
      </c>
      <c r="G961" s="19" t="inlineStr">
        <is>
          <t>2018-02-15</t>
        </is>
      </c>
      <c r="H961" s="19" t="n">
        <v>2005</v>
      </c>
      <c r="I961" s="19" t="inlineStr">
        <is>
          <t>TV-14</t>
        </is>
      </c>
      <c r="J961" s="19" t="inlineStr">
        <is>
          <t>126 min</t>
        </is>
      </c>
      <c r="K961" s="19" t="inlineStr">
        <is>
          <t>Dramas, International Movies</t>
        </is>
      </c>
      <c r="L961" s="19" t="inlineStr">
        <is>
          <t>Raised in working-class Mumbai, Manisha has an independent spirit that angers her father, who favors Manisha's medical student sister, Mini. Things reach a breaking point when Manisha's father beats her for accepting a modeling contract.</t>
        </is>
      </c>
      <c r="M961" s="19" t="n">
        <v>2018</v>
      </c>
      <c r="N961" s="19">
        <f>IF(AND(OR(YearFilter="All",$M961=YearFilter),OR(RatingFilter="All",$I961=RatingFilter),OR(TypeFilter="All",$B961=TypeFilter),OR(GenreFilter="All",COUNTIFS(tblGenre[show_id],$A961,tblGenre[Genre],GenreFilter)&gt;0)),1,0)</f>
        <v/>
      </c>
    </row>
    <row r="962" ht="15" customHeight="1" s="20">
      <c r="A962" s="19" t="inlineStr">
        <is>
          <t>s7940</t>
        </is>
      </c>
      <c r="B962" s="19" t="inlineStr">
        <is>
          <t>Movie</t>
        </is>
      </c>
      <c r="C962" s="19" t="inlineStr">
        <is>
          <t>Sarvopari Palakkaran</t>
        </is>
      </c>
      <c r="D962" s="19" t="inlineStr">
        <is>
          <t>Venugopan</t>
        </is>
      </c>
      <c r="E962" s="19" t="inlineStr">
        <is>
          <t>Anoop Menon, Alencier Ley Lopez, Balu Varghese, Aparna Balamurali, Anu Sithara, Gayathri Arun, Nandu, Chali Pala</t>
        </is>
      </c>
      <c r="F962" s="19" t="inlineStr">
        <is>
          <t>India</t>
        </is>
      </c>
      <c r="G962" s="19" t="inlineStr">
        <is>
          <t>2018-07-01</t>
        </is>
      </c>
      <c r="H962" s="19" t="n">
        <v>2017</v>
      </c>
      <c r="I962" s="19" t="inlineStr">
        <is>
          <t>TV-14</t>
        </is>
      </c>
      <c r="J962" s="19" t="inlineStr">
        <is>
          <t>133 min</t>
        </is>
      </c>
      <c r="K962" s="19" t="inlineStr">
        <is>
          <t>Dramas, International Movies</t>
        </is>
      </c>
      <c r="L962" s="19" t="inlineStr">
        <is>
          <t>In the course of a human trafficking investigation, a conservative cop crosses paths with an artist-activist in a clash of worldviews.</t>
        </is>
      </c>
      <c r="M962" s="19" t="n">
        <v>2018</v>
      </c>
      <c r="N962" s="19">
        <f>IF(AND(OR(YearFilter="All",$M962=YearFilter),OR(RatingFilter="All",$I962=RatingFilter),OR(TypeFilter="All",$B962=TypeFilter),OR(GenreFilter="All",COUNTIFS(tblGenre[show_id],$A962,tblGenre[Genre],GenreFilter)&gt;0)),1,0)</f>
        <v/>
      </c>
    </row>
    <row r="963" ht="15" customHeight="1" s="20">
      <c r="A963" s="19" t="inlineStr">
        <is>
          <t>s7941</t>
        </is>
      </c>
      <c r="B963" s="19" t="inlineStr">
        <is>
          <t>Movie</t>
        </is>
      </c>
      <c r="C963" s="19" t="inlineStr">
        <is>
          <t>Sat Sri Akal</t>
        </is>
      </c>
      <c r="D963" s="19" t="inlineStr">
        <is>
          <t>Kamal Sahani</t>
        </is>
      </c>
      <c r="E963" s="19" t="inlineStr">
        <is>
          <t>Kimi Verma, Manpreet Singh, Arun Bali, Dolly Minhas, Avtar Gill, Manmeet Singh, Neelu Kohli, Vivek Shaq, Nirmal Rishi, Pooja Tandon</t>
        </is>
      </c>
      <c r="F963" s="19" t="inlineStr">
        <is>
          <t>India</t>
        </is>
      </c>
      <c r="G963" s="19" t="inlineStr">
        <is>
          <t>2019-01-30</t>
        </is>
      </c>
      <c r="H963" s="19" t="n">
        <v>2008</v>
      </c>
      <c r="I963" s="19" t="inlineStr">
        <is>
          <t>TV-14</t>
        </is>
      </c>
      <c r="J963" s="19" t="inlineStr">
        <is>
          <t>141 min</t>
        </is>
      </c>
      <c r="K963" s="19" t="inlineStr">
        <is>
          <t>Dramas, Faith &amp; Spirituality, International Movies</t>
        </is>
      </c>
      <c r="L963" s="19" t="inlineStr">
        <is>
          <t>Based on true events, this moving story centers on a Punjabi family whose celebration of their faith endures in the face of conflicting attitudes.</t>
        </is>
      </c>
      <c r="M963" s="19" t="n">
        <v>2019</v>
      </c>
      <c r="N963" s="19">
        <f>IF(AND(OR(YearFilter="All",$M963=YearFilter),OR(RatingFilter="All",$I963=RatingFilter),OR(TypeFilter="All",$B963=TypeFilter),OR(GenreFilter="All",COUNTIFS(tblGenre[show_id],$A963,tblGenre[Genre],GenreFilter)&gt;0)),1,0)</f>
        <v/>
      </c>
    </row>
    <row r="964" ht="15" customHeight="1" s="20">
      <c r="A964" s="19" t="inlineStr">
        <is>
          <t>s7944</t>
        </is>
      </c>
      <c r="B964" s="19" t="inlineStr">
        <is>
          <t>Movie</t>
        </is>
      </c>
      <c r="C964" s="19" t="inlineStr">
        <is>
          <t>Satrangi Re</t>
        </is>
      </c>
      <c r="D964" s="19" t="inlineStr">
        <is>
          <t>Aditya Sarpotdar</t>
        </is>
      </c>
      <c r="E964" s="19" t="inlineStr">
        <is>
          <t>Amruta Khanvilkar, Vidyadhar Joshi, Subodh Bhave</t>
        </is>
      </c>
      <c r="F964" s="19" t="inlineStr">
        <is>
          <t>India</t>
        </is>
      </c>
      <c r="G964" s="19" t="inlineStr">
        <is>
          <t>2018-03-15</t>
        </is>
      </c>
      <c r="H964" s="19" t="n">
        <v>2012</v>
      </c>
      <c r="I964" s="19" t="inlineStr">
        <is>
          <t>TV-14</t>
        </is>
      </c>
      <c r="J964" s="19" t="inlineStr">
        <is>
          <t>150 min</t>
        </is>
      </c>
      <c r="K964" s="19" t="inlineStr">
        <is>
          <t>Dramas, International Movies, Music &amp; Musicals</t>
        </is>
      </c>
      <c r="L964" s="19" t="inlineStr">
        <is>
          <t>Friends in their last year of college contemplate the future of their band as they juggle questions of love, work, family and identity.</t>
        </is>
      </c>
      <c r="M964" s="19" t="n">
        <v>2018</v>
      </c>
      <c r="N964" s="19">
        <f>IF(AND(OR(YearFilter="All",$M964=YearFilter),OR(RatingFilter="All",$I964=RatingFilter),OR(TypeFilter="All",$B964=TypeFilter),OR(GenreFilter="All",COUNTIFS(tblGenre[show_id],$A964,tblGenre[Genre],GenreFilter)&gt;0)),1,0)</f>
        <v/>
      </c>
    </row>
    <row r="965" ht="15" customHeight="1" s="20">
      <c r="A965" s="19" t="inlineStr">
        <is>
          <t>s7945</t>
        </is>
      </c>
      <c r="B965" s="19" t="inlineStr">
        <is>
          <t>Movie</t>
        </is>
      </c>
      <c r="C965" s="19" t="inlineStr">
        <is>
          <t>Satte Pe Satta</t>
        </is>
      </c>
      <c r="D965" s="19" t="inlineStr">
        <is>
          <t>Raj N. Sippy</t>
        </is>
      </c>
      <c r="E965" s="19" t="inlineStr">
        <is>
          <t>Amitabh Bachchan, Hema Malini, Amjad Khan, Sachin, Shakti Kapoor, Ranjeeta Kaur, Paintal, Ranjeet</t>
        </is>
      </c>
      <c r="F965" s="19" t="inlineStr">
        <is>
          <t>India</t>
        </is>
      </c>
      <c r="G965" s="19" t="inlineStr">
        <is>
          <t>2019-12-31</t>
        </is>
      </c>
      <c r="H965" s="19" t="n">
        <v>1982</v>
      </c>
      <c r="I965" s="19" t="inlineStr">
        <is>
          <t>TV-14</t>
        </is>
      </c>
      <c r="J965" s="19" t="inlineStr">
        <is>
          <t>153 min</t>
        </is>
      </c>
      <c r="K965" s="19" t="inlineStr">
        <is>
          <t>Comedies, Cult Movies, Dramas</t>
        </is>
      </c>
      <c r="L965" s="19" t="inlineStr">
        <is>
          <t>The eldest of seven brothers who run a family farm together marries a pretty nurse, inspiring his country-bumpkin siblings to follow his example.</t>
        </is>
      </c>
      <c r="M965" s="19" t="n">
        <v>2019</v>
      </c>
      <c r="N965" s="19">
        <f>IF(AND(OR(YearFilter="All",$M965=YearFilter),OR(RatingFilter="All",$I965=RatingFilter),OR(TypeFilter="All",$B965=TypeFilter),OR(GenreFilter="All",COUNTIFS(tblGenre[show_id],$A965,tblGenre[Genre],GenreFilter)&gt;0)),1,0)</f>
        <v/>
      </c>
    </row>
    <row r="966" ht="15" customHeight="1" s="20">
      <c r="A966" s="19" t="inlineStr">
        <is>
          <t>s7993</t>
        </is>
      </c>
      <c r="B966" s="19" t="inlineStr">
        <is>
          <t>Movie</t>
        </is>
      </c>
      <c r="C966" s="19" t="inlineStr">
        <is>
          <t>Shahanpan Dega Deva</t>
        </is>
      </c>
      <c r="D966" s="19" t="inlineStr">
        <is>
          <t>Sudesh Manjrekar</t>
        </is>
      </c>
      <c r="E966" s="19" t="inlineStr">
        <is>
          <t>Bharat Jadhav, Ankush Chaudhari, Siddarth Jadhav, Santosh Juvekar, Vaibhav Mangale, Kranti Redkar, Manava Naik</t>
        </is>
      </c>
      <c r="F966" s="19" t="inlineStr">
        <is>
          <t>India</t>
        </is>
      </c>
      <c r="G966" s="19" t="inlineStr">
        <is>
          <t>2018-01-01</t>
        </is>
      </c>
      <c r="H966" s="19" t="n">
        <v>2011</v>
      </c>
      <c r="I966" s="19" t="inlineStr">
        <is>
          <t>TV-14</t>
        </is>
      </c>
      <c r="J966" s="19" t="inlineStr">
        <is>
          <t>115 min</t>
        </is>
      </c>
      <c r="K966" s="19" t="inlineStr">
        <is>
          <t>Comedies, International Movies</t>
        </is>
      </c>
      <c r="L966" s="19" t="inlineStr">
        <is>
          <t>At large in the city, five inmates of a mental asylum run up against the insanity of the outside world while trying to prevent a terrorist plot.</t>
        </is>
      </c>
      <c r="M966" s="19" t="n">
        <v>2018</v>
      </c>
      <c r="N966" s="19">
        <f>IF(AND(OR(YearFilter="All",$M966=YearFilter),OR(RatingFilter="All",$I966=RatingFilter),OR(TypeFilter="All",$B966=TypeFilter),OR(GenreFilter="All",COUNTIFS(tblGenre[show_id],$A966,tblGenre[Genre],GenreFilter)&gt;0)),1,0)</f>
        <v/>
      </c>
    </row>
    <row r="967" ht="15" customHeight="1" s="20">
      <c r="A967" s="19" t="inlineStr">
        <is>
          <t>s7995</t>
        </is>
      </c>
      <c r="B967" s="19" t="inlineStr">
        <is>
          <t>Movie</t>
        </is>
      </c>
      <c r="C967" s="19" t="inlineStr">
        <is>
          <t>Shakti: The Power</t>
        </is>
      </c>
      <c r="D967" s="19" t="inlineStr">
        <is>
          <t>Krishna Vamshi</t>
        </is>
      </c>
      <c r="E967" s="19" t="inlineStr">
        <is>
          <t>Karisma Kapoor, Nana Patekar, Sanjay Kapoor, Shah Rukh Khan, Deepti Naval, Vijay Raaz, Tiku Talsania, Jaspal Bhatti, Divya Dutta, Prakash Raj</t>
        </is>
      </c>
      <c r="F967" s="19" t="inlineStr">
        <is>
          <t>India</t>
        </is>
      </c>
      <c r="G967" s="19" t="inlineStr">
        <is>
          <t>2018-03-01</t>
        </is>
      </c>
      <c r="H967" s="19" t="n">
        <v>2002</v>
      </c>
      <c r="I967" s="19" t="inlineStr">
        <is>
          <t>TV-MA</t>
        </is>
      </c>
      <c r="J967" s="19" t="inlineStr">
        <is>
          <t>168 min</t>
        </is>
      </c>
      <c r="K967" s="19" t="inlineStr">
        <is>
          <t>Dramas, International Movies, Thrillers</t>
        </is>
      </c>
      <c r="L967" s="19" t="inlineStr">
        <is>
          <t>A young mother must break free of the clutches of her husband's feudal family and bring herself and her young child to safety.</t>
        </is>
      </c>
      <c r="M967" s="19" t="n">
        <v>2018</v>
      </c>
      <c r="N967" s="19">
        <f>IF(AND(OR(YearFilter="All",$M967=YearFilter),OR(RatingFilter="All",$I967=RatingFilter),OR(TypeFilter="All",$B967=TypeFilter),OR(GenreFilter="All",COUNTIFS(tblGenre[show_id],$A967,tblGenre[Genre],GenreFilter)&gt;0)),1,0)</f>
        <v/>
      </c>
    </row>
    <row r="968" ht="15" customHeight="1" s="20">
      <c r="A968" s="19" t="inlineStr">
        <is>
          <t>s7996</t>
        </is>
      </c>
      <c r="B968" s="19" t="inlineStr">
        <is>
          <t>Movie</t>
        </is>
      </c>
      <c r="C968" s="19" t="inlineStr">
        <is>
          <t>Shanghai</t>
        </is>
      </c>
      <c r="D968" s="19" t="inlineStr">
        <is>
          <t>Dibakar Banerjee</t>
        </is>
      </c>
      <c r="E968" s="19" t="inlineStr">
        <is>
          <t>Emraan Hashmi, Abhay Deol, Prasenjit Chatterjee, Kalki Koechlin, Supriya Pathak, Tillotama Shome, Anant Jog, Pitobash, Farooq Shaikh, Arvind Goswami</t>
        </is>
      </c>
      <c r="F968" s="19" t="inlineStr">
        <is>
          <t>India</t>
        </is>
      </c>
      <c r="G968" s="19" t="inlineStr">
        <is>
          <t>2018-03-01</t>
        </is>
      </c>
      <c r="H968" s="19" t="n">
        <v>2012</v>
      </c>
      <c r="I968" s="19" t="inlineStr">
        <is>
          <t>TV-14</t>
        </is>
      </c>
      <c r="J968" s="19" t="inlineStr">
        <is>
          <t>109 min</t>
        </is>
      </c>
      <c r="K968" s="19" t="inlineStr">
        <is>
          <t>Dramas, Independent Movies, International Movies</t>
        </is>
      </c>
      <c r="L968" s="19" t="inlineStr">
        <is>
          <t>Three disparate characters uncover government corruption as a small Indian town receives an influx of foreign money to turn it into the next Shanghai.</t>
        </is>
      </c>
      <c r="M968" s="19" t="n">
        <v>2018</v>
      </c>
      <c r="N968" s="19">
        <f>IF(AND(OR(YearFilter="All",$M968=YearFilter),OR(RatingFilter="All",$I968=RatingFilter),OR(TypeFilter="All",$B968=TypeFilter),OR(GenreFilter="All",COUNTIFS(tblGenre[show_id],$A968,tblGenre[Genre],GenreFilter)&gt;0)),1,0)</f>
        <v/>
      </c>
    </row>
    <row r="969" ht="15" customHeight="1" s="20">
      <c r="A969" s="19" t="inlineStr">
        <is>
          <t>s7997</t>
        </is>
      </c>
      <c r="B969" s="19" t="inlineStr">
        <is>
          <t>Movie</t>
        </is>
      </c>
      <c r="C969" s="19" t="inlineStr">
        <is>
          <t>Shararat</t>
        </is>
      </c>
      <c r="D969" s="19" t="inlineStr">
        <is>
          <t>Gurudev Bhalla</t>
        </is>
      </c>
      <c r="E969" s="19" t="inlineStr">
        <is>
          <t>Abhishek Bachchan, Hrishitaa Bhatt, Amrish Puri, Mohnish Bahl, Helen, Om Puri, Ashish Vidyarthi, A.K. Hangal, Tinnu Anand, Daisy Irani, Dara Singh, Viju Khote, Shubha Khote</t>
        </is>
      </c>
      <c r="F969" s="19" t="inlineStr">
        <is>
          <t>India</t>
        </is>
      </c>
      <c r="G969" s="19" t="inlineStr">
        <is>
          <t>2018-03-01</t>
        </is>
      </c>
      <c r="H969" s="19" t="n">
        <v>2002</v>
      </c>
      <c r="I969" s="19" t="inlineStr">
        <is>
          <t>TV-PG</t>
        </is>
      </c>
      <c r="J969" s="19" t="inlineStr">
        <is>
          <t>148 min</t>
        </is>
      </c>
      <c r="K969" s="19" t="inlineStr">
        <is>
          <t>Comedies, International Movies, Music &amp; Musicals</t>
        </is>
      </c>
      <c r="L969" s="19" t="inlineStr">
        <is>
          <t>Unable to bribe his way out of a reckless driving charge, an arrogant rich kid is sentenced to community service at a home for senior citizens.</t>
        </is>
      </c>
      <c r="M969" s="19" t="n">
        <v>2018</v>
      </c>
      <c r="N969" s="19">
        <f>IF(AND(OR(YearFilter="All",$M969=YearFilter),OR(RatingFilter="All",$I969=RatingFilter),OR(TypeFilter="All",$B969=TypeFilter),OR(GenreFilter="All",COUNTIFS(tblGenre[show_id],$A969,tblGenre[Genre],GenreFilter)&gt;0)),1,0)</f>
        <v/>
      </c>
    </row>
    <row r="970" ht="15" customHeight="1" s="20">
      <c r="A970" s="19" t="inlineStr">
        <is>
          <t>s8000</t>
        </is>
      </c>
      <c r="B970" s="19" t="inlineStr">
        <is>
          <t>Movie</t>
        </is>
      </c>
      <c r="C970" s="19" t="inlineStr">
        <is>
          <t>Shaurya: It Takes Courage to Make Right... Right</t>
        </is>
      </c>
      <c r="D970" s="19" t="inlineStr">
        <is>
          <t>Samar Khan</t>
        </is>
      </c>
      <c r="E970" s="19" t="inlineStr">
        <is>
          <t>Rahul Bose, Javed Jaffrey, Minissha Lamba, Seema Biswas, Deepak Dobriyal, Kay Kay Menon, Amrita Rao, Rosa Catalano, Subrat Dutta, Priyesh Kaushik</t>
        </is>
      </c>
      <c r="F970" s="19" t="inlineStr">
        <is>
          <t>India</t>
        </is>
      </c>
      <c r="G970" s="19" t="inlineStr">
        <is>
          <t>2018-03-01</t>
        </is>
      </c>
      <c r="H970" s="19" t="n">
        <v>2008</v>
      </c>
      <c r="I970" s="19" t="inlineStr">
        <is>
          <t>TV-14</t>
        </is>
      </c>
      <c r="J970" s="19" t="inlineStr">
        <is>
          <t>135 min</t>
        </is>
      </c>
      <c r="K970" s="19" t="inlineStr">
        <is>
          <t>Dramas, International Movies</t>
        </is>
      </c>
      <c r="L970" s="19" t="inlineStr">
        <is>
          <t>Courtroom intrigue plays out against a backdrop of military secrets in this Bollywood drama with a plot that's reminiscent of A Few Good Men.</t>
        </is>
      </c>
      <c r="M970" s="19" t="n">
        <v>2018</v>
      </c>
      <c r="N970" s="19">
        <f>IF(AND(OR(YearFilter="All",$M970=YearFilter),OR(RatingFilter="All",$I970=RatingFilter),OR(TypeFilter="All",$B970=TypeFilter),OR(GenreFilter="All",COUNTIFS(tblGenre[show_id],$A970,tblGenre[Genre],GenreFilter)&gt;0)),1,0)</f>
        <v/>
      </c>
    </row>
    <row r="971" ht="15" customHeight="1" s="20">
      <c r="A971" s="19" t="inlineStr">
        <is>
          <t>s8005</t>
        </is>
      </c>
      <c r="B971" s="19" t="inlineStr">
        <is>
          <t>Movie</t>
        </is>
      </c>
      <c r="C971" s="19" t="inlineStr">
        <is>
          <t>Shiva</t>
        </is>
      </c>
      <c r="D971" s="19" t="inlineStr">
        <is>
          <t>Ram Gopal Varma</t>
        </is>
      </c>
      <c r="E971" s="19" t="inlineStr">
        <is>
          <t>Nagarjuna Akkineni, Amala, Rajendranath Zutshi, Raghuvaran, Paresh Rawal, Brij Gopal, J.D. Chakravarthi, Tanikella Bharani</t>
        </is>
      </c>
      <c r="F971" s="19" t="inlineStr">
        <is>
          <t>India</t>
        </is>
      </c>
      <c r="G971" s="19" t="inlineStr">
        <is>
          <t>2019-12-31</t>
        </is>
      </c>
      <c r="H971" s="19" t="n">
        <v>1990</v>
      </c>
      <c r="I971" s="19" t="inlineStr">
        <is>
          <t>TV-MA</t>
        </is>
      </c>
      <c r="J971" s="19" t="inlineStr">
        <is>
          <t>168 min</t>
        </is>
      </c>
      <c r="K971" s="19" t="inlineStr">
        <is>
          <t>Action &amp; Adventure, Dramas, International Movies</t>
        </is>
      </c>
      <c r="L971" s="19" t="inlineStr">
        <is>
          <t>A young man enrolls at a college and becomes a rival to the student-union president, who’s using force and intimidation to advance his criminal agenda.</t>
        </is>
      </c>
      <c r="M971" s="19" t="n">
        <v>2019</v>
      </c>
      <c r="N971" s="19">
        <f>IF(AND(OR(YearFilter="All",$M971=YearFilter),OR(RatingFilter="All",$I971=RatingFilter),OR(TypeFilter="All",$B971=TypeFilter),OR(GenreFilter="All",COUNTIFS(tblGenre[show_id],$A971,tblGenre[Genre],GenreFilter)&gt;0)),1,0)</f>
        <v/>
      </c>
    </row>
    <row r="972" ht="15" customHeight="1" s="20">
      <c r="A972" s="19" t="inlineStr">
        <is>
          <t>s8009</t>
        </is>
      </c>
      <c r="B972" s="19" t="inlineStr">
        <is>
          <t>Movie</t>
        </is>
      </c>
      <c r="C972" s="19" t="inlineStr">
        <is>
          <t>Shorgul</t>
        </is>
      </c>
      <c r="D972" s="19" t="inlineStr">
        <is>
          <t>Jitendra Tiwari, Pranav Singh</t>
        </is>
      </c>
      <c r="E972" s="19" t="inlineStr">
        <is>
          <t>Ashutosh Rana, Jimmy Shergill, Suha Gezen, Sanjay Suri, Narendra Jha, Hiten Tejwani, Eijaz Khan, Aniruddha Dave</t>
        </is>
      </c>
      <c r="F972" s="19" t="inlineStr">
        <is>
          <t>India</t>
        </is>
      </c>
      <c r="G972" s="19" t="inlineStr">
        <is>
          <t>2018-10-30</t>
        </is>
      </c>
      <c r="H972" s="19" t="n">
        <v>2016</v>
      </c>
      <c r="I972" s="19" t="inlineStr">
        <is>
          <t>TV-14</t>
        </is>
      </c>
      <c r="J972" s="19" t="inlineStr">
        <is>
          <t>122 min</t>
        </is>
      </c>
      <c r="K972" s="19" t="inlineStr">
        <is>
          <t>Dramas, International Movies</t>
        </is>
      </c>
      <c r="L972" s="19" t="inlineStr">
        <is>
          <t>A Hindu boy's feelings for a Muslim girl expose the tensions between their two communities and open the door to chaos and violence.</t>
        </is>
      </c>
      <c r="M972" s="19" t="n">
        <v>2018</v>
      </c>
      <c r="N972" s="19">
        <f>IF(AND(OR(YearFilter="All",$M972=YearFilter),OR(RatingFilter="All",$I972=RatingFilter),OR(TypeFilter="All",$B972=TypeFilter),OR(GenreFilter="All",COUNTIFS(tblGenre[show_id],$A972,tblGenre[Genre],GenreFilter)&gt;0)),1,0)</f>
        <v/>
      </c>
    </row>
    <row r="973" ht="15" customHeight="1" s="20">
      <c r="A973" s="19" t="inlineStr">
        <is>
          <t>s8013</t>
        </is>
      </c>
      <c r="B973" s="19" t="inlineStr">
        <is>
          <t>Movie</t>
        </is>
      </c>
      <c r="C973" s="19" t="inlineStr">
        <is>
          <t>Shuddhi</t>
        </is>
      </c>
      <c r="D973" s="19" t="inlineStr">
        <is>
          <t>Adarsh Eshwarappa</t>
        </is>
      </c>
      <c r="E973" s="19" t="inlineStr">
        <is>
          <t>Lauren Spartano, Niveditha, Amrutha Karagada, Shashank Purushotham, Sidhartha Maadhyamika, Ajay Raj, Sanchari Vijay, Veena Sundar</t>
        </is>
      </c>
      <c r="F973" s="19" t="inlineStr">
        <is>
          <t>India, United States</t>
        </is>
      </c>
      <c r="G973" s="19" t="inlineStr">
        <is>
          <t>2018-03-01</t>
        </is>
      </c>
      <c r="H973" s="19" t="n">
        <v>2017</v>
      </c>
      <c r="I973" s="19" t="inlineStr">
        <is>
          <t>TV-14</t>
        </is>
      </c>
      <c r="J973" s="19" t="inlineStr">
        <is>
          <t>115 min</t>
        </is>
      </c>
      <c r="K973" s="19" t="inlineStr">
        <is>
          <t>Dramas, International Movies, Thrillers</t>
        </is>
      </c>
      <c r="L973" s="19" t="inlineStr">
        <is>
          <t>An American woman on a revenge mission travels to India and befriends two journalists seeking justice for violent crimes against women.</t>
        </is>
      </c>
      <c r="M973" s="19" t="n">
        <v>2018</v>
      </c>
      <c r="N973" s="19">
        <f>IF(AND(OR(YearFilter="All",$M973=YearFilter),OR(RatingFilter="All",$I973=RatingFilter),OR(TypeFilter="All",$B973=TypeFilter),OR(GenreFilter="All",COUNTIFS(tblGenre[show_id],$A973,tblGenre[Genre],GenreFilter)&gt;0)),1,0)</f>
        <v/>
      </c>
    </row>
    <row r="974" ht="15" customHeight="1" s="20">
      <c r="A974" s="19" t="inlineStr">
        <is>
          <t>s8017</t>
        </is>
      </c>
      <c r="B974" s="19" t="inlineStr">
        <is>
          <t>Movie</t>
        </is>
      </c>
      <c r="C974" s="19" t="inlineStr">
        <is>
          <t>Siddhant</t>
        </is>
      </c>
      <c r="D974" s="19" t="inlineStr">
        <is>
          <t>Vivek Wagh</t>
        </is>
      </c>
      <c r="E974" s="19" t="inlineStr">
        <is>
          <t>Vikram Gokhale, Swati Chitnis, Kishore Kadam, Ganesh Yadav, Sarang Sathaye, Archit Deodhar, Madhavi Soman, Neha Mahajan</t>
        </is>
      </c>
      <c r="F974" s="19" t="inlineStr">
        <is>
          <t>India</t>
        </is>
      </c>
      <c r="G974" s="19" t="inlineStr">
        <is>
          <t>2018-10-30</t>
        </is>
      </c>
      <c r="H974" s="19" t="n">
        <v>2014</v>
      </c>
      <c r="I974" s="19" t="inlineStr">
        <is>
          <t>TV-G</t>
        </is>
      </c>
      <c r="J974" s="19" t="inlineStr">
        <is>
          <t>105 min</t>
        </is>
      </c>
      <c r="K974" s="19" t="inlineStr">
        <is>
          <t>Dramas, Independent Movies, International Movies</t>
        </is>
      </c>
      <c r="L974" s="19" t="inlineStr">
        <is>
          <t>A principled mathematics teacher is shocked to discover that his grandson used unethical means to achieve academic success.</t>
        </is>
      </c>
      <c r="M974" s="19" t="n">
        <v>2018</v>
      </c>
      <c r="N974" s="19">
        <f>IF(AND(OR(YearFilter="All",$M974=YearFilter),OR(RatingFilter="All",$I974=RatingFilter),OR(TypeFilter="All",$B974=TypeFilter),OR(GenreFilter="All",COUNTIFS(tblGenre[show_id],$A974,tblGenre[Genre],GenreFilter)&gt;0)),1,0)</f>
        <v/>
      </c>
    </row>
    <row r="975" ht="15" customHeight="1" s="20">
      <c r="A975" s="19" t="inlineStr">
        <is>
          <t>s8024</t>
        </is>
      </c>
      <c r="B975" s="19" t="inlineStr">
        <is>
          <t>Movie</t>
        </is>
      </c>
      <c r="C975" s="19" t="inlineStr">
        <is>
          <t>Singh Saab the Great</t>
        </is>
      </c>
      <c r="D975" s="19" t="inlineStr">
        <is>
          <t>Anil Sharma</t>
        </is>
      </c>
      <c r="E975" s="19" t="inlineStr">
        <is>
          <t>Sunny Deol, Urvashi Rautela, Prakash Raj, Amrita Rao, Anjali Abrol, Johnny Lever, Sanjay Mishra, Yashpal Sharma, Manoj Pahwa, Raj Premi</t>
        </is>
      </c>
      <c r="F975" s="19" t="inlineStr">
        <is>
          <t>India</t>
        </is>
      </c>
      <c r="G975" s="19" t="inlineStr">
        <is>
          <t>2017-07-15</t>
        </is>
      </c>
      <c r="H975" s="19" t="n">
        <v>2013</v>
      </c>
      <c r="I975" s="19" t="inlineStr">
        <is>
          <t>TV-14</t>
        </is>
      </c>
      <c r="J975" s="19" t="inlineStr">
        <is>
          <t>143 min</t>
        </is>
      </c>
      <c r="K975" s="19" t="inlineStr">
        <is>
          <t>Action &amp; Adventure, Dramas, International Movies</t>
        </is>
      </c>
      <c r="L975" s="19" t="inlineStr">
        <is>
          <t>As the result of a TV journalist's curiosity, the amazing saga of an honorable government tax collector's past comes to light.</t>
        </is>
      </c>
      <c r="M975" s="19" t="n">
        <v>2017</v>
      </c>
      <c r="N975" s="19">
        <f>IF(AND(OR(YearFilter="All",$M975=YearFilter),OR(RatingFilter="All",$I975=RatingFilter),OR(TypeFilter="All",$B975=TypeFilter),OR(GenreFilter="All",COUNTIFS(tblGenre[show_id],$A975,tblGenre[Genre],GenreFilter)&gt;0)),1,0)</f>
        <v/>
      </c>
    </row>
    <row r="976" ht="15" customHeight="1" s="20">
      <c r="A976" s="19" t="inlineStr">
        <is>
          <t>s8048</t>
        </is>
      </c>
      <c r="B976" s="19" t="inlineStr">
        <is>
          <t>Movie</t>
        </is>
      </c>
      <c r="C976" s="19" t="inlineStr">
        <is>
          <t>Socha Na Tha</t>
        </is>
      </c>
      <c r="D976" s="19" t="inlineStr">
        <is>
          <t>Imtiaz Ali</t>
        </is>
      </c>
      <c r="E976" s="19" t="inlineStr">
        <is>
          <t>Abhay Deol, Ayesha Takia, Apoorva Jha, Ayesha Jhulka, Rati Agnihotri, Sandhya Mridul, Suresh Oberoi, Manish Chaudhary</t>
        </is>
      </c>
      <c r="F976" s="19" t="inlineStr">
        <is>
          <t>India</t>
        </is>
      </c>
      <c r="G976" s="19" t="inlineStr">
        <is>
          <t>2018-07-01</t>
        </is>
      </c>
      <c r="H976" s="19" t="n">
        <v>2005</v>
      </c>
      <c r="I976" s="19" t="inlineStr">
        <is>
          <t>TV-14</t>
        </is>
      </c>
      <c r="J976" s="19" t="inlineStr">
        <is>
          <t>137 min</t>
        </is>
      </c>
      <c r="K976" s="19" t="inlineStr">
        <is>
          <t>Comedies, International Movies, Romantic Movies</t>
        </is>
      </c>
      <c r="L976" s="19" t="inlineStr">
        <is>
          <t>An arranged marriage becomes a friendship for Viren and Aditi, who aren't in love – until they begin having unexpected feelings for each other.</t>
        </is>
      </c>
      <c r="M976" s="19" t="n">
        <v>2018</v>
      </c>
      <c r="N976" s="19">
        <f>IF(AND(OR(YearFilter="All",$M976=YearFilter),OR(RatingFilter="All",$I976=RatingFilter),OR(TypeFilter="All",$B976=TypeFilter),OR(GenreFilter="All",COUNTIFS(tblGenre[show_id],$A976,tblGenre[Genre],GenreFilter)&gt;0)),1,0)</f>
        <v/>
      </c>
    </row>
    <row r="977" ht="15" customHeight="1" s="20">
      <c r="A977" s="19" t="inlineStr">
        <is>
          <t>s8091</t>
        </is>
      </c>
      <c r="B977" s="19" t="inlineStr">
        <is>
          <t>Movie</t>
        </is>
      </c>
      <c r="C977" s="19" t="inlineStr">
        <is>
          <t>Sthaniya Sambaad</t>
        </is>
      </c>
      <c r="D977" s="19" t="inlineStr">
        <is>
          <t>Arjun Gourisaria, Moinak Biswas</t>
        </is>
      </c>
      <c r="E977" s="19" t="inlineStr">
        <is>
          <t>Suman Mukhopadhyay</t>
        </is>
      </c>
      <c r="F977" s="19" t="inlineStr">
        <is>
          <t>India</t>
        </is>
      </c>
      <c r="G977" s="19" t="inlineStr">
        <is>
          <t>2018-03-15</t>
        </is>
      </c>
      <c r="H977" s="19" t="n">
        <v>2010</v>
      </c>
      <c r="I977" s="19" t="inlineStr">
        <is>
          <t>TV-14</t>
        </is>
      </c>
      <c r="J977" s="19" t="inlineStr">
        <is>
          <t>106 min</t>
        </is>
      </c>
      <c r="K977" s="19" t="inlineStr">
        <is>
          <t>Dramas, International Movies</t>
        </is>
      </c>
      <c r="L977" s="19" t="inlineStr">
        <is>
          <t>In post-Partition Kolkata, a young Bengali poet from an urban colony wanders the city in search of the woman he loves and a channel for his sorrows.</t>
        </is>
      </c>
      <c r="M977" s="19" t="n">
        <v>2018</v>
      </c>
      <c r="N977" s="19">
        <f>IF(AND(OR(YearFilter="All",$M977=YearFilter),OR(RatingFilter="All",$I977=RatingFilter),OR(TypeFilter="All",$B977=TypeFilter),OR(GenreFilter="All",COUNTIFS(tblGenre[show_id],$A977,tblGenre[Genre],GenreFilter)&gt;0)),1,0)</f>
        <v/>
      </c>
    </row>
    <row r="978" ht="15" customHeight="1" s="20">
      <c r="A978" s="19" t="inlineStr">
        <is>
          <t>s8099</t>
        </is>
      </c>
      <c r="B978" s="19" t="inlineStr">
        <is>
          <t>Movie</t>
        </is>
      </c>
      <c r="C978" s="19" t="inlineStr">
        <is>
          <t>Story of an Egg</t>
        </is>
      </c>
      <c r="D978" s="19" t="inlineStr">
        <is>
          <t>Raj B. Shetty</t>
        </is>
      </c>
      <c r="E978" s="19" t="inlineStr">
        <is>
          <t>Raj B. Shetty, Usha Bhandary, Shailashree, Prakash Tuminadu, Amrutha Naik, Shreya Anchan, VJ Vineeth, Rahul Amin, Deepak Rai Panaje, Ramdas</t>
        </is>
      </c>
      <c r="F978" s="19" t="inlineStr">
        <is>
          <t>India</t>
        </is>
      </c>
      <c r="G978" s="19" t="inlineStr">
        <is>
          <t>2017-10-15</t>
        </is>
      </c>
      <c r="H978" s="19" t="n">
        <v>2017</v>
      </c>
      <c r="I978" s="19" t="inlineStr">
        <is>
          <t>TV-PG</t>
        </is>
      </c>
      <c r="J978" s="19" t="inlineStr">
        <is>
          <t>132 min</t>
        </is>
      </c>
      <c r="K978" s="19" t="inlineStr">
        <is>
          <t>Comedies, International Movies, Romantic Movies</t>
        </is>
      </c>
      <c r="L978" s="19" t="inlineStr">
        <is>
          <t>When an astrologer gives him one year to find a mate or face being alone forever, a professor sets out to find a bride despite serious obstacles.</t>
        </is>
      </c>
      <c r="M978" s="19" t="n">
        <v>2017</v>
      </c>
      <c r="N978" s="19">
        <f>IF(AND(OR(YearFilter="All",$M978=YearFilter),OR(RatingFilter="All",$I978=RatingFilter),OR(TypeFilter="All",$B978=TypeFilter),OR(GenreFilter="All",COUNTIFS(tblGenre[show_id],$A978,tblGenre[Genre],GenreFilter)&gt;0)),1,0)</f>
        <v/>
      </c>
    </row>
    <row r="979" ht="15" customHeight="1" s="20">
      <c r="A979" s="19" t="inlineStr">
        <is>
          <t>s8115</t>
        </is>
      </c>
      <c r="B979" s="19" t="inlineStr">
        <is>
          <t>Movie</t>
        </is>
      </c>
      <c r="C979" s="19" t="inlineStr">
        <is>
          <t>Sudani from Nigeria</t>
        </is>
      </c>
      <c r="D979" s="19" t="inlineStr">
        <is>
          <t>Zakariya</t>
        </is>
      </c>
      <c r="E979" s="19" t="inlineStr">
        <is>
          <t>Soubin Shahir, Samuel Abiola Robinson, Savithri Sredharan, Aneesh Menon</t>
        </is>
      </c>
      <c r="F979" s="19" t="inlineStr">
        <is>
          <t>India</t>
        </is>
      </c>
      <c r="G979" s="19" t="inlineStr">
        <is>
          <t>2018-08-01</t>
        </is>
      </c>
      <c r="H979" s="19" t="n">
        <v>2018</v>
      </c>
      <c r="I979" s="19" t="inlineStr">
        <is>
          <t>TV-14</t>
        </is>
      </c>
      <c r="J979" s="19" t="inlineStr">
        <is>
          <t>115 min</t>
        </is>
      </c>
      <c r="K979" s="19" t="inlineStr">
        <is>
          <t>Comedies, Dramas, International Movies</t>
        </is>
      </c>
      <c r="L979" s="19" t="inlineStr">
        <is>
          <t>When a soccer club manager brings one of his injured foreign players home to recuperate, they form an unlikely bond despite their cultural differences.</t>
        </is>
      </c>
      <c r="M979" s="19" t="n">
        <v>2018</v>
      </c>
      <c r="N979" s="19">
        <f>IF(AND(OR(YearFilter="All",$M979=YearFilter),OR(RatingFilter="All",$I979=RatingFilter),OR(TypeFilter="All",$B979=TypeFilter),OR(GenreFilter="All",COUNTIFS(tblGenre[show_id],$A979,tblGenre[Genre],GenreFilter)&gt;0)),1,0)</f>
        <v/>
      </c>
    </row>
    <row r="980" ht="15" customHeight="1" s="20">
      <c r="A980" s="19" t="inlineStr">
        <is>
          <t>s8121</t>
        </is>
      </c>
      <c r="B980" s="19" t="inlineStr">
        <is>
          <t>Movie</t>
        </is>
      </c>
      <c r="C980" s="19" t="inlineStr">
        <is>
          <t>Sunrise</t>
        </is>
      </c>
      <c r="D980" s="19" t="inlineStr">
        <is>
          <t>Partho Sen-Gupta</t>
        </is>
      </c>
      <c r="E980" s="19" t="inlineStr">
        <is>
          <t>Adil Hussain, Tannishtha Chatterjee, Gulnaaz Ansari, Komal Gupta, Esha Amlani, Ashalata Wabgaonkar, Hridaynath Jadhav, Chinmay Kambli, Nandini Bora, Komal Gawade</t>
        </is>
      </c>
      <c r="F980" s="19" t="inlineStr">
        <is>
          <t>India, France</t>
        </is>
      </c>
      <c r="G980" s="19" t="inlineStr">
        <is>
          <t>2017-03-15</t>
        </is>
      </c>
      <c r="H980" s="19" t="n">
        <v>2014</v>
      </c>
      <c r="I980" s="19" t="inlineStr">
        <is>
          <t>TV-MA</t>
        </is>
      </c>
      <c r="J980" s="19" t="inlineStr">
        <is>
          <t>85 min</t>
        </is>
      </c>
      <c r="K980" s="19" t="inlineStr">
        <is>
          <t>Dramas, Independent Movies, International Movies</t>
        </is>
      </c>
      <c r="L980" s="19" t="inlineStr">
        <is>
          <t>While investigating a child kidnapping, a Mumbai police inspector is haunted by a shadowy dream figure and memories of his own abducted daughter.</t>
        </is>
      </c>
      <c r="M980" s="19" t="n">
        <v>2017</v>
      </c>
      <c r="N980" s="19">
        <f>IF(AND(OR(YearFilter="All",$M980=YearFilter),OR(RatingFilter="All",$I980=RatingFilter),OR(TypeFilter="All",$B980=TypeFilter),OR(GenreFilter="All",COUNTIFS(tblGenre[show_id],$A980,tblGenre[Genre],GenreFilter)&gt;0)),1,0)</f>
        <v/>
      </c>
    </row>
    <row r="981" ht="15" customHeight="1" s="20">
      <c r="A981" s="19" t="inlineStr">
        <is>
          <t>s8122</t>
        </is>
      </c>
      <c r="B981" s="19" t="inlineStr">
        <is>
          <t>TV Show</t>
        </is>
      </c>
      <c r="C981" s="19" t="inlineStr">
        <is>
          <t>Super Bheem</t>
        </is>
      </c>
      <c r="E981" s="19" t="inlineStr">
        <is>
          <t>Sonal Kaushal, Rupa Bhimani, Julie Tejwani, Sabina Malik, Jigna Bharadhwaj, Rajesh Kawa</t>
        </is>
      </c>
      <c r="F981" s="19" t="inlineStr">
        <is>
          <t>India</t>
        </is>
      </c>
      <c r="G981" s="19" t="inlineStr">
        <is>
          <t>2019-06-28</t>
        </is>
      </c>
      <c r="H981" s="19" t="n">
        <v>2019</v>
      </c>
      <c r="I981" s="19" t="inlineStr">
        <is>
          <t>TV-Y</t>
        </is>
      </c>
      <c r="J981" s="19" t="inlineStr">
        <is>
          <t>1 Season</t>
        </is>
      </c>
      <c r="K981" s="19" t="inlineStr">
        <is>
          <t>Kids' TV</t>
        </is>
      </c>
      <c r="L981" s="19" t="inlineStr">
        <is>
          <t>In this 3D-animated spinoff from the Chhota Bheem series, valiant superhero Bheem goes beyond his village to fight the good fight across the universe.</t>
        </is>
      </c>
      <c r="M981" s="19" t="n">
        <v>2019</v>
      </c>
      <c r="N981" s="19">
        <f>IF(AND(OR(YearFilter="All",$M981=YearFilter),OR(RatingFilter="All",$I981=RatingFilter),OR(TypeFilter="All",$B981=TypeFilter),OR(GenreFilter="All",COUNTIFS(tblGenre[show_id],$A981,tblGenre[Genre],GenreFilter)&gt;0)),1,0)</f>
        <v/>
      </c>
    </row>
    <row r="982" ht="15" customHeight="1" s="20">
      <c r="A982" s="19" t="inlineStr">
        <is>
          <t>s8123</t>
        </is>
      </c>
      <c r="B982" s="19" t="inlineStr">
        <is>
          <t>Movie</t>
        </is>
      </c>
      <c r="C982" s="19" t="inlineStr">
        <is>
          <t>Super Bheem Bana Vajraveer</t>
        </is>
      </c>
      <c r="D982" s="19" t="inlineStr">
        <is>
          <t>Sumit Das</t>
        </is>
      </c>
      <c r="E982" s="19" t="inlineStr">
        <is>
          <t>Sonal Kaushal, Rupa Bhimani, Julie Tejwani, Sabina Malik, Jigna Bharadhwaj, Rajesh Kawa</t>
        </is>
      </c>
      <c r="F982" s="19" t="inlineStr">
        <is>
          <t>India</t>
        </is>
      </c>
      <c r="G982" s="19" t="inlineStr">
        <is>
          <t>2019-06-18</t>
        </is>
      </c>
      <c r="H982" s="19" t="n">
        <v>2018</v>
      </c>
      <c r="I982" s="19" t="inlineStr">
        <is>
          <t>TV-Y7</t>
        </is>
      </c>
      <c r="J982" s="19" t="inlineStr">
        <is>
          <t>63 min</t>
        </is>
      </c>
      <c r="K982" s="19" t="inlineStr">
        <is>
          <t>Children &amp; Family Movies</t>
        </is>
      </c>
      <c r="L982" s="19" t="inlineStr">
        <is>
          <t>Hoping to find a magical root, a monster has captured farmers in the land of Vyom. It’s up to Bheem and the gang to foil his plan and save the kingdom!</t>
        </is>
      </c>
      <c r="M982" s="19" t="n">
        <v>2019</v>
      </c>
      <c r="N982" s="19">
        <f>IF(AND(OR(YearFilter="All",$M982=YearFilter),OR(RatingFilter="All",$I982=RatingFilter),OR(TypeFilter="All",$B982=TypeFilter),OR(GenreFilter="All",COUNTIFS(tblGenre[show_id],$A982,tblGenre[Genre],GenreFilter)&gt;0)),1,0)</f>
        <v/>
      </c>
    </row>
    <row r="983" ht="15" customHeight="1" s="20">
      <c r="A983" s="19" t="inlineStr">
        <is>
          <t>s8125</t>
        </is>
      </c>
      <c r="B983" s="19" t="inlineStr">
        <is>
          <t>Movie</t>
        </is>
      </c>
      <c r="C983" s="19" t="inlineStr">
        <is>
          <t>Super Nani</t>
        </is>
      </c>
      <c r="D983" s="19" t="inlineStr">
        <is>
          <t>Indra Kumar</t>
        </is>
      </c>
      <c r="E983" s="19" t="inlineStr">
        <is>
          <t>Rekha, Randhir Kapoor, Sharman Joshi, Anupam Kher, Shweta Kumar, Varsha Usgaonkar, Rajesh Kumar, Shreya Narayan</t>
        </is>
      </c>
      <c r="F983" s="19" t="inlineStr">
        <is>
          <t>India</t>
        </is>
      </c>
      <c r="G983" s="19" t="inlineStr">
        <is>
          <t>2018-03-01</t>
        </is>
      </c>
      <c r="H983" s="19" t="n">
        <v>2014</v>
      </c>
      <c r="I983" s="19" t="inlineStr">
        <is>
          <t>TV-PG</t>
        </is>
      </c>
      <c r="J983" s="19" t="inlineStr">
        <is>
          <t>127 min</t>
        </is>
      </c>
      <c r="K983" s="19" t="inlineStr">
        <is>
          <t>Comedies, Dramas, International Movies</t>
        </is>
      </c>
      <c r="L983" s="19" t="inlineStr">
        <is>
          <t>A loving, concerned American grandson travels to Mumbai to rescue his unappreciated grandmother from her drudgery and fulfill her true potential.</t>
        </is>
      </c>
      <c r="M983" s="19" t="n">
        <v>2018</v>
      </c>
      <c r="N983" s="19">
        <f>IF(AND(OR(YearFilter="All",$M983=YearFilter),OR(RatingFilter="All",$I983=RatingFilter),OR(TypeFilter="All",$B983=TypeFilter),OR(GenreFilter="All",COUNTIFS(tblGenre[show_id],$A983,tblGenre[Genre],GenreFilter)&gt;0)),1,0)</f>
        <v/>
      </c>
    </row>
    <row r="984" ht="15" customHeight="1" s="20">
      <c r="A984" s="19" t="inlineStr">
        <is>
          <t>s8137</t>
        </is>
      </c>
      <c r="B984" s="19" t="inlineStr">
        <is>
          <t>Movie</t>
        </is>
      </c>
      <c r="C984" s="19" t="inlineStr">
        <is>
          <t>Swami</t>
        </is>
      </c>
      <c r="D984" s="19" t="inlineStr">
        <is>
          <t>Basu Chatterjee</t>
        </is>
      </c>
      <c r="E984" s="19" t="inlineStr">
        <is>
          <t>Shabana Azmi, Girish Karnad, Vikram, Dheeraj Kumar, Shashikala, Utpal Dutt, Preeti Ganguli, Sudha Shivpuri</t>
        </is>
      </c>
      <c r="F984" s="19" t="inlineStr">
        <is>
          <t>India</t>
        </is>
      </c>
      <c r="G984" s="19" t="inlineStr">
        <is>
          <t>2019-12-31</t>
        </is>
      </c>
      <c r="H984" s="19" t="n">
        <v>1977</v>
      </c>
      <c r="I984" s="19" t="inlineStr">
        <is>
          <t>TV-PG</t>
        </is>
      </c>
      <c r="J984" s="19" t="inlineStr">
        <is>
          <t>123 min</t>
        </is>
      </c>
      <c r="K984" s="19" t="inlineStr">
        <is>
          <t>Dramas, Independent Movies, International Movies</t>
        </is>
      </c>
      <c r="L984" s="19" t="inlineStr">
        <is>
          <t>After she enters into an arranged marriage, a spirited and intellectual young woman tries to adjust to life with a man who was not her choice.</t>
        </is>
      </c>
      <c r="M984" s="19" t="n">
        <v>2019</v>
      </c>
      <c r="N984" s="19">
        <f>IF(AND(OR(YearFilter="All",$M984=YearFilter),OR(RatingFilter="All",$I984=RatingFilter),OR(TypeFilter="All",$B984=TypeFilter),OR(GenreFilter="All",COUNTIFS(tblGenre[show_id],$A984,tblGenre[Genre],GenreFilter)&gt;0)),1,0)</f>
        <v/>
      </c>
    </row>
    <row r="985" ht="15" customHeight="1" s="20">
      <c r="A985" s="19" t="inlineStr">
        <is>
          <t>s8145</t>
        </is>
      </c>
      <c r="B985" s="19" t="inlineStr">
        <is>
          <t>Movie</t>
        </is>
      </c>
      <c r="C985" s="19" t="inlineStr">
        <is>
          <t>Taal</t>
        </is>
      </c>
      <c r="D985" s="19" t="inlineStr">
        <is>
          <t>Subhash Ghai</t>
        </is>
      </c>
      <c r="E985" s="19" t="inlineStr">
        <is>
          <t>Anil Kapoor, Aishwarya Rai Bachchan, Akshaye Khanna, Amrish Puri, Alok Nath, Mita Vasisht, Saurabh Shukla, Supriya Karnik</t>
        </is>
      </c>
      <c r="F985" s="19" t="inlineStr">
        <is>
          <t>India</t>
        </is>
      </c>
      <c r="G985" s="19" t="inlineStr">
        <is>
          <t>2018-03-01</t>
        </is>
      </c>
      <c r="H985" s="19" t="n">
        <v>1999</v>
      </c>
      <c r="I985" s="19" t="inlineStr">
        <is>
          <t>TV-PG</t>
        </is>
      </c>
      <c r="J985" s="19" t="inlineStr">
        <is>
          <t>177 min</t>
        </is>
      </c>
      <c r="K985" s="19" t="inlineStr">
        <is>
          <t>Dramas, International Movies, Music &amp; Musicals</t>
        </is>
      </c>
      <c r="L985" s="19" t="inlineStr">
        <is>
          <t>Businessman Manav falls for aspiring singer Mansi, but their romance faces an uphill climb when Manav must depart and Mansi's suave manager moves in.</t>
        </is>
      </c>
      <c r="M985" s="19" t="n">
        <v>2018</v>
      </c>
      <c r="N985" s="19">
        <f>IF(AND(OR(YearFilter="All",$M985=YearFilter),OR(RatingFilter="All",$I985=RatingFilter),OR(TypeFilter="All",$B985=TypeFilter),OR(GenreFilter="All",COUNTIFS(tblGenre[show_id],$A985,tblGenre[Genre],GenreFilter)&gt;0)),1,0)</f>
        <v/>
      </c>
    </row>
    <row r="986" ht="15" customHeight="1" s="20">
      <c r="A986" s="19" t="inlineStr">
        <is>
          <t>s8146</t>
        </is>
      </c>
      <c r="B986" s="19" t="inlineStr">
        <is>
          <t>Movie</t>
        </is>
      </c>
      <c r="C986" s="19" t="inlineStr">
        <is>
          <t>Tahaan</t>
        </is>
      </c>
      <c r="D986" s="19" t="inlineStr">
        <is>
          <t>Santosh Sivan</t>
        </is>
      </c>
      <c r="E986" s="19" t="inlineStr">
        <is>
          <t>Purav Bhandare, Anupam Kher, Rahul Bose, Victor Banerjee, Ankush Dubey, Rasika Dugal, Rahul Khanna, Sana Shaikh, Dheirya Sonecha, Fatima Sana Shaikh, Sarika</t>
        </is>
      </c>
      <c r="F986" s="19" t="inlineStr">
        <is>
          <t>India</t>
        </is>
      </c>
      <c r="G986" s="19" t="inlineStr">
        <is>
          <t>2018-07-15</t>
        </is>
      </c>
      <c r="H986" s="19" t="n">
        <v>2008</v>
      </c>
      <c r="I986" s="19" t="inlineStr">
        <is>
          <t>TV-14</t>
        </is>
      </c>
      <c r="J986" s="19" t="inlineStr">
        <is>
          <t>95 min</t>
        </is>
      </c>
      <c r="K986" s="19" t="inlineStr">
        <is>
          <t>Dramas, International Movies</t>
        </is>
      </c>
      <c r="L986" s="19" t="inlineStr">
        <is>
          <t>After his family's donkey is confiscated by a moneylender, 8-year-old Tahaan travels across conflict-torn Kashmir to find his beloved pet.</t>
        </is>
      </c>
      <c r="M986" s="19" t="n">
        <v>2018</v>
      </c>
      <c r="N986" s="19">
        <f>IF(AND(OR(YearFilter="All",$M986=YearFilter),OR(RatingFilter="All",$I986=RatingFilter),OR(TypeFilter="All",$B986=TypeFilter),OR(GenreFilter="All",COUNTIFS(tblGenre[show_id],$A986,tblGenre[Genre],GenreFilter)&gt;0)),1,0)</f>
        <v/>
      </c>
    </row>
    <row r="987" ht="15" customHeight="1" s="20">
      <c r="A987" s="19" t="inlineStr">
        <is>
          <t>s8150</t>
        </is>
      </c>
      <c r="B987" s="19" t="inlineStr">
        <is>
          <t>Movie</t>
        </is>
      </c>
      <c r="C987" s="19" t="inlineStr">
        <is>
          <t>Tamanchey</t>
        </is>
      </c>
      <c r="D987" s="19" t="inlineStr">
        <is>
          <t>Navneet Behal</t>
        </is>
      </c>
      <c r="E987" s="19" t="inlineStr">
        <is>
          <t>Nikhil Dwivedi, Richa Chadha, Damandeep Singh Baggan, Vijay Pande, Talib Mehdi, Tushar Phulke, Mahesh Gupta, Prasad Labhe</t>
        </is>
      </c>
      <c r="F987" s="19" t="inlineStr">
        <is>
          <t>India</t>
        </is>
      </c>
      <c r="G987" s="19" t="inlineStr">
        <is>
          <t>2017-10-15</t>
        </is>
      </c>
      <c r="H987" s="19" t="n">
        <v>2014</v>
      </c>
      <c r="I987" s="19" t="inlineStr">
        <is>
          <t>TV-MA</t>
        </is>
      </c>
      <c r="J987" s="19" t="inlineStr">
        <is>
          <t>111 min</t>
        </is>
      </c>
      <c r="K987" s="19" t="inlineStr">
        <is>
          <t>Action &amp; Adventure, International Movies, Romantic Movies</t>
        </is>
      </c>
      <c r="L987" s="19" t="inlineStr">
        <is>
          <t>A man and a woman on the run from the law are drawn to each other through the common bond of their mutual dependency.</t>
        </is>
      </c>
      <c r="M987" s="19" t="n">
        <v>2017</v>
      </c>
      <c r="N987" s="19">
        <f>IF(AND(OR(YearFilter="All",$M987=YearFilter),OR(RatingFilter="All",$I987=RatingFilter),OR(TypeFilter="All",$B987=TypeFilter),OR(GenreFilter="All",COUNTIFS(tblGenre[show_id],$A987,tblGenre[Genre],GenreFilter)&gt;0)),1,0)</f>
        <v/>
      </c>
    </row>
    <row r="988" ht="15" customHeight="1" s="20">
      <c r="A988" s="19" t="inlineStr">
        <is>
          <t>s8157</t>
        </is>
      </c>
      <c r="B988" s="19" t="inlineStr">
        <is>
          <t>Movie</t>
        </is>
      </c>
      <c r="C988" s="19" t="inlineStr">
        <is>
          <t>Teen Patti</t>
        </is>
      </c>
      <c r="D988" s="19" t="inlineStr">
        <is>
          <t>Leena Yadav</t>
        </is>
      </c>
      <c r="E988" s="19" t="inlineStr">
        <is>
          <t>Amitabh Bachchan, Madhavan, Ben Kingsley, Shraddha Kapoor, Siddharth Kher, Dhruv Ganesh, Vaibhav Talwar</t>
        </is>
      </c>
      <c r="F988" s="19" t="inlineStr">
        <is>
          <t>India</t>
        </is>
      </c>
      <c r="G988" s="19" t="inlineStr">
        <is>
          <t>2018-03-01</t>
        </is>
      </c>
      <c r="H988" s="19" t="n">
        <v>2010</v>
      </c>
      <c r="I988" s="19" t="inlineStr">
        <is>
          <t>TV-PG</t>
        </is>
      </c>
      <c r="J988" s="19" t="inlineStr">
        <is>
          <t>137 min</t>
        </is>
      </c>
      <c r="K988" s="19" t="inlineStr">
        <is>
          <t>Dramas, International Movies, Thrillers</t>
        </is>
      </c>
      <c r="L988" s="19" t="inlineStr">
        <is>
          <t>Luck brings together math expert Perci Trachtenberg and obscure genius Venkat Subramaniam in a casino, but the foundations of probability may be utterly altered when their chat leads Subramaniam to try a new theory in the gambling dens of Mumbai.</t>
        </is>
      </c>
      <c r="M988" s="19" t="n">
        <v>2018</v>
      </c>
      <c r="N988" s="19">
        <f>IF(AND(OR(YearFilter="All",$M988=YearFilter),OR(RatingFilter="All",$I988=RatingFilter),OR(TypeFilter="All",$B988=TypeFilter),OR(GenreFilter="All",COUNTIFS(tblGenre[show_id],$A988,tblGenre[Genre],GenreFilter)&gt;0)),1,0)</f>
        <v/>
      </c>
    </row>
    <row r="989" ht="15" customHeight="1" s="20">
      <c r="A989" s="19" t="inlineStr">
        <is>
          <t>s8162</t>
        </is>
      </c>
      <c r="B989" s="19" t="inlineStr">
        <is>
          <t>Movie</t>
        </is>
      </c>
      <c r="C989" s="19" t="inlineStr">
        <is>
          <t>Tees Maar Khan</t>
        </is>
      </c>
      <c r="D989" s="19" t="inlineStr">
        <is>
          <t>Farah Khan</t>
        </is>
      </c>
      <c r="E989" s="19" t="inlineStr">
        <is>
          <t>Katrina Kaif, Akshay Kumar, Akshaye Khanna, Arya Babbar, Rajiv Lakshman, Raghu Ram, Vijay Maurya, Dharampal, Ali Asghar, Murli Sharma</t>
        </is>
      </c>
      <c r="F989" s="19" t="inlineStr">
        <is>
          <t>India</t>
        </is>
      </c>
      <c r="G989" s="19" t="inlineStr">
        <is>
          <t>2018-08-02</t>
        </is>
      </c>
      <c r="H989" s="19" t="n">
        <v>2010</v>
      </c>
      <c r="I989" s="19" t="inlineStr">
        <is>
          <t>TV-PG</t>
        </is>
      </c>
      <c r="J989" s="19" t="inlineStr">
        <is>
          <t>125 min</t>
        </is>
      </c>
      <c r="K989" s="19" t="inlineStr">
        <is>
          <t>Comedies, International Movies, Music &amp; Musicals</t>
        </is>
      </c>
      <c r="L989" s="19" t="inlineStr">
        <is>
          <t>A flamboyant con artist and his band of gleeful robbers gamble with fate when smugglers hire them to swipe antiques from a speeding train.</t>
        </is>
      </c>
      <c r="M989" s="19" t="n">
        <v>2018</v>
      </c>
      <c r="N989" s="19">
        <f>IF(AND(OR(YearFilter="All",$M989=YearFilter),OR(RatingFilter="All",$I989=RatingFilter),OR(TypeFilter="All",$B989=TypeFilter),OR(GenreFilter="All",COUNTIFS(tblGenre[show_id],$A989,tblGenre[Genre],GenreFilter)&gt;0)),1,0)</f>
        <v/>
      </c>
    </row>
    <row r="990" ht="15" customHeight="1" s="20">
      <c r="A990" s="19" t="inlineStr">
        <is>
          <t>s8171</t>
        </is>
      </c>
      <c r="B990" s="19" t="inlineStr">
        <is>
          <t>Movie</t>
        </is>
      </c>
      <c r="C990" s="19" t="inlineStr">
        <is>
          <t>Teshan</t>
        </is>
      </c>
      <c r="D990" s="19" t="inlineStr">
        <is>
          <t>Sukhbir Singh</t>
        </is>
      </c>
      <c r="E990" s="19" t="inlineStr">
        <is>
          <t>Happy Raikoti, Diljott, Prince Kanwaljit Singh, Karamjit Anmol, Harinder Bhullar, Virast Sandhu, Anita Devgan, Simran Sehajpal</t>
        </is>
      </c>
      <c r="F990" s="19" t="inlineStr">
        <is>
          <t>India</t>
        </is>
      </c>
      <c r="G990" s="19" t="inlineStr">
        <is>
          <t>2017-10-15</t>
        </is>
      </c>
      <c r="H990" s="19" t="n">
        <v>2016</v>
      </c>
      <c r="I990" s="19" t="inlineStr">
        <is>
          <t>TV-PG</t>
        </is>
      </c>
      <c r="J990" s="19" t="inlineStr">
        <is>
          <t>133 min</t>
        </is>
      </c>
      <c r="K990" s="19" t="inlineStr">
        <is>
          <t>Comedies, International Movies, Romantic Movies</t>
        </is>
      </c>
      <c r="L990" s="19" t="inlineStr">
        <is>
          <t>New beginnings appear to be on the horizon after a simple country boy forms a bond with a sophisticated urban girl with modern ideas.</t>
        </is>
      </c>
      <c r="M990" s="19" t="n">
        <v>2017</v>
      </c>
      <c r="N990" s="19">
        <f>IF(AND(OR(YearFilter="All",$M990=YearFilter),OR(RatingFilter="All",$I990=RatingFilter),OR(TypeFilter="All",$B990=TypeFilter),OR(GenreFilter="All",COUNTIFS(tblGenre[show_id],$A990,tblGenre[Genre],GenreFilter)&gt;0)),1,0)</f>
        <v/>
      </c>
    </row>
    <row r="991" ht="15" customHeight="1" s="20">
      <c r="A991" s="19" t="inlineStr">
        <is>
          <t>s8172</t>
        </is>
      </c>
      <c r="B991" s="19" t="inlineStr">
        <is>
          <t>Movie</t>
        </is>
      </c>
      <c r="C991" s="19" t="inlineStr">
        <is>
          <t>Tezz</t>
        </is>
      </c>
      <c r="D991" s="19" t="inlineStr">
        <is>
          <t>Priyadarshan</t>
        </is>
      </c>
      <c r="E991" s="19" t="inlineStr">
        <is>
          <t>Anil Kapoor, Ajay Devgn, Boman Irani, Kangna Ranaut, Zayed Khan, Mallika Sherawat, Avika Gor, Dominic Power, Sameera Reddy, Mohanlal</t>
        </is>
      </c>
      <c r="F991" s="19" t="inlineStr">
        <is>
          <t>United Kingdom, India</t>
        </is>
      </c>
      <c r="G991" s="19" t="inlineStr">
        <is>
          <t>2017-12-01</t>
        </is>
      </c>
      <c r="H991" s="19" t="n">
        <v>2012</v>
      </c>
      <c r="I991" s="19" t="inlineStr">
        <is>
          <t>TV-MA</t>
        </is>
      </c>
      <c r="J991" s="19" t="inlineStr">
        <is>
          <t>121 min</t>
        </is>
      </c>
      <c r="K991" s="19" t="inlineStr">
        <is>
          <t>Action &amp; Adventure, International Movies, Music &amp; Musicals</t>
        </is>
      </c>
      <c r="L991" s="19" t="inlineStr">
        <is>
          <t>This high-octane thriller tells the story of a man on a mission to reclaim what was taken from him and the agent who's determined to stop him.</t>
        </is>
      </c>
      <c r="M991" s="19" t="n">
        <v>2017</v>
      </c>
      <c r="N991" s="19">
        <f>IF(AND(OR(YearFilter="All",$M991=YearFilter),OR(RatingFilter="All",$I991=RatingFilter),OR(TypeFilter="All",$B991=TypeFilter),OR(GenreFilter="All",COUNTIFS(tblGenre[show_id],$A991,tblGenre[Genre],GenreFilter)&gt;0)),1,0)</f>
        <v/>
      </c>
    </row>
    <row r="992" ht="15" customHeight="1" s="20">
      <c r="A992" s="19" t="inlineStr">
        <is>
          <t>s8173</t>
        </is>
      </c>
      <c r="B992" s="19" t="inlineStr">
        <is>
          <t>TV Show</t>
        </is>
      </c>
      <c r="C992" s="19" t="inlineStr">
        <is>
          <t>Th Eena Meena Deeka Chase Comedy Show</t>
        </is>
      </c>
      <c r="D992" s="19" t="inlineStr">
        <is>
          <t>Dheeraj Berry</t>
        </is>
      </c>
      <c r="E992" s="19" t="inlineStr">
        <is>
          <t>Sanjay Keni, Priya Raina</t>
        </is>
      </c>
      <c r="F992" s="19" t="inlineStr">
        <is>
          <t>India</t>
        </is>
      </c>
      <c r="G992" s="19" t="inlineStr">
        <is>
          <t>2018-03-31</t>
        </is>
      </c>
      <c r="H992" s="19" t="n">
        <v>2015</v>
      </c>
      <c r="I992" s="19" t="inlineStr">
        <is>
          <t>TV-Y7</t>
        </is>
      </c>
      <c r="J992" s="19" t="inlineStr">
        <is>
          <t>1 Season</t>
        </is>
      </c>
      <c r="K992" s="19" t="inlineStr">
        <is>
          <t>Kids' TV, TV Comedies</t>
        </is>
      </c>
      <c r="L992" s="19" t="inlineStr">
        <is>
          <t>A hungry fox and three resourceful, surprisingly formidable birds turn the animal kingdom on its head in this lively animated series.</t>
        </is>
      </c>
      <c r="M992" s="19" t="n">
        <v>2018</v>
      </c>
      <c r="N992" s="19">
        <f>IF(AND(OR(YearFilter="All",$M992=YearFilter),OR(RatingFilter="All",$I992=RatingFilter),OR(TypeFilter="All",$B992=TypeFilter),OR(GenreFilter="All",COUNTIFS(tblGenre[show_id],$A992,tblGenre[Genre],GenreFilter)&gt;0)),1,0)</f>
        <v/>
      </c>
    </row>
    <row r="993" ht="15" customHeight="1" s="20">
      <c r="A993" s="19" t="inlineStr">
        <is>
          <t>s8174</t>
        </is>
      </c>
      <c r="B993" s="19" t="inlineStr">
        <is>
          <t>TV Show</t>
        </is>
      </c>
      <c r="C993" s="19" t="inlineStr">
        <is>
          <t>Thackeray</t>
        </is>
      </c>
      <c r="F993" s="19" t="inlineStr">
        <is>
          <t>India</t>
        </is>
      </c>
      <c r="G993" s="19" t="inlineStr">
        <is>
          <t>2019-05-25</t>
        </is>
      </c>
      <c r="H993" s="19" t="n">
        <v>2019</v>
      </c>
      <c r="I993" s="19" t="inlineStr">
        <is>
          <t>TV-MA</t>
        </is>
      </c>
      <c r="J993" s="19" t="inlineStr">
        <is>
          <t>1 Season</t>
        </is>
      </c>
      <c r="K993" s="19" t="inlineStr">
        <is>
          <t>TV Shows</t>
        </is>
      </c>
      <c r="L993" s="19" t="inlineStr">
        <is>
          <t>From controversial cartoonist to powerful Mumbai politician, this biopic maps the meteoric rise of far-right Shiv Sena party founder, Bal Thackeray.</t>
        </is>
      </c>
      <c r="M993" s="19" t="n">
        <v>2019</v>
      </c>
      <c r="N993" s="19">
        <f>IF(AND(OR(YearFilter="All",$M993=YearFilter),OR(RatingFilter="All",$I993=RatingFilter),OR(TypeFilter="All",$B993=TypeFilter),OR(GenreFilter="All",COUNTIFS(tblGenre[show_id],$A993,tblGenre[Genre],GenreFilter)&gt;0)),1,0)</f>
        <v/>
      </c>
    </row>
    <row r="994" ht="15" customHeight="1" s="20">
      <c r="A994" s="19" t="inlineStr">
        <is>
          <t>s8226</t>
        </is>
      </c>
      <c r="B994" s="19" t="inlineStr">
        <is>
          <t>Movie</t>
        </is>
      </c>
      <c r="C994" s="19" t="inlineStr">
        <is>
          <t>The Breadwinner</t>
        </is>
      </c>
      <c r="D994" s="19" t="inlineStr">
        <is>
          <t>Nora Twomey</t>
        </is>
      </c>
      <c r="E994" s="19" t="inlineStr">
        <is>
          <t>Saara Chaudry, Soma Chhaya, Ali Badshah, Soma Bhatia, Shaista Latif, Laara Sadiq, Kawa Ada, Noorin Gulamgaus</t>
        </is>
      </c>
      <c r="F994" s="19" t="inlineStr">
        <is>
          <t>Ireland, Canada, Luxembourg, United States, United Kingdom, Philippines, India</t>
        </is>
      </c>
      <c r="G994" s="19" t="inlineStr">
        <is>
          <t>2018-02-20</t>
        </is>
      </c>
      <c r="H994" s="19" t="n">
        <v>2017</v>
      </c>
      <c r="I994" s="19" t="inlineStr">
        <is>
          <t>PG-13</t>
        </is>
      </c>
      <c r="J994" s="19" t="inlineStr">
        <is>
          <t>93 min</t>
        </is>
      </c>
      <c r="K994" s="19" t="inlineStr">
        <is>
          <t>Children &amp; Family Movies, Dramas, International Movies</t>
        </is>
      </c>
      <c r="L994" s="19" t="inlineStr">
        <is>
          <t>A courageous 11-year-old Afghan girl disguises herself as a boy and takes on odd jobs to provide for her family when her father is arrested.</t>
        </is>
      </c>
      <c r="M994" s="19" t="n">
        <v>2018</v>
      </c>
      <c r="N994" s="19">
        <f>IF(AND(OR(YearFilter="All",$M994=YearFilter),OR(RatingFilter="All",$I994=RatingFilter),OR(TypeFilter="All",$B994=TypeFilter),OR(GenreFilter="All",COUNTIFS(tblGenre[show_id],$A994,tblGenre[Genre],GenreFilter)&gt;0)),1,0)</f>
        <v/>
      </c>
    </row>
    <row r="995" ht="15" customHeight="1" s="20">
      <c r="A995" s="19" t="inlineStr">
        <is>
          <t>s8236</t>
        </is>
      </c>
      <c r="B995" s="19" t="inlineStr">
        <is>
          <t>TV Show</t>
        </is>
      </c>
      <c r="C995" s="19" t="inlineStr">
        <is>
          <t>The Calling</t>
        </is>
      </c>
      <c r="D995" s="19" t="inlineStr">
        <is>
          <t>Bumpy</t>
        </is>
      </c>
      <c r="F995" s="19" t="inlineStr">
        <is>
          <t>India</t>
        </is>
      </c>
      <c r="G995" s="19" t="inlineStr">
        <is>
          <t>2019-04-01</t>
        </is>
      </c>
      <c r="H995" s="19" t="n">
        <v>2018</v>
      </c>
      <c r="I995" s="19" t="inlineStr">
        <is>
          <t>TV-MA</t>
        </is>
      </c>
      <c r="J995" s="19" t="inlineStr">
        <is>
          <t>1 Season</t>
        </is>
      </c>
      <c r="K995" s="19" t="inlineStr">
        <is>
          <t>International TV Shows, Reality TV</t>
        </is>
      </c>
      <c r="L995" s="19" t="inlineStr">
        <is>
          <t>Food-crazed travel junkies journey across India, completing bucket list challenges for a chance to win a once-in-a-lifetime scholarship.</t>
        </is>
      </c>
      <c r="M995" s="19" t="n">
        <v>2019</v>
      </c>
      <c r="N995" s="19">
        <f>IF(AND(OR(YearFilter="All",$M995=YearFilter),OR(RatingFilter="All",$I995=RatingFilter),OR(TypeFilter="All",$B995=TypeFilter),OR(GenreFilter="All",COUNTIFS(tblGenre[show_id],$A995,tblGenre[Genre],GenreFilter)&gt;0)),1,0)</f>
        <v/>
      </c>
    </row>
    <row r="996" ht="15" customHeight="1" s="20">
      <c r="A996" s="19" t="inlineStr">
        <is>
          <t>s8265</t>
        </is>
      </c>
      <c r="B996" s="19" t="inlineStr">
        <is>
          <t>Movie</t>
        </is>
      </c>
      <c r="C996" s="19" t="inlineStr">
        <is>
          <t>The Damned Rain</t>
        </is>
      </c>
      <c r="D996" s="19" t="inlineStr">
        <is>
          <t>Satish Manwar</t>
        </is>
      </c>
      <c r="E996" s="19" t="inlineStr">
        <is>
          <t>Sonali Kulkarni, Girish Kulkarni, Jyoti Subhash, Veena Jamkar, Aman Attar</t>
        </is>
      </c>
      <c r="F996" s="19" t="inlineStr">
        <is>
          <t>India</t>
        </is>
      </c>
      <c r="G996" s="19" t="inlineStr">
        <is>
          <t>2018-01-01</t>
        </is>
      </c>
      <c r="H996" s="19" t="n">
        <v>2009</v>
      </c>
      <c r="I996" s="19" t="inlineStr">
        <is>
          <t>TV-14</t>
        </is>
      </c>
      <c r="J996" s="19" t="inlineStr">
        <is>
          <t>99 min</t>
        </is>
      </c>
      <c r="K996" s="19" t="inlineStr">
        <is>
          <t>Dramas, International Movies</t>
        </is>
      </c>
      <c r="L996" s="19" t="inlineStr">
        <is>
          <t>An optimistic farmer is determined to succeed in spite of the lack of rain in his region, and the sinking spirits around him.</t>
        </is>
      </c>
      <c r="M996" s="19" t="n">
        <v>2018</v>
      </c>
      <c r="N996" s="19">
        <f>IF(AND(OR(YearFilter="All",$M996=YearFilter),OR(RatingFilter="All",$I996=RatingFilter),OR(TypeFilter="All",$B996=TypeFilter),OR(GenreFilter="All",COUNTIFS(tblGenre[show_id],$A996,tblGenre[Genre],GenreFilter)&gt;0)),1,0)</f>
        <v/>
      </c>
    </row>
    <row r="997" ht="15" customHeight="1" s="20">
      <c r="A997" s="19" t="inlineStr">
        <is>
          <t>s8268</t>
        </is>
      </c>
      <c r="B997" s="19" t="inlineStr">
        <is>
          <t>Movie</t>
        </is>
      </c>
      <c r="C997" s="19" t="inlineStr">
        <is>
          <t>The Dark Side of Life: Mumbai City</t>
        </is>
      </c>
      <c r="D997" s="19" t="inlineStr">
        <is>
          <t>Tariq Khan</t>
        </is>
      </c>
      <c r="E997" s="19" t="inlineStr">
        <is>
          <t>Mahesh Bhatt, Kay Kay Menon, Avii, Nikhil Ratnaparkhi, Neha Khan, Alisha Khan, Irfan Hussein, Jyoti Malshe, Sayed Gul</t>
        </is>
      </c>
      <c r="F997" s="19" t="inlineStr">
        <is>
          <t>India</t>
        </is>
      </c>
      <c r="G997" s="19" t="inlineStr">
        <is>
          <t>2019-12-31</t>
        </is>
      </c>
      <c r="H997" s="19" t="n">
        <v>2018</v>
      </c>
      <c r="I997" s="19" t="inlineStr">
        <is>
          <t>TV-MA</t>
        </is>
      </c>
      <c r="J997" s="19" t="inlineStr">
        <is>
          <t>121 min</t>
        </is>
      </c>
      <c r="K997" s="19" t="inlineStr">
        <is>
          <t>Dramas, International Movies</t>
        </is>
      </c>
      <c r="L997" s="19" t="inlineStr">
        <is>
          <t>Struggling with Mumbai's pressures and private battles with depression, six lives intersect just as they reach a breaking point.</t>
        </is>
      </c>
      <c r="M997" s="19" t="n">
        <v>2019</v>
      </c>
      <c r="N997" s="19">
        <f>IF(AND(OR(YearFilter="All",$M997=YearFilter),OR(RatingFilter="All",$I997=RatingFilter),OR(TypeFilter="All",$B997=TypeFilter),OR(GenreFilter="All",COUNTIFS(tblGenre[show_id],$A997,tblGenre[Genre],GenreFilter)&gt;0)),1,0)</f>
        <v/>
      </c>
    </row>
    <row r="998" ht="15" customHeight="1" s="20">
      <c r="A998" s="19" t="inlineStr">
        <is>
          <t>s8310</t>
        </is>
      </c>
      <c r="B998" s="19" t="inlineStr">
        <is>
          <t>Movie</t>
        </is>
      </c>
      <c r="C998" s="19" t="inlineStr">
        <is>
          <t>The Foreigner</t>
        </is>
      </c>
      <c r="D998" s="19" t="inlineStr">
        <is>
          <t>Martin Campbell</t>
        </is>
      </c>
      <c r="E998" s="19" t="inlineStr">
        <is>
          <t>Pierce Brosnan, Katie Leung, Manolo Cardona, Charlie Murphy, Pippa Bennett-Warner, Rufus Jones, Dermot Crowley, Jackie Chan, Simon Kunz, Rory Fleck Byrne, Liu Tao, Michael McElhatton, Orla Brady, David Pearse</t>
        </is>
      </c>
      <c r="F998" s="19" t="inlineStr">
        <is>
          <t>United Kingdom, China, United States, India</t>
        </is>
      </c>
      <c r="G998" s="19" t="inlineStr">
        <is>
          <t>2020-02-14</t>
        </is>
      </c>
      <c r="H998" s="19" t="n">
        <v>2017</v>
      </c>
      <c r="I998" s="19" t="inlineStr">
        <is>
          <t>R</t>
        </is>
      </c>
      <c r="J998" s="19" t="inlineStr">
        <is>
          <t>113 min</t>
        </is>
      </c>
      <c r="K998" s="19" t="inlineStr">
        <is>
          <t>Action &amp; Adventure, International Movies</t>
        </is>
      </c>
      <c r="L998" s="19" t="inlineStr">
        <is>
          <t>After his daughter is killed by terrorists, a sullen restaurateur seeks the identities of those responsible and travels to Ireland to take vengeance.</t>
        </is>
      </c>
      <c r="M998" s="19" t="n">
        <v>2020</v>
      </c>
      <c r="N998" s="19">
        <f>IF(AND(OR(YearFilter="All",$M998=YearFilter),OR(RatingFilter="All",$I998=RatingFilter),OR(TypeFilter="All",$B998=TypeFilter),OR(GenreFilter="All",COUNTIFS(tblGenre[show_id],$A998,tblGenre[Genre],GenreFilter)&gt;0)),1,0)</f>
        <v/>
      </c>
    </row>
    <row r="999" ht="15" customHeight="1" s="20">
      <c r="A999" s="19" t="inlineStr">
        <is>
          <t>s8322</t>
        </is>
      </c>
      <c r="B999" s="19" t="inlineStr">
        <is>
          <t>TV Show</t>
        </is>
      </c>
      <c r="C999" s="19" t="inlineStr">
        <is>
          <t>The Golden Years with Javed Akhtar</t>
        </is>
      </c>
      <c r="F999" s="19" t="inlineStr">
        <is>
          <t>India</t>
        </is>
      </c>
      <c r="G999" s="19" t="inlineStr">
        <is>
          <t>2017-06-01</t>
        </is>
      </c>
      <c r="H999" s="19" t="n">
        <v>2016</v>
      </c>
      <c r="I999" s="19" t="inlineStr">
        <is>
          <t>TV-G</t>
        </is>
      </c>
      <c r="J999" s="19" t="inlineStr">
        <is>
          <t>1 Season</t>
        </is>
      </c>
      <c r="K999" s="19" t="inlineStr">
        <is>
          <t>Docuseries, International TV Shows</t>
        </is>
      </c>
      <c r="L999" s="19" t="inlineStr">
        <is>
          <t>Writer, poet and lyricist Javed Akhtar hosts this musical trip down memory lane, revealing untold stories behind India's best songs of 1950-75.</t>
        </is>
      </c>
      <c r="M999" s="19" t="n">
        <v>2017</v>
      </c>
      <c r="N999" s="19">
        <f>IF(AND(OR(YearFilter="All",$M999=YearFilter),OR(RatingFilter="All",$I999=RatingFilter),OR(TypeFilter="All",$B999=TypeFilter),OR(GenreFilter="All",COUNTIFS(tblGenre[show_id],$A999,tblGenre[Genre],GenreFilter)&gt;0)),1,0)</f>
        <v/>
      </c>
    </row>
    <row r="1000" ht="15" customHeight="1" s="20">
      <c r="A1000" s="19" t="inlineStr">
        <is>
          <t>s8333</t>
        </is>
      </c>
      <c r="B1000" s="19" t="inlineStr">
        <is>
          <t>Movie</t>
        </is>
      </c>
      <c r="C1000" s="19" t="inlineStr">
        <is>
          <t>The Great Gambler</t>
        </is>
      </c>
      <c r="D1000" s="19" t="inlineStr">
        <is>
          <t>Shakti Samanta</t>
        </is>
      </c>
      <c r="E1000" s="19" t="inlineStr">
        <is>
          <t>Amitabh Bachchan, Zeenat Aman, Neetu Singh, Prem Chopra, Utpal Dutt, Madan Puri, Om Shivpuri, Iftekhar, Sujit Kumar, Roopesh Kumar</t>
        </is>
      </c>
      <c r="F1000" s="19" t="inlineStr">
        <is>
          <t>India</t>
        </is>
      </c>
      <c r="G1000" s="19" t="inlineStr">
        <is>
          <t>2019-12-31</t>
        </is>
      </c>
      <c r="H1000" s="19" t="n">
        <v>1979</v>
      </c>
      <c r="I1000" s="19" t="inlineStr">
        <is>
          <t>TV-14</t>
        </is>
      </c>
      <c r="J1000" s="19" t="inlineStr">
        <is>
          <t>161 min</t>
        </is>
      </c>
      <c r="K1000" s="19" t="inlineStr">
        <is>
          <t>Action &amp; Adventure, Classic Movies, Cult Movies</t>
        </is>
      </c>
      <c r="L1000" s="19" t="inlineStr">
        <is>
          <t>After unwittingly using his skills to obtain military secrets, a gambler is pursued by a police officer who happens to be his doppelgänger.</t>
        </is>
      </c>
      <c r="M1000" s="19" t="n">
        <v>2019</v>
      </c>
      <c r="N1000" s="19">
        <f>IF(AND(OR(YearFilter="All",$M1000=YearFilter),OR(RatingFilter="All",$I1000=RatingFilter),OR(TypeFilter="All",$B1000=TypeFilter),OR(GenreFilter="All",COUNTIFS(tblGenre[show_id],$A1000,tblGenre[Genre],GenreFilter)&gt;0)),1,0)</f>
        <v/>
      </c>
    </row>
    <row r="1001" ht="15" customHeight="1" s="20">
      <c r="A1001" s="19" t="inlineStr">
        <is>
          <t>s8350</t>
        </is>
      </c>
      <c r="B1001" s="19" t="inlineStr">
        <is>
          <t>TV Show</t>
        </is>
      </c>
      <c r="C1001" s="19" t="inlineStr">
        <is>
          <t>The House That Made Me</t>
        </is>
      </c>
      <c r="E1001" s="19" t="inlineStr">
        <is>
          <t>Vinay Pathak</t>
        </is>
      </c>
      <c r="F1001" s="19" t="inlineStr">
        <is>
          <t>India</t>
        </is>
      </c>
      <c r="G1001" s="19" t="inlineStr">
        <is>
          <t>2017-03-31</t>
        </is>
      </c>
      <c r="H1001" s="19" t="n">
        <v>2015</v>
      </c>
      <c r="I1001" s="19" t="inlineStr">
        <is>
          <t>TV-PG</t>
        </is>
      </c>
      <c r="J1001" s="19" t="inlineStr">
        <is>
          <t>3 Seasons</t>
        </is>
      </c>
      <c r="K1001" s="19" t="inlineStr">
        <is>
          <t>International TV Shows, Reality TV</t>
        </is>
      </c>
      <c r="L1001" s="19" t="inlineStr">
        <is>
          <t>With host Vinay Pathak, Indian celebrities return to their childhood homes to reconnect with the past and share stories of their journey to success.</t>
        </is>
      </c>
      <c r="M1001" s="19" t="n">
        <v>2017</v>
      </c>
      <c r="N1001" s="19">
        <f>IF(AND(OR(YearFilter="All",$M1001=YearFilter),OR(RatingFilter="All",$I1001=RatingFilter),OR(TypeFilter="All",$B1001=TypeFilter),OR(GenreFilter="All",COUNTIFS(tblGenre[show_id],$A1001,tblGenre[Genre],GenreFilter)&gt;0)),1,0)</f>
        <v/>
      </c>
    </row>
    <row r="1002" ht="15" customHeight="1" s="20">
      <c r="A1002" s="19" t="inlineStr">
        <is>
          <t>s8351</t>
        </is>
      </c>
      <c r="B1002" s="19" t="inlineStr">
        <is>
          <t>Movie</t>
        </is>
      </c>
      <c r="C1002" s="19" t="inlineStr">
        <is>
          <t>The Human Factor: The Untold Story of the Bombay Film Orchestras</t>
        </is>
      </c>
      <c r="D1002" s="19" t="inlineStr">
        <is>
          <t>Rudradeep Bhattacharjee</t>
        </is>
      </c>
      <c r="F1002" s="19" t="inlineStr">
        <is>
          <t>India</t>
        </is>
      </c>
      <c r="G1002" s="19" t="inlineStr">
        <is>
          <t>2017-04-01</t>
        </is>
      </c>
      <c r="H1002" s="19" t="n">
        <v>2013</v>
      </c>
      <c r="I1002" s="19" t="inlineStr">
        <is>
          <t>TV-PG</t>
        </is>
      </c>
      <c r="J1002" s="19" t="inlineStr">
        <is>
          <t>53 min</t>
        </is>
      </c>
      <c r="K1002" s="19" t="inlineStr">
        <is>
          <t>Documentaries, International Movies, Music &amp; Musicals</t>
        </is>
      </c>
      <c r="L1002" s="19" t="inlineStr">
        <is>
          <t>A family of Parsi musicians collectively works for over 60 years scoring the orchestral soundtracks for some of Bollywood's most memorable films.</t>
        </is>
      </c>
      <c r="M1002" s="19" t="n">
        <v>2017</v>
      </c>
      <c r="N1002" s="19">
        <f>IF(AND(OR(YearFilter="All",$M1002=YearFilter),OR(RatingFilter="All",$I1002=RatingFilter),OR(TypeFilter="All",$B1002=TypeFilter),OR(GenreFilter="All",COUNTIFS(tblGenre[show_id],$A1002,tblGenre[Genre],GenreFilter)&gt;0)),1,0)</f>
        <v/>
      </c>
    </row>
    <row r="1003" ht="15" customHeight="1" s="20">
      <c r="A1003" s="19" t="inlineStr">
        <is>
          <t>s8353</t>
        </is>
      </c>
      <c r="B1003" s="19" t="inlineStr">
        <is>
          <t>Movie</t>
        </is>
      </c>
      <c r="C1003" s="19" t="inlineStr">
        <is>
          <t>The Hundred-Foot Journey</t>
        </is>
      </c>
      <c r="D1003" s="19" t="inlineStr">
        <is>
          <t>Lasse Hallström</t>
        </is>
      </c>
      <c r="E1003" s="19" t="inlineStr">
        <is>
          <t>Helen Mirren, Om Puri, Manish Dayal, Charlotte Le Bon, Amit Shah, Farzana Dua Elahe, Dillon Mitra, Aria Pandya</t>
        </is>
      </c>
      <c r="F1003" s="19" t="inlineStr">
        <is>
          <t>United States, India, United Arab Emirates</t>
        </is>
      </c>
      <c r="G1003" s="19" t="inlineStr">
        <is>
          <t>2019-01-31</t>
        </is>
      </c>
      <c r="H1003" s="19" t="n">
        <v>2014</v>
      </c>
      <c r="I1003" s="19" t="inlineStr">
        <is>
          <t>PG</t>
        </is>
      </c>
      <c r="J1003" s="19" t="inlineStr">
        <is>
          <t>123 min</t>
        </is>
      </c>
      <c r="K1003" s="19" t="inlineStr">
        <is>
          <t>Comedies, Dramas</t>
        </is>
      </c>
      <c r="L1003" s="19" t="inlineStr">
        <is>
          <t>A chef and his family leave India to open an eatery in the south of France, where they clash with the haughty restaurateur across the street.</t>
        </is>
      </c>
      <c r="M1003" s="19" t="n">
        <v>2019</v>
      </c>
      <c r="N1003" s="19">
        <f>IF(AND(OR(YearFilter="All",$M1003=YearFilter),OR(RatingFilter="All",$I1003=RatingFilter),OR(TypeFilter="All",$B1003=TypeFilter),OR(GenreFilter="All",COUNTIFS(tblGenre[show_id],$A1003,tblGenre[Genre],GenreFilter)&gt;0)),1,0)</f>
        <v/>
      </c>
    </row>
    <row r="1004" ht="15" customHeight="1" s="20">
      <c r="A1004" s="19" t="inlineStr">
        <is>
          <t>s8374</t>
        </is>
      </c>
      <c r="B1004" s="19" t="inlineStr">
        <is>
          <t>TV Show</t>
        </is>
      </c>
      <c r="C1004" s="19" t="inlineStr">
        <is>
          <t>The Jungle Book</t>
        </is>
      </c>
      <c r="E1004" s="19" t="inlineStr">
        <is>
          <t>Emma Tate, Jimmy Hibbert, Sam Gold, David Holt, Joseph J. Terry</t>
        </is>
      </c>
      <c r="F1004" s="19" t="inlineStr">
        <is>
          <t>India, Germany, France</t>
        </is>
      </c>
      <c r="G1004" s="19" t="inlineStr">
        <is>
          <t>2019-05-11</t>
        </is>
      </c>
      <c r="H1004" s="19" t="n">
        <v>2010</v>
      </c>
      <c r="I1004" s="19" t="inlineStr">
        <is>
          <t>TV-Y7</t>
        </is>
      </c>
      <c r="J1004" s="19" t="inlineStr">
        <is>
          <t>1 Season</t>
        </is>
      </c>
      <c r="K1004" s="19" t="inlineStr">
        <is>
          <t>Kids' TV</t>
        </is>
      </c>
      <c r="L1004" s="19" t="inlineStr">
        <is>
          <t>This animated series follows young Mowgli and his animal mentors Bagheera and Baloo, who do their best to protect him from fierce tiger Shere Khan.</t>
        </is>
      </c>
      <c r="M1004" s="19" t="n">
        <v>2019</v>
      </c>
      <c r="N1004" s="19">
        <f>IF(AND(OR(YearFilter="All",$M1004=YearFilter),OR(RatingFilter="All",$I1004=RatingFilter),OR(TypeFilter="All",$B1004=TypeFilter),OR(GenreFilter="All",COUNTIFS(tblGenre[show_id],$A1004,tblGenre[Genre],GenreFilter)&gt;0)),1,0)</f>
        <v/>
      </c>
    </row>
    <row r="1005" ht="15" customHeight="1" s="20">
      <c r="A1005" s="19" t="inlineStr">
        <is>
          <t>s8392</t>
        </is>
      </c>
      <c r="B1005" s="19" t="inlineStr">
        <is>
          <t>Movie</t>
        </is>
      </c>
      <c r="C1005" s="19" t="inlineStr">
        <is>
          <t>The Legend of Michael Mishra</t>
        </is>
      </c>
      <c r="D1005" s="19" t="inlineStr">
        <is>
          <t>Manish Jha</t>
        </is>
      </c>
      <c r="E1005" s="19" t="inlineStr">
        <is>
          <t>Arshad Warsi, Aditi Rao Hydari, Kayoze Irani, Boman Irani</t>
        </is>
      </c>
      <c r="F1005" s="19" t="inlineStr">
        <is>
          <t>India</t>
        </is>
      </c>
      <c r="G1005" s="19" t="inlineStr">
        <is>
          <t>2019-04-01</t>
        </is>
      </c>
      <c r="H1005" s="19" t="n">
        <v>2016</v>
      </c>
      <c r="I1005" s="19" t="inlineStr">
        <is>
          <t>TV-14</t>
        </is>
      </c>
      <c r="J1005" s="19" t="inlineStr">
        <is>
          <t>118 min</t>
        </is>
      </c>
      <c r="K1005" s="19" t="inlineStr">
        <is>
          <t>Comedies, Dramas, International Movies</t>
        </is>
      </c>
      <c r="L1005" s="19" t="inlineStr">
        <is>
          <t>After a life of crime, a notorious kidnapper tries to change his ways and turn over a new leaf to win the heart of the woman he loves.</t>
        </is>
      </c>
      <c r="M1005" s="19" t="n">
        <v>2019</v>
      </c>
      <c r="N1005" s="19">
        <f>IF(AND(OR(YearFilter="All",$M1005=YearFilter),OR(RatingFilter="All",$I1005=RatingFilter),OR(TypeFilter="All",$B1005=TypeFilter),OR(GenreFilter="All",COUNTIFS(tblGenre[show_id],$A1005,tblGenre[Genre],GenreFilter)&gt;0)),1,0)</f>
        <v/>
      </c>
    </row>
    <row r="1006" ht="15" customHeight="1" s="20">
      <c r="A1006" s="19" t="inlineStr">
        <is>
          <t>s8460</t>
        </is>
      </c>
      <c r="B1006" s="19" t="inlineStr">
        <is>
          <t>Movie</t>
        </is>
      </c>
      <c r="C1006" s="19" t="inlineStr">
        <is>
          <t>The Plan</t>
        </is>
      </c>
      <c r="D1006" s="19" t="inlineStr">
        <is>
          <t>Keerthi</t>
        </is>
      </c>
      <c r="E1006" s="19" t="inlineStr">
        <is>
          <t>Anant Nag, Koustubh Jayakumar, Hemanth, Shreeram, Jay, Sanath, Pramod Shetty, Harish Roy</t>
        </is>
      </c>
      <c r="F1006" s="19" t="inlineStr">
        <is>
          <t>India</t>
        </is>
      </c>
      <c r="G1006" s="19" t="inlineStr">
        <is>
          <t>2018-03-01</t>
        </is>
      </c>
      <c r="H1006" s="19" t="n">
        <v>2015</v>
      </c>
      <c r="I1006" s="19" t="inlineStr">
        <is>
          <t>TV-MA</t>
        </is>
      </c>
      <c r="J1006" s="19" t="inlineStr">
        <is>
          <t>124 min</t>
        </is>
      </c>
      <c r="K1006" s="19" t="inlineStr">
        <is>
          <t>Dramas, International Movies, Thrillers</t>
        </is>
      </c>
      <c r="L1006" s="19" t="inlineStr">
        <is>
          <t>After being sent to a remote prison, three young men suffer under the watchful eye of their jailer and make a meticulous plan to escape.</t>
        </is>
      </c>
      <c r="M1006" s="19" t="n">
        <v>2018</v>
      </c>
      <c r="N1006" s="19">
        <f>IF(AND(OR(YearFilter="All",$M1006=YearFilter),OR(RatingFilter="All",$I1006=RatingFilter),OR(TypeFilter="All",$B1006=TypeFilter),OR(GenreFilter="All",COUNTIFS(tblGenre[show_id],$A1006,tblGenre[Genre],GenreFilter)&gt;0)),1,0)</f>
        <v/>
      </c>
    </row>
    <row r="1007" ht="15" customHeight="1" s="20">
      <c r="A1007" s="19" t="inlineStr">
        <is>
          <t>s8476</t>
        </is>
      </c>
      <c r="B1007" s="19" t="inlineStr">
        <is>
          <t>Movie</t>
        </is>
      </c>
      <c r="C1007" s="19" t="inlineStr">
        <is>
          <t>The Rat Race</t>
        </is>
      </c>
      <c r="D1007" s="19" t="inlineStr">
        <is>
          <t>Miriam Chandy Menacherry</t>
        </is>
      </c>
      <c r="F1007" s="19" t="inlineStr">
        <is>
          <t>India</t>
        </is>
      </c>
      <c r="G1007" s="19" t="inlineStr">
        <is>
          <t>2017-01-01</t>
        </is>
      </c>
      <c r="H1007" s="19" t="n">
        <v>2010</v>
      </c>
      <c r="I1007" s="19" t="inlineStr">
        <is>
          <t>TV-PG</t>
        </is>
      </c>
      <c r="J1007" s="19" t="inlineStr">
        <is>
          <t>52 min</t>
        </is>
      </c>
      <c r="K1007" s="19" t="inlineStr">
        <is>
          <t>Documentaries, International Movies</t>
        </is>
      </c>
      <c r="L1007" s="19" t="inlineStr">
        <is>
          <t>Examine the troublesome coexistence of humans and rodents in Mumbai, where the byproducts of a big economy have led to a thriving rat population.</t>
        </is>
      </c>
      <c r="M1007" s="19" t="n">
        <v>2017</v>
      </c>
      <c r="N1007" s="19">
        <f>IF(AND(OR(YearFilter="All",$M1007=YearFilter),OR(RatingFilter="All",$I1007=RatingFilter),OR(TypeFilter="All",$B1007=TypeFilter),OR(GenreFilter="All",COUNTIFS(tblGenre[show_id],$A1007,tblGenre[Genre],GenreFilter)&gt;0)),1,0)</f>
        <v/>
      </c>
    </row>
    <row r="1008" ht="15" customHeight="1" s="20">
      <c r="A1008" s="19" t="inlineStr">
        <is>
          <t>s8505</t>
        </is>
      </c>
      <c r="B1008" s="19" t="inlineStr">
        <is>
          <t>Movie</t>
        </is>
      </c>
      <c r="C1008" s="19" t="inlineStr">
        <is>
          <t>The Shaukeens</t>
        </is>
      </c>
      <c r="D1008" s="19" t="inlineStr">
        <is>
          <t>Abhishek Sharma</t>
        </is>
      </c>
      <c r="E1008" s="19" t="inlineStr">
        <is>
          <t>Akshay Kumar, Annu Kapoor, Piyush Mishra, Lisa Haydon, Anupam Kher</t>
        </is>
      </c>
      <c r="F1008" s="19" t="inlineStr">
        <is>
          <t>India</t>
        </is>
      </c>
      <c r="G1008" s="19" t="inlineStr">
        <is>
          <t>2018-03-01</t>
        </is>
      </c>
      <c r="H1008" s="19" t="n">
        <v>2014</v>
      </c>
      <c r="I1008" s="19" t="inlineStr">
        <is>
          <t>TV-MA</t>
        </is>
      </c>
      <c r="J1008" s="19" t="inlineStr">
        <is>
          <t>123 min</t>
        </is>
      </c>
      <c r="K1008" s="19" t="inlineStr">
        <is>
          <t>Comedies, International Movies, Music &amp; Musicals</t>
        </is>
      </c>
      <c r="L1008" s="19" t="inlineStr">
        <is>
          <t>Three sexually frustrated men in their 60s have the adventure of a lifetime after meeting an intriguing young woman during a holiday in Mauritius.</t>
        </is>
      </c>
      <c r="M1008" s="19" t="n">
        <v>2018</v>
      </c>
      <c r="N1008" s="19">
        <f>IF(AND(OR(YearFilter="All",$M1008=YearFilter),OR(RatingFilter="All",$I1008=RatingFilter),OR(TypeFilter="All",$B1008=TypeFilter),OR(GenreFilter="All",COUNTIFS(tblGenre[show_id],$A1008,tblGenre[Genre],GenreFilter)&gt;0)),1,0)</f>
        <v/>
      </c>
    </row>
    <row r="1009" ht="15" customHeight="1" s="20">
      <c r="A1009" s="19" t="inlineStr">
        <is>
          <t>s8572</t>
        </is>
      </c>
      <c r="B1009" s="19" t="inlineStr">
        <is>
          <t>Movie</t>
        </is>
      </c>
      <c r="C1009" s="19" t="inlineStr">
        <is>
          <t>Theeram</t>
        </is>
      </c>
      <c r="D1009" s="19" t="inlineStr">
        <is>
          <t>Saheed Arafath</t>
        </is>
      </c>
      <c r="E1009" s="19" t="inlineStr">
        <is>
          <t>Pranav Ratheesh, Maria Yohannan, Askar Ameer, Tini Tom, Anjali Nair, Krishna Prabha, Sudhi Koppa, Nandhan Unni</t>
        </is>
      </c>
      <c r="F1009" s="19" t="inlineStr">
        <is>
          <t>India</t>
        </is>
      </c>
      <c r="G1009" s="19" t="inlineStr">
        <is>
          <t>2018-07-01</t>
        </is>
      </c>
      <c r="H1009" s="19" t="n">
        <v>2017</v>
      </c>
      <c r="I1009" s="19" t="inlineStr">
        <is>
          <t>TV-14</t>
        </is>
      </c>
      <c r="J1009" s="19" t="inlineStr">
        <is>
          <t>104 min</t>
        </is>
      </c>
      <c r="K1009" s="19" t="inlineStr">
        <is>
          <t>Dramas, International Movies, Romantic Movies</t>
        </is>
      </c>
      <c r="L1009" s="19" t="inlineStr">
        <is>
          <t>An auto rickshaw driver harbors a deep affection for a young woman, but his troubled past threatens to stand between them.</t>
        </is>
      </c>
      <c r="M1009" s="19" t="n">
        <v>2018</v>
      </c>
      <c r="N1009" s="19">
        <f>IF(AND(OR(YearFilter="All",$M1009=YearFilter),OR(RatingFilter="All",$I1009=RatingFilter),OR(TypeFilter="All",$B1009=TypeFilter),OR(GenreFilter="All",COUNTIFS(tblGenre[show_id],$A1009,tblGenre[Genre],GenreFilter)&gt;0)),1,0)</f>
        <v/>
      </c>
    </row>
    <row r="1010" ht="15" customHeight="1" s="20">
      <c r="A1010" s="19" t="inlineStr">
        <is>
          <t>s8579</t>
        </is>
      </c>
      <c r="B1010" s="19" t="inlineStr">
        <is>
          <t>Movie</t>
        </is>
      </c>
      <c r="C1010" s="19" t="inlineStr">
        <is>
          <t>Thithi</t>
        </is>
      </c>
      <c r="D1010" s="19" t="inlineStr">
        <is>
          <t>Raam Reddy</t>
        </is>
      </c>
      <c r="E1010" s="19" t="inlineStr">
        <is>
          <t>Thammegowda S., Channegowda, Abhishek H.N., Pooja, Singri Gowda</t>
        </is>
      </c>
      <c r="F1010" s="19" t="inlineStr">
        <is>
          <t>India, United States</t>
        </is>
      </c>
      <c r="G1010" s="19" t="inlineStr">
        <is>
          <t>2017-03-09</t>
        </is>
      </c>
      <c r="H1010" s="19" t="n">
        <v>2015</v>
      </c>
      <c r="I1010" s="19" t="inlineStr">
        <is>
          <t>TV-MA</t>
        </is>
      </c>
      <c r="J1010" s="19" t="inlineStr">
        <is>
          <t>123 min</t>
        </is>
      </c>
      <c r="K1010" s="19" t="inlineStr">
        <is>
          <t>Dramas, Independent Movies, International Movies</t>
        </is>
      </c>
      <c r="L1010" s="19" t="inlineStr">
        <is>
          <t>In a South Indian village, a centenarian's funeral brings together his free-spirited son, inheritance-hungry grandson and girl-crazy great-grandson.</t>
        </is>
      </c>
      <c r="M1010" s="19" t="n">
        <v>2017</v>
      </c>
      <c r="N1010" s="19">
        <f>IF(AND(OR(YearFilter="All",$M1010=YearFilter),OR(RatingFilter="All",$I1010=RatingFilter),OR(TypeFilter="All",$B1010=TypeFilter),OR(GenreFilter="All",COUNTIFS(tblGenre[show_id],$A1010,tblGenre[Genre],GenreFilter)&gt;0)),1,0)</f>
        <v/>
      </c>
    </row>
    <row r="1011" ht="15" customHeight="1" s="20">
      <c r="A1011" s="19" t="inlineStr">
        <is>
          <t>s8591</t>
        </is>
      </c>
      <c r="B1011" s="19" t="inlineStr">
        <is>
          <t>Movie</t>
        </is>
      </c>
      <c r="C1011" s="19" t="inlineStr">
        <is>
          <t>Tikli and Laxmi Bomb</t>
        </is>
      </c>
      <c r="D1011" s="19" t="inlineStr">
        <is>
          <t>Aditya Kripalani</t>
        </is>
      </c>
      <c r="E1011" s="19" t="inlineStr">
        <is>
          <t>Vibhawari Deshpande, Chitrangada Chakraborty, Suchitra Pillai, Upendra Limaye, Divya Unny, Kritika Pande, Mayur More, Kamil Shaikh</t>
        </is>
      </c>
      <c r="F1011" s="19" t="inlineStr">
        <is>
          <t>India</t>
        </is>
      </c>
      <c r="G1011" s="19" t="inlineStr">
        <is>
          <t>2018-08-01</t>
        </is>
      </c>
      <c r="H1011" s="19" t="n">
        <v>2017</v>
      </c>
      <c r="I1011" s="19" t="inlineStr">
        <is>
          <t>TV-MA</t>
        </is>
      </c>
      <c r="J1011" s="19" t="inlineStr">
        <is>
          <t>151 min</t>
        </is>
      </c>
      <c r="K1011" s="19" t="inlineStr">
        <is>
          <t>Dramas, International Movies</t>
        </is>
      </c>
      <c r="L1011" s="19" t="inlineStr">
        <is>
          <t>Two frustrated sex workers cut out the middlemen from their business affairs and start a cooperative that's run entirely by women.</t>
        </is>
      </c>
      <c r="M1011" s="19" t="n">
        <v>2018</v>
      </c>
      <c r="N1011" s="19">
        <f>IF(AND(OR(YearFilter="All",$M1011=YearFilter),OR(RatingFilter="All",$I1011=RatingFilter),OR(TypeFilter="All",$B1011=TypeFilter),OR(GenreFilter="All",COUNTIFS(tblGenre[show_id],$A1011,tblGenre[Genre],GenreFilter)&gt;0)),1,0)</f>
        <v/>
      </c>
    </row>
    <row r="1012" ht="15" customHeight="1" s="20">
      <c r="A1012" s="19" t="inlineStr">
        <is>
          <t>s8592</t>
        </is>
      </c>
      <c r="B1012" s="19" t="inlineStr">
        <is>
          <t>Movie</t>
        </is>
      </c>
      <c r="C1012" s="19" t="inlineStr">
        <is>
          <t>Time Please</t>
        </is>
      </c>
      <c r="D1012" s="19" t="inlineStr">
        <is>
          <t>Sameer Vidwans</t>
        </is>
      </c>
      <c r="E1012" s="19" t="inlineStr">
        <is>
          <t>Priya Bapat, Siddarth Jadhav, Umesh Kamat, Sai Tamhankar, Vandana Gupte</t>
        </is>
      </c>
      <c r="F1012" s="19" t="inlineStr">
        <is>
          <t>India</t>
        </is>
      </c>
      <c r="G1012" s="19" t="inlineStr">
        <is>
          <t>2018-01-01</t>
        </is>
      </c>
      <c r="H1012" s="19" t="n">
        <v>2013</v>
      </c>
      <c r="I1012" s="19" t="inlineStr">
        <is>
          <t>TV-14</t>
        </is>
      </c>
      <c r="J1012" s="19" t="inlineStr">
        <is>
          <t>125 min</t>
        </is>
      </c>
      <c r="K1012" s="19" t="inlineStr">
        <is>
          <t>Comedies, Dramas, International Movies</t>
        </is>
      </c>
      <c r="L1012" s="19" t="inlineStr">
        <is>
          <t>Personality differences, an old friend and a past flame poke holes in the way a husband and wife perceive their marriage.</t>
        </is>
      </c>
      <c r="M1012" s="19" t="n">
        <v>2018</v>
      </c>
      <c r="N1012" s="19">
        <f>IF(AND(OR(YearFilter="All",$M1012=YearFilter),OR(RatingFilter="All",$I1012=RatingFilter),OR(TypeFilter="All",$B1012=TypeFilter),OR(GenreFilter="All",COUNTIFS(tblGenre[show_id],$A1012,tblGenre[Genre],GenreFilter)&gt;0)),1,0)</f>
        <v/>
      </c>
    </row>
    <row r="1013" ht="15" customHeight="1" s="20">
      <c r="A1013" s="19" t="inlineStr">
        <is>
          <t>s8607</t>
        </is>
      </c>
      <c r="B1013" s="19" t="inlineStr">
        <is>
          <t>Movie</t>
        </is>
      </c>
      <c r="C1013" s="19" t="inlineStr">
        <is>
          <t>Tope: The Bait</t>
        </is>
      </c>
      <c r="D1013" s="19" t="inlineStr">
        <is>
          <t>Buddhadev Dasgupta</t>
        </is>
      </c>
      <c r="E1013" s="19" t="inlineStr">
        <is>
          <t>Sudipto Chattopadhyay, Chandan Roy Sanyal, Kajal Kumari, Ananya Chatterjee, Paoli Dam, Malobika Banerjee, Pawan Kanodia</t>
        </is>
      </c>
      <c r="F1013" s="19" t="inlineStr">
        <is>
          <t>India</t>
        </is>
      </c>
      <c r="G1013" s="19" t="inlineStr">
        <is>
          <t>2018-03-01</t>
        </is>
      </c>
      <c r="H1013" s="19" t="n">
        <v>2016</v>
      </c>
      <c r="I1013" s="19" t="inlineStr">
        <is>
          <t>TV-14</t>
        </is>
      </c>
      <c r="J1013" s="19" t="inlineStr">
        <is>
          <t>87 min</t>
        </is>
      </c>
      <c r="K1013" s="19" t="inlineStr">
        <is>
          <t>Dramas, Independent Movies, International Movies</t>
        </is>
      </c>
      <c r="L1013" s="19" t="inlineStr">
        <is>
          <t>The tales of an eccentric aristocrat, a tightrope walking nomad and a postman-turned-soothsayer unspool in this visual poem of rural life in India.</t>
        </is>
      </c>
      <c r="M1013" s="19" t="n">
        <v>2018</v>
      </c>
      <c r="N1013" s="19">
        <f>IF(AND(OR(YearFilter="All",$M1013=YearFilter),OR(RatingFilter="All",$I1013=RatingFilter),OR(TypeFilter="All",$B1013=TypeFilter),OR(GenreFilter="All",COUNTIFS(tblGenre[show_id],$A1013,tblGenre[Genre],GenreFilter)&gt;0)),1,0)</f>
        <v/>
      </c>
    </row>
    <row r="1014" ht="15" customHeight="1" s="20">
      <c r="A1014" s="19" t="inlineStr">
        <is>
          <t>s8612</t>
        </is>
      </c>
      <c r="B1014" s="19" t="inlineStr">
        <is>
          <t>Movie</t>
        </is>
      </c>
      <c r="C1014" s="19" t="inlineStr">
        <is>
          <t>Traffic Signal</t>
        </is>
      </c>
      <c r="D1014" s="19" t="inlineStr">
        <is>
          <t>Madhur Bhandarkar</t>
        </is>
      </c>
      <c r="E1014" s="19" t="inlineStr">
        <is>
          <t>Kunal Khemu, Neetu Chandra, Konkona Sen Sharma, Upendra Limaye, Ranvir Shorey, Sudhir Mishra, Nassar Abdulla, Manoj Joshi</t>
        </is>
      </c>
      <c r="F1014" s="19" t="inlineStr">
        <is>
          <t>India</t>
        </is>
      </c>
      <c r="G1014" s="19" t="inlineStr">
        <is>
          <t>2019-12-31</t>
        </is>
      </c>
      <c r="H1014" s="19" t="n">
        <v>2007</v>
      </c>
      <c r="I1014" s="19" t="inlineStr">
        <is>
          <t>TV-MA</t>
        </is>
      </c>
      <c r="J1014" s="19" t="inlineStr">
        <is>
          <t>130 min</t>
        </is>
      </c>
      <c r="K1014" s="19" t="inlineStr">
        <is>
          <t>Dramas, Independent Movies, International Movies</t>
        </is>
      </c>
      <c r="L1014" s="19" t="inlineStr">
        <is>
          <t>Four characters coexist at an urban traffic signal, where all manage to make a meager living until events threaten the source of their livelihood.</t>
        </is>
      </c>
      <c r="M1014" s="19" t="n">
        <v>2019</v>
      </c>
      <c r="N1014" s="19">
        <f>IF(AND(OR(YearFilter="All",$M1014=YearFilter),OR(RatingFilter="All",$I1014=RatingFilter),OR(TypeFilter="All",$B1014=TypeFilter),OR(GenreFilter="All",COUNTIFS(tblGenre[show_id],$A1014,tblGenre[Genre],GenreFilter)&gt;0)),1,0)</f>
        <v/>
      </c>
    </row>
    <row r="1015" ht="15" customHeight="1" s="20">
      <c r="A1015" s="19" t="inlineStr">
        <is>
          <t>s8629</t>
        </is>
      </c>
      <c r="B1015" s="19" t="inlineStr">
        <is>
          <t>Movie</t>
        </is>
      </c>
      <c r="C1015" s="19" t="inlineStr">
        <is>
          <t>Trikal (Past, Present, Future)</t>
        </is>
      </c>
      <c r="D1015" s="19" t="inlineStr">
        <is>
          <t>Shyam Benegal</t>
        </is>
      </c>
      <c r="E1015" s="19" t="inlineStr">
        <is>
          <t>Leela Naidu, Neena Gupta, Anita Kanwar, Soni Razdan, Dalip Tahil, K.K. Raina, Kunal Kapoor, Keith Stevenson, Naseeruddin Shah, Kulbhushan Kharbanda</t>
        </is>
      </c>
      <c r="F1015" s="19" t="inlineStr">
        <is>
          <t>India</t>
        </is>
      </c>
      <c r="G1015" s="19" t="inlineStr">
        <is>
          <t>2019-12-31</t>
        </is>
      </c>
      <c r="H1015" s="19" t="n">
        <v>1985</v>
      </c>
      <c r="I1015" s="19" t="inlineStr">
        <is>
          <t>TV-14</t>
        </is>
      </c>
      <c r="J1015" s="19" t="inlineStr">
        <is>
          <t>134 min</t>
        </is>
      </c>
      <c r="K1015" s="19" t="inlineStr">
        <is>
          <t>Comedies, Dramas, Independent Movies</t>
        </is>
      </c>
      <c r="L1015" s="19" t="inlineStr">
        <is>
          <t>A Goan native returns to his now-derelict, palatial childhood home, recalling his family’s interpersonal drama during the end of Portuguese rule.</t>
        </is>
      </c>
      <c r="M1015" s="19" t="n">
        <v>2019</v>
      </c>
      <c r="N1015" s="19">
        <f>IF(AND(OR(YearFilter="All",$M1015=YearFilter),OR(RatingFilter="All",$I1015=RatingFilter),OR(TypeFilter="All",$B1015=TypeFilter),OR(GenreFilter="All",COUNTIFS(tblGenre[show_id],$A1015,tblGenre[Genre],GenreFilter)&gt;0)),1,0)</f>
        <v/>
      </c>
    </row>
    <row r="1016" ht="15" customHeight="1" s="20">
      <c r="A1016" s="19" t="inlineStr">
        <is>
          <t>s8630</t>
        </is>
      </c>
      <c r="B1016" s="19" t="inlineStr">
        <is>
          <t>Movie</t>
        </is>
      </c>
      <c r="C1016" s="19" t="inlineStr">
        <is>
          <t>Trimurti</t>
        </is>
      </c>
      <c r="D1016" s="19" t="inlineStr">
        <is>
          <t>Mukul Anand</t>
        </is>
      </c>
      <c r="E1016" s="19" t="inlineStr">
        <is>
          <t>Anil Kapoor, Shah Rukh Khan, Jackie Shroff, Satyendra Kapoor, Gautami, Tinnu Anand, Saeed Jaffrey, Anirudh Agarwal, Mohan Agashe, Himani Shivpuri, Priya Tendulkar, Anjali Jathar, Anang Desai, Pramod Moutho, Subhash Ghai</t>
        </is>
      </c>
      <c r="F1016" s="19" t="inlineStr">
        <is>
          <t>India</t>
        </is>
      </c>
      <c r="G1016" s="19" t="inlineStr">
        <is>
          <t>2018-03-01</t>
        </is>
      </c>
      <c r="H1016" s="19" t="n">
        <v>1995</v>
      </c>
      <c r="I1016" s="19" t="inlineStr">
        <is>
          <t>TV-PG</t>
        </is>
      </c>
      <c r="J1016" s="19" t="inlineStr">
        <is>
          <t>173 min</t>
        </is>
      </c>
      <c r="K1016" s="19" t="inlineStr">
        <is>
          <t>Action &amp; Adventure, Dramas, International Movies</t>
        </is>
      </c>
      <c r="L1016" s="19" t="inlineStr">
        <is>
          <t>After being framed, a policewoman languishing in prison hopes that her three sons will deliver justice and restore her honor.</t>
        </is>
      </c>
      <c r="M1016" s="19" t="n">
        <v>2018</v>
      </c>
      <c r="N1016" s="19">
        <f>IF(AND(OR(YearFilter="All",$M1016=YearFilter),OR(RatingFilter="All",$I1016=RatingFilter),OR(TypeFilter="All",$B1016=TypeFilter),OR(GenreFilter="All",COUNTIFS(tblGenre[show_id],$A1016,tblGenre[Genre],GenreFilter)&gt;0)),1,0)</f>
        <v/>
      </c>
    </row>
    <row r="1017" ht="15" customHeight="1" s="20">
      <c r="A1017" s="19" t="inlineStr">
        <is>
          <t>s8631</t>
        </is>
      </c>
      <c r="B1017" s="19" t="inlineStr">
        <is>
          <t>Movie</t>
        </is>
      </c>
      <c r="C1017" s="19" t="inlineStr">
        <is>
          <t>Trip to Bhangarh: Asia's Most Haunted Place</t>
        </is>
      </c>
      <c r="D1017" s="19" t="inlineStr">
        <is>
          <t>Jitender Pawar</t>
        </is>
      </c>
      <c r="E1017" s="19" t="inlineStr">
        <is>
          <t>Manish Chaudhary, Suzanna Mukherjee, Piyush Raina, Rachit Behl, Rohit Chaudhury, Vikram Kochhar, Poonam Pandey</t>
        </is>
      </c>
      <c r="F1017" s="19" t="inlineStr">
        <is>
          <t>India</t>
        </is>
      </c>
      <c r="G1017" s="19" t="inlineStr">
        <is>
          <t>2017-11-01</t>
        </is>
      </c>
      <c r="H1017" s="19" t="n">
        <v>2014</v>
      </c>
      <c r="I1017" s="19" t="inlineStr">
        <is>
          <t>TV-MA</t>
        </is>
      </c>
      <c r="J1017" s="19" t="inlineStr">
        <is>
          <t>113 min</t>
        </is>
      </c>
      <c r="K1017" s="19" t="inlineStr">
        <is>
          <t>International Movies, Thrillers</t>
        </is>
      </c>
      <c r="L1017" s="19" t="inlineStr">
        <is>
          <t>To amuse themselves, six college friends decide to pay a visit to a fortress believed by some to be the most haunted place in Asia.</t>
        </is>
      </c>
      <c r="M1017" s="19" t="n">
        <v>2017</v>
      </c>
      <c r="N1017" s="19">
        <f>IF(AND(OR(YearFilter="All",$M1017=YearFilter),OR(RatingFilter="All",$I1017=RatingFilter),OR(TypeFilter="All",$B1017=TypeFilter),OR(GenreFilter="All",COUNTIFS(tblGenre[show_id],$A1017,tblGenre[Genre],GenreFilter)&gt;0)),1,0)</f>
        <v/>
      </c>
    </row>
    <row r="1018" ht="15" customHeight="1" s="20">
      <c r="A1018" s="19" t="inlineStr">
        <is>
          <t>s8639</t>
        </is>
      </c>
      <c r="B1018" s="19" t="inlineStr">
        <is>
          <t>Movie</t>
        </is>
      </c>
      <c r="C1018" s="19" t="inlineStr">
        <is>
          <t>Tucker and Dale vs. Evil</t>
        </is>
      </c>
      <c r="D1018" s="19" t="inlineStr">
        <is>
          <t>Eli Craig</t>
        </is>
      </c>
      <c r="E1018" s="19" t="inlineStr">
        <is>
          <t>Tyler Labine, Alan Tudyk, Katrina Bowden, Jesse Moss, Philip Granger, Brandon Jay McLaren, Christie Laing, Chelan Simmons, Travis Nelson, Alex Arsenault</t>
        </is>
      </c>
      <c r="F1018" s="19" t="inlineStr">
        <is>
          <t>Canada, United States, India, United Kingdom</t>
        </is>
      </c>
      <c r="G1018" s="19" t="inlineStr">
        <is>
          <t>2019-03-29</t>
        </is>
      </c>
      <c r="H1018" s="19" t="n">
        <v>2010</v>
      </c>
      <c r="I1018" s="19" t="inlineStr">
        <is>
          <t>R</t>
        </is>
      </c>
      <c r="J1018" s="19" t="inlineStr">
        <is>
          <t>89 min</t>
        </is>
      </c>
      <c r="K1018" s="19" t="inlineStr">
        <is>
          <t>Comedies, Horror Movies, Independent Movies</t>
        </is>
      </c>
      <c r="L1018" s="19" t="inlineStr">
        <is>
          <t>Expecting to relax at their "vacation" cabin, two backwoods boys see their trip turn into a nightmare when they're accused of being psychotic killers.</t>
        </is>
      </c>
      <c r="M1018" s="19" t="n">
        <v>2019</v>
      </c>
      <c r="N1018" s="19">
        <f>IF(AND(OR(YearFilter="All",$M1018=YearFilter),OR(RatingFilter="All",$I1018=RatingFilter),OR(TypeFilter="All",$B1018=TypeFilter),OR(GenreFilter="All",COUNTIFS(tblGenre[show_id],$A1018,tblGenre[Genre],GenreFilter)&gt;0)),1,0)</f>
        <v/>
      </c>
    </row>
    <row r="1019" ht="15" customHeight="1" s="20">
      <c r="A1019" s="19" t="inlineStr">
        <is>
          <t>s8640</t>
        </is>
      </c>
      <c r="B1019" s="19" t="inlineStr">
        <is>
          <t>Movie</t>
        </is>
      </c>
      <c r="C1019" s="19" t="inlineStr">
        <is>
          <t>Tukaram</t>
        </is>
      </c>
      <c r="D1019" s="19" t="inlineStr">
        <is>
          <t>Chandrakant Kulkarni</t>
        </is>
      </c>
      <c r="E1019" s="19" t="inlineStr">
        <is>
          <t>Jitendra Joshi, Prateeksha Lonkar, Sharad Ponkshe, Radhika Apte, Veena Jamkar, Yatin Karyekar, Smita Tambe, Vrishasen Dabholkar</t>
        </is>
      </c>
      <c r="F1019" s="19" t="inlineStr">
        <is>
          <t>India</t>
        </is>
      </c>
      <c r="G1019" s="19" t="inlineStr">
        <is>
          <t>2018-02-15</t>
        </is>
      </c>
      <c r="H1019" s="19" t="n">
        <v>2012</v>
      </c>
      <c r="I1019" s="19" t="inlineStr">
        <is>
          <t>TV-PG</t>
        </is>
      </c>
      <c r="J1019" s="19" t="inlineStr">
        <is>
          <t>162 min</t>
        </is>
      </c>
      <c r="K1019" s="19" t="inlineStr">
        <is>
          <t>Dramas, Faith &amp; Spirituality, International Movies</t>
        </is>
      </c>
      <c r="L1019" s="19" t="inlineStr">
        <is>
          <t>A child whose innocence and devotion set him apart from the other children of his village grows up to be one of the foremost saints of India.</t>
        </is>
      </c>
      <c r="M1019" s="19" t="n">
        <v>2018</v>
      </c>
      <c r="N1019" s="19">
        <f>IF(AND(OR(YearFilter="All",$M1019=YearFilter),OR(RatingFilter="All",$I1019=RatingFilter),OR(TypeFilter="All",$B1019=TypeFilter),OR(GenreFilter="All",COUNTIFS(tblGenre[show_id],$A1019,tblGenre[Genre],GenreFilter)&gt;0)),1,0)</f>
        <v/>
      </c>
    </row>
    <row r="1020" ht="15" customHeight="1" s="20">
      <c r="A1020" s="19" t="inlineStr">
        <is>
          <t>s8648</t>
        </is>
      </c>
      <c r="B1020" s="19" t="inlineStr">
        <is>
          <t>Movie</t>
        </is>
      </c>
      <c r="C1020" s="19" t="inlineStr">
        <is>
          <t>Twisted Trunk, Big Fat Body</t>
        </is>
      </c>
      <c r="E1020" s="19" t="inlineStr">
        <is>
          <t>Vijay Maurya, Naman Jain, Usha Nadkarni, Mukesh Chhabra, Prarthana Behere, Jayant Gadekar, Aditi Keskar, Murari Kumar</t>
        </is>
      </c>
      <c r="F1020" s="19" t="inlineStr">
        <is>
          <t>India</t>
        </is>
      </c>
      <c r="G1020" s="19" t="inlineStr">
        <is>
          <t>2017-01-15</t>
        </is>
      </c>
      <c r="H1020" s="19" t="n">
        <v>2015</v>
      </c>
      <c r="I1020" s="19" t="inlineStr">
        <is>
          <t>TV-14</t>
        </is>
      </c>
      <c r="J1020" s="19" t="inlineStr">
        <is>
          <t>89 min</t>
        </is>
      </c>
      <c r="K1020" s="19" t="inlineStr">
        <is>
          <t>Dramas, International Movies</t>
        </is>
      </c>
      <c r="L1020" s="19" t="inlineStr">
        <is>
          <t>After terrorists place a bomb inside a toy Lord Ganesha, a child takes off with the dangerous doll, setting it on a course throughout all of Mumbai.</t>
        </is>
      </c>
      <c r="M1020" s="19" t="n">
        <v>2017</v>
      </c>
      <c r="N1020" s="19">
        <f>IF(AND(OR(YearFilter="All",$M1020=YearFilter),OR(RatingFilter="All",$I1020=RatingFilter),OR(TypeFilter="All",$B1020=TypeFilter),OR(GenreFilter="All",COUNTIFS(tblGenre[show_id],$A1020,tblGenre[Genre],GenreFilter)&gt;0)),1,0)</f>
        <v/>
      </c>
    </row>
    <row r="1021" ht="15" customHeight="1" s="20">
      <c r="A1021" s="19" t="inlineStr">
        <is>
          <t>s8653</t>
        </is>
      </c>
      <c r="B1021" s="19" t="inlineStr">
        <is>
          <t>Movie</t>
        </is>
      </c>
      <c r="C1021" s="19" t="inlineStr">
        <is>
          <t>Ugly</t>
        </is>
      </c>
      <c r="D1021" s="19" t="inlineStr">
        <is>
          <t>Anurag Kashyap</t>
        </is>
      </c>
      <c r="E1021" s="19" t="inlineStr">
        <is>
          <t>Rahul Bhat, Ronit Roy, Tejaswini Kolhapure, Vineet Kumar Singh, Surveen Chawla, Siddhant Kapoor, Girish Kulkarni, Abir Goswami, Madhavi Singh, Anshikaa Shrivastava, Murari Kumar, Sandesh Jadhav</t>
        </is>
      </c>
      <c r="F1021" s="19" t="inlineStr">
        <is>
          <t>India</t>
        </is>
      </c>
      <c r="G1021" s="19" t="inlineStr">
        <is>
          <t>2017-03-01</t>
        </is>
      </c>
      <c r="H1021" s="19" t="n">
        <v>2013</v>
      </c>
      <c r="I1021" s="19" t="inlineStr">
        <is>
          <t>NR</t>
        </is>
      </c>
      <c r="J1021" s="19" t="inlineStr">
        <is>
          <t>125 min</t>
        </is>
      </c>
      <c r="K1021" s="19" t="inlineStr">
        <is>
          <t>Dramas, International Movies, Thrillers</t>
        </is>
      </c>
      <c r="L1021" s="19" t="inlineStr">
        <is>
          <t>When a 10-year-old goes missing while her father, an actor, is out on an audition, the girl's stepfather – Mumbai's police chief – leads the search.</t>
        </is>
      </c>
      <c r="M1021" s="19" t="n">
        <v>2017</v>
      </c>
      <c r="N1021" s="19">
        <f>IF(AND(OR(YearFilter="All",$M1021=YearFilter),OR(RatingFilter="All",$I1021=RatingFilter),OR(TypeFilter="All",$B1021=TypeFilter),OR(GenreFilter="All",COUNTIFS(tblGenre[show_id],$A1021,tblGenre[Genre],GenreFilter)&gt;0)),1,0)</f>
        <v/>
      </c>
    </row>
    <row r="1022" ht="15" customHeight="1" s="20">
      <c r="A1022" s="19" t="inlineStr">
        <is>
          <t>s8663</t>
        </is>
      </c>
      <c r="B1022" s="19" t="inlineStr">
        <is>
          <t>Movie</t>
        </is>
      </c>
      <c r="C1022" s="19" t="inlineStr">
        <is>
          <t>Union Leader</t>
        </is>
      </c>
      <c r="D1022" s="19" t="inlineStr">
        <is>
          <t>Sanjay Patel</t>
        </is>
      </c>
      <c r="E1022" s="19" t="inlineStr">
        <is>
          <t>Rahul Bhat, Tillotama Shome, Haresh Dagiya, Jayesh More, Tirth Sharma, Vivek Ghamande, Jay Vithlani, Mehul Buch</t>
        </is>
      </c>
      <c r="F1022" s="19" t="inlineStr">
        <is>
          <t>Canada, India</t>
        </is>
      </c>
      <c r="G1022" s="19" t="inlineStr">
        <is>
          <t>2019-12-31</t>
        </is>
      </c>
      <c r="H1022" s="19" t="n">
        <v>2017</v>
      </c>
      <c r="I1022" s="19" t="inlineStr">
        <is>
          <t>TV-14</t>
        </is>
      </c>
      <c r="J1022" s="19" t="inlineStr">
        <is>
          <t>105 min</t>
        </is>
      </c>
      <c r="K1022" s="19" t="inlineStr">
        <is>
          <t>Dramas, Independent Movies, International Movies</t>
        </is>
      </c>
      <c r="L1022" s="19" t="inlineStr">
        <is>
          <t>Toxic conditions and a corrupt union leader prompt a chemical plant worker and earnest family man to fight for justice for his fellow laborers.</t>
        </is>
      </c>
      <c r="M1022" s="19" t="n">
        <v>2019</v>
      </c>
      <c r="N1022" s="19">
        <f>IF(AND(OR(YearFilter="All",$M1022=YearFilter),OR(RatingFilter="All",$I1022=RatingFilter),OR(TypeFilter="All",$B1022=TypeFilter),OR(GenreFilter="All",COUNTIFS(tblGenre[show_id],$A1022,tblGenre[Genre],GenreFilter)&gt;0)),1,0)</f>
        <v/>
      </c>
    </row>
    <row r="1023" ht="15" customHeight="1" s="20">
      <c r="A1023" s="19" t="inlineStr">
        <is>
          <t>s8666</t>
        </is>
      </c>
      <c r="B1023" s="19" t="inlineStr">
        <is>
          <t>Movie</t>
        </is>
      </c>
      <c r="C1023" s="19" t="inlineStr">
        <is>
          <t>Urvi</t>
        </is>
      </c>
      <c r="D1023" s="19" t="inlineStr">
        <is>
          <t>Pradeep Verma</t>
        </is>
      </c>
      <c r="E1023" s="19" t="inlineStr">
        <is>
          <t>Sruthi Hariharan, Shraddha Srinath, Shweta Pandit, Achyuth Kumar, Madhukar Niyogi, Prabhu Mundkur, Bhavani Prakash, Ananya Bhat</t>
        </is>
      </c>
      <c r="F1023" s="19" t="inlineStr">
        <is>
          <t>India</t>
        </is>
      </c>
      <c r="G1023" s="19" t="inlineStr">
        <is>
          <t>2018-01-15</t>
        </is>
      </c>
      <c r="H1023" s="19" t="n">
        <v>2017</v>
      </c>
      <c r="I1023" s="19" t="inlineStr">
        <is>
          <t>TV-MA</t>
        </is>
      </c>
      <c r="J1023" s="19" t="inlineStr">
        <is>
          <t>121 min</t>
        </is>
      </c>
      <c r="K1023" s="19" t="inlineStr">
        <is>
          <t>Dramas, Independent Movies, International Movies</t>
        </is>
      </c>
      <c r="L1023" s="19" t="inlineStr">
        <is>
          <t>After getting tricked into working at a brothel, a medical student joins forces with two of her co-workers to fight their unscrupulous exploiters.</t>
        </is>
      </c>
      <c r="M1023" s="19" t="n">
        <v>2018</v>
      </c>
      <c r="N1023" s="19">
        <f>IF(AND(OR(YearFilter="All",$M1023=YearFilter),OR(RatingFilter="All",$I1023=RatingFilter),OR(TypeFilter="All",$B1023=TypeFilter),OR(GenreFilter="All",COUNTIFS(tblGenre[show_id],$A1023,tblGenre[Genre],GenreFilter)&gt;0)),1,0)</f>
        <v/>
      </c>
    </row>
    <row r="1024" ht="15" customHeight="1" s="20">
      <c r="A1024" s="19" t="inlineStr">
        <is>
          <t>s8672</t>
        </is>
      </c>
      <c r="B1024" s="19" t="inlineStr">
        <is>
          <t>Movie</t>
        </is>
      </c>
      <c r="C1024" s="19" t="inlineStr">
        <is>
          <t>Veerappan</t>
        </is>
      </c>
      <c r="D1024" s="19" t="inlineStr">
        <is>
          <t>Ram Gopal Varma</t>
        </is>
      </c>
      <c r="E1024" s="19" t="inlineStr">
        <is>
          <t>Sandeep Bharadwaj, Sachiin Joshi, Lisa Ray, Usha Jadhav, Nissar Khan, Krishna Shrikanth Iyengar</t>
        </is>
      </c>
      <c r="F1024" s="19" t="inlineStr">
        <is>
          <t>India</t>
        </is>
      </c>
      <c r="G1024" s="19" t="inlineStr">
        <is>
          <t>2017-10-15</t>
        </is>
      </c>
      <c r="H1024" s="19" t="n">
        <v>2016</v>
      </c>
      <c r="I1024" s="19" t="inlineStr">
        <is>
          <t>TV-14</t>
        </is>
      </c>
      <c r="J1024" s="19" t="inlineStr">
        <is>
          <t>117 min</t>
        </is>
      </c>
      <c r="K1024" s="19" t="inlineStr">
        <is>
          <t>Action &amp; Adventure, Dramas, International Movies</t>
        </is>
      </c>
      <c r="L1024" s="19" t="inlineStr">
        <is>
          <t>A police official assembles an elaborate network of spies and undercover operatives to bring down a ruthless bandit with a private army.</t>
        </is>
      </c>
      <c r="M1024" s="19" t="n">
        <v>2017</v>
      </c>
      <c r="N1024" s="19">
        <f>IF(AND(OR(YearFilter="All",$M1024=YearFilter),OR(RatingFilter="All",$I1024=RatingFilter),OR(TypeFilter="All",$B1024=TypeFilter),OR(GenreFilter="All",COUNTIFS(tblGenre[show_id],$A1024,tblGenre[Genre],GenreFilter)&gt;0)),1,0)</f>
        <v/>
      </c>
    </row>
    <row r="1025" ht="15" customHeight="1" s="20">
      <c r="A1025" s="19" t="inlineStr">
        <is>
          <t>s8673</t>
        </is>
      </c>
      <c r="B1025" s="19" t="inlineStr">
        <is>
          <t>Movie</t>
        </is>
      </c>
      <c r="C1025" s="19" t="inlineStr">
        <is>
          <t>Veerey Ki Wedding</t>
        </is>
      </c>
      <c r="D1025" s="19" t="inlineStr">
        <is>
          <t>Ashu Trikha</t>
        </is>
      </c>
      <c r="E1025" s="19" t="inlineStr">
        <is>
          <t>Pulkit Samrat, Yuvika Chaudhry, Jimmy Shergill, Supriya Karnik, Kriti Kharbanda, Satish Kaushik</t>
        </is>
      </c>
      <c r="F1025" s="19" t="inlineStr">
        <is>
          <t>India</t>
        </is>
      </c>
      <c r="G1025" s="19" t="inlineStr">
        <is>
          <t>2019-12-31</t>
        </is>
      </c>
      <c r="H1025" s="19" t="n">
        <v>2018</v>
      </c>
      <c r="I1025" s="19" t="inlineStr">
        <is>
          <t>TV-14</t>
        </is>
      </c>
      <c r="J1025" s="19" t="inlineStr">
        <is>
          <t>130 min</t>
        </is>
      </c>
      <c r="K1025" s="19" t="inlineStr">
        <is>
          <t>Comedies, Dramas, International Movies</t>
        </is>
      </c>
      <c r="L1025" s="19" t="inlineStr">
        <is>
          <t>Quick to throw punches in the name of justice, a young man must find a calmer way to win over the pacifist father of the girl he wishes to marry.</t>
        </is>
      </c>
      <c r="M1025" s="19" t="n">
        <v>2019</v>
      </c>
      <c r="N1025" s="19">
        <f>IF(AND(OR(YearFilter="All",$M1025=YearFilter),OR(RatingFilter="All",$I1025=RatingFilter),OR(TypeFilter="All",$B1025=TypeFilter),OR(GenreFilter="All",COUNTIFS(tblGenre[show_id],$A1025,tblGenre[Genre],GenreFilter)&gt;0)),1,0)</f>
        <v/>
      </c>
    </row>
    <row r="1026" ht="15" customHeight="1" s="20">
      <c r="A1026" s="19" t="inlineStr">
        <is>
          <t>s8675</t>
        </is>
      </c>
      <c r="B1026" s="19" t="inlineStr">
        <is>
          <t>Movie</t>
        </is>
      </c>
      <c r="C1026" s="19" t="inlineStr">
        <is>
          <t>Viceroy's House</t>
        </is>
      </c>
      <c r="D1026" s="19" t="inlineStr">
        <is>
          <t>Gurinder Chadha</t>
        </is>
      </c>
      <c r="E1026" s="19" t="inlineStr">
        <is>
          <t>Hugh Bonneville, Gillian Anderson, Manish Dayal, Huma Qureshi, Michael Gambon, David Hayman, Simon Callow, Denzil Smith, Neeraj Kabi, Tanveer Ghani, Om Puri, Lily Travers</t>
        </is>
      </c>
      <c r="F1026" s="19" t="inlineStr">
        <is>
          <t>United Kingdom, India, Sweden</t>
        </is>
      </c>
      <c r="G1026" s="19" t="inlineStr">
        <is>
          <t>2017-12-12</t>
        </is>
      </c>
      <c r="H1026" s="19" t="n">
        <v>2017</v>
      </c>
      <c r="I1026" s="19" t="inlineStr">
        <is>
          <t>NR</t>
        </is>
      </c>
      <c r="J1026" s="19" t="inlineStr">
        <is>
          <t>106 min</t>
        </is>
      </c>
      <c r="K1026" s="19" t="inlineStr">
        <is>
          <t>Dramas</t>
        </is>
      </c>
      <c r="L1026" s="19" t="inlineStr">
        <is>
          <t>As viceroy Lord Mountbatten arrives in Delhi to oversee a transfer of power from Britain to India in 1947, war looms between religious factions.</t>
        </is>
      </c>
      <c r="M1026" s="19" t="n">
        <v>2017</v>
      </c>
      <c r="N1026" s="19">
        <f>IF(AND(OR(YearFilter="All",$M1026=YearFilter),OR(RatingFilter="All",$I1026=RatingFilter),OR(TypeFilter="All",$B1026=TypeFilter),OR(GenreFilter="All",COUNTIFS(tblGenre[show_id],$A1026,tblGenre[Genre],GenreFilter)&gt;0)),1,0)</f>
        <v/>
      </c>
    </row>
    <row r="1027" ht="15" customHeight="1" s="20">
      <c r="A1027" s="19" t="inlineStr">
        <is>
          <t>s8681</t>
        </is>
      </c>
      <c r="B1027" s="19" t="inlineStr">
        <is>
          <t>Movie</t>
        </is>
      </c>
      <c r="C1027" s="19" t="inlineStr">
        <is>
          <t>Viswasapoorvam Mansoor</t>
        </is>
      </c>
      <c r="D1027" s="19" t="inlineStr">
        <is>
          <t>P.T. Kunju Muhammad</t>
        </is>
      </c>
      <c r="E1027" s="19" t="inlineStr">
        <is>
          <t>Roshan Mathew, Asha Sarath, Prayaga Martin, Zarina Wahab, Renji Panicker, Leona Lishoy, Santhosh Keezhattoor, Sunil Sukhada</t>
        </is>
      </c>
      <c r="F1027" s="19" t="inlineStr">
        <is>
          <t>India</t>
        </is>
      </c>
      <c r="G1027" s="19" t="inlineStr">
        <is>
          <t>2018-07-01</t>
        </is>
      </c>
      <c r="H1027" s="19" t="n">
        <v>2017</v>
      </c>
      <c r="I1027" s="19" t="inlineStr">
        <is>
          <t>TV-14</t>
        </is>
      </c>
      <c r="J1027" s="19" t="inlineStr">
        <is>
          <t>125 min</t>
        </is>
      </c>
      <c r="K1027" s="19" t="inlineStr">
        <is>
          <t>Dramas, International Movies</t>
        </is>
      </c>
      <c r="L1027" s="19" t="inlineStr">
        <is>
          <t>When a mother and her daughter arrive to stay in his home in Kerala, a young Muslim man becomes torn between love, faith and clashing political views.</t>
        </is>
      </c>
      <c r="M1027" s="19" t="n">
        <v>2018</v>
      </c>
      <c r="N1027" s="19">
        <f>IF(AND(OR(YearFilter="All",$M1027=YearFilter),OR(RatingFilter="All",$I1027=RatingFilter),OR(TypeFilter="All",$B1027=TypeFilter),OR(GenreFilter="All",COUNTIFS(tblGenre[show_id],$A1027,tblGenre[Genre],GenreFilter)&gt;0)),1,0)</f>
        <v/>
      </c>
    </row>
    <row r="1028" ht="15" customHeight="1" s="20">
      <c r="A1028" s="19" t="inlineStr">
        <is>
          <t>s8682</t>
        </is>
      </c>
      <c r="B1028" s="19" t="inlineStr">
        <is>
          <t>Movie</t>
        </is>
      </c>
      <c r="C1028" s="19" t="inlineStr">
        <is>
          <t>Vitti Dandu</t>
        </is>
      </c>
      <c r="D1028" s="19" t="inlineStr">
        <is>
          <t>Ganesh Kadam</t>
        </is>
      </c>
      <c r="E1028" s="19" t="inlineStr">
        <is>
          <t>Dilip Prabhavalkar, Ashok Samarth, Yatin Karyekar, Nishant Bhavsar, Mrunal Thakur, Vikas Kadam, Utpal Sawant, Ravindra Mankani, Shubhankar Atre, Charudatta Bhagwat</t>
        </is>
      </c>
      <c r="F1028" s="19" t="inlineStr">
        <is>
          <t>India</t>
        </is>
      </c>
      <c r="G1028" s="19" t="inlineStr">
        <is>
          <t>2017-07-15</t>
        </is>
      </c>
      <c r="H1028" s="19" t="n">
        <v>2014</v>
      </c>
      <c r="I1028" s="19" t="inlineStr">
        <is>
          <t>TV-14</t>
        </is>
      </c>
      <c r="J1028" s="19" t="inlineStr">
        <is>
          <t>116 min</t>
        </is>
      </c>
      <c r="K1028" s="19" t="inlineStr">
        <is>
          <t>Dramas, International Movies</t>
        </is>
      </c>
      <c r="L1028" s="19" t="inlineStr">
        <is>
          <t>In a remote village in colonial India, an old man and his grandson display strong differences in their attitudes toward the country's British rulers.</t>
        </is>
      </c>
      <c r="M1028" s="19" t="n">
        <v>2017</v>
      </c>
      <c r="N1028" s="19">
        <f>IF(AND(OR(YearFilter="All",$M1028=YearFilter),OR(RatingFilter="All",$I1028=RatingFilter),OR(TypeFilter="All",$B1028=TypeFilter),OR(GenreFilter="All",COUNTIFS(tblGenre[show_id],$A1028,tblGenre[Genre],GenreFilter)&gt;0)),1,0)</f>
        <v/>
      </c>
    </row>
    <row r="1029" ht="15" customHeight="1" s="20">
      <c r="A1029" s="19" t="inlineStr">
        <is>
          <t>s8684</t>
        </is>
      </c>
      <c r="B1029" s="19" t="inlineStr">
        <is>
          <t>Movie</t>
        </is>
      </c>
      <c r="C1029" s="19" t="inlineStr">
        <is>
          <t>Vodka Diaries</t>
        </is>
      </c>
      <c r="D1029" s="19" t="inlineStr">
        <is>
          <t>Kushal Srivastava</t>
        </is>
      </c>
      <c r="E1029" s="19" t="inlineStr">
        <is>
          <t>Kay Kay Menon, Raima Sen, Mandira Bedi, Sharib Hashmi, Rishi Bhutani, Herry Tangri, Vaishnavi Dhanraj, Swati Rajput</t>
        </is>
      </c>
      <c r="F1029" s="19" t="inlineStr">
        <is>
          <t>India</t>
        </is>
      </c>
      <c r="G1029" s="19" t="inlineStr">
        <is>
          <t>2019-12-31</t>
        </is>
      </c>
      <c r="H1029" s="19" t="n">
        <v>2018</v>
      </c>
      <c r="I1029" s="19" t="inlineStr">
        <is>
          <t>TV-14</t>
        </is>
      </c>
      <c r="J1029" s="19" t="inlineStr">
        <is>
          <t>113 min</t>
        </is>
      </c>
      <c r="K1029" s="19" t="inlineStr">
        <is>
          <t>Dramas, International Movies, Thrillers</t>
        </is>
      </c>
      <c r="L1029" s="19" t="inlineStr">
        <is>
          <t>While investigating a series of murders and the nightclub that links them, a detective’s case takes an alarming turn when his wife goes missing.</t>
        </is>
      </c>
      <c r="M1029" s="19" t="n">
        <v>2019</v>
      </c>
      <c r="N1029" s="19">
        <f>IF(AND(OR(YearFilter="All",$M1029=YearFilter),OR(RatingFilter="All",$I1029=RatingFilter),OR(TypeFilter="All",$B1029=TypeFilter),OR(GenreFilter="All",COUNTIFS(tblGenre[show_id],$A1029,tblGenre[Genre],GenreFilter)&gt;0)),1,0)</f>
        <v/>
      </c>
    </row>
    <row r="1030" ht="15" customHeight="1" s="20">
      <c r="A1030" s="19" t="inlineStr">
        <is>
          <t>s8688</t>
        </is>
      </c>
      <c r="B1030" s="19" t="inlineStr">
        <is>
          <t>Movie</t>
        </is>
      </c>
      <c r="C1030" s="19" t="inlineStr">
        <is>
          <t>Waarrior Savitri</t>
        </is>
      </c>
      <c r="D1030" s="19" t="inlineStr">
        <is>
          <t>Param Gill</t>
        </is>
      </c>
      <c r="E1030" s="19" t="inlineStr">
        <is>
          <t>Niharica Raizada, Rajat Barmecha, Lucy Pinder, Om Puri, Gulshan Grover, Tim Man, Ron Smoorenburg, KaramVeer Chaudhary</t>
        </is>
      </c>
      <c r="F1030" s="19" t="inlineStr">
        <is>
          <t>India</t>
        </is>
      </c>
      <c r="G1030" s="19" t="inlineStr">
        <is>
          <t>2017-11-01</t>
        </is>
      </c>
      <c r="H1030" s="19" t="n">
        <v>2016</v>
      </c>
      <c r="I1030" s="19" t="inlineStr">
        <is>
          <t>TV-14</t>
        </is>
      </c>
      <c r="J1030" s="19" t="inlineStr">
        <is>
          <t>120 min</t>
        </is>
      </c>
      <c r="K1030" s="19" t="inlineStr">
        <is>
          <t>Action &amp; Adventure, International Movies, Sci-Fi &amp; Fantasy</t>
        </is>
      </c>
      <c r="L1030" s="19" t="inlineStr">
        <is>
          <t>In a modern adaptation of a mythological tale, a devoted wife is willing to do whatever it takes to rescue her husband from the clutches of death.</t>
        </is>
      </c>
      <c r="M1030" s="19" t="n">
        <v>2017</v>
      </c>
      <c r="N1030" s="19">
        <f>IF(AND(OR(YearFilter="All",$M1030=YearFilter),OR(RatingFilter="All",$I1030=RatingFilter),OR(TypeFilter="All",$B1030=TypeFilter),OR(GenreFilter="All",COUNTIFS(tblGenre[show_id],$A1030,tblGenre[Genre],GenreFilter)&gt;0)),1,0)</f>
        <v/>
      </c>
    </row>
    <row r="1031" ht="15" customHeight="1" s="20">
      <c r="A1031" s="19" t="inlineStr">
        <is>
          <t>s8689</t>
        </is>
      </c>
      <c r="B1031" s="19" t="inlineStr">
        <is>
          <t>Movie</t>
        </is>
      </c>
      <c r="C1031" s="19" t="inlineStr">
        <is>
          <t>Waiting</t>
        </is>
      </c>
      <c r="D1031" s="19" t="inlineStr">
        <is>
          <t>Anu Menon</t>
        </is>
      </c>
      <c r="E1031" s="19" t="inlineStr">
        <is>
          <t>Naseeruddin Shah, Kalki Koechlin, Rajat Kapoor, Rajeev Ravindranathan, Ratnabali Bhattacharjee, Suhasini, Arjun Mathur</t>
        </is>
      </c>
      <c r="F1031" s="19" t="inlineStr">
        <is>
          <t>India</t>
        </is>
      </c>
      <c r="G1031" s="19" t="inlineStr">
        <is>
          <t>2018-05-01</t>
        </is>
      </c>
      <c r="H1031" s="19" t="n">
        <v>2015</v>
      </c>
      <c r="I1031" s="19" t="inlineStr">
        <is>
          <t>TV-MA</t>
        </is>
      </c>
      <c r="J1031" s="19" t="inlineStr">
        <is>
          <t>94 min</t>
        </is>
      </c>
      <c r="K1031" s="19" t="inlineStr">
        <is>
          <t>Dramas, International Movies</t>
        </is>
      </c>
      <c r="L1031" s="19" t="inlineStr">
        <is>
          <t>While visiting his comatose wife in the hospital, a serene old professor befriends a vibrant young woman whose husband has also fallen into a coma.</t>
        </is>
      </c>
      <c r="M1031" s="19" t="n">
        <v>2018</v>
      </c>
      <c r="N1031" s="19">
        <f>IF(AND(OR(YearFilter="All",$M1031=YearFilter),OR(RatingFilter="All",$I1031=RatingFilter),OR(TypeFilter="All",$B1031=TypeFilter),OR(GenreFilter="All",COUNTIFS(tblGenre[show_id],$A1031,tblGenre[Genre],GenreFilter)&gt;0)),1,0)</f>
        <v/>
      </c>
    </row>
    <row r="1032" ht="15" customHeight="1" s="20">
      <c r="A1032" s="19" t="inlineStr">
        <is>
          <t>s8696</t>
        </is>
      </c>
      <c r="B1032" s="19" t="inlineStr">
        <is>
          <t>Movie</t>
        </is>
      </c>
      <c r="C1032" s="19" t="inlineStr">
        <is>
          <t>War Chhod Na Yaar</t>
        </is>
      </c>
      <c r="D1032" s="19" t="inlineStr">
        <is>
          <t>Faraz Haider</t>
        </is>
      </c>
      <c r="E1032" s="19" t="inlineStr">
        <is>
          <t>Sharman Joshi, Soha Ali Khan, Javed Jaffrey, Dalip Tahil, Mukul Dev, Sanjay Mishra, Vivek Rana, Manoj Pahwa</t>
        </is>
      </c>
      <c r="F1032" s="19" t="inlineStr">
        <is>
          <t>India</t>
        </is>
      </c>
      <c r="G1032" s="19" t="inlineStr">
        <is>
          <t>2019-03-02</t>
        </is>
      </c>
      <c r="H1032" s="19" t="n">
        <v>2013</v>
      </c>
      <c r="I1032" s="19" t="inlineStr">
        <is>
          <t>TV-14</t>
        </is>
      </c>
      <c r="J1032" s="19" t="inlineStr">
        <is>
          <t>109 min</t>
        </is>
      </c>
      <c r="K1032" s="19" t="inlineStr">
        <is>
          <t>Comedies, Dramas, International Movies</t>
        </is>
      </c>
      <c r="L1032" s="19" t="inlineStr">
        <is>
          <t>Set in an India-Pakistan border post, this satirical but thought-provoking comedy about war deals with serious events in a humorous manner.</t>
        </is>
      </c>
      <c r="M1032" s="19" t="n">
        <v>2019</v>
      </c>
      <c r="N1032" s="19">
        <f>IF(AND(OR(YearFilter="All",$M1032=YearFilter),OR(RatingFilter="All",$I1032=RatingFilter),OR(TypeFilter="All",$B1032=TypeFilter),OR(GenreFilter="All",COUNTIFS(tblGenre[show_id],$A1032,tblGenre[Genre],GenreFilter)&gt;0)),1,0)</f>
        <v/>
      </c>
    </row>
    <row r="1033" ht="15" customHeight="1" s="20">
      <c r="A1033" s="19" t="inlineStr">
        <is>
          <t>s8697</t>
        </is>
      </c>
      <c r="B1033" s="19" t="inlineStr">
        <is>
          <t>Movie</t>
        </is>
      </c>
      <c r="C1033" s="19" t="inlineStr">
        <is>
          <t>War Horse</t>
        </is>
      </c>
      <c r="D1033" s="19" t="inlineStr">
        <is>
          <t>Steven Spielberg</t>
        </is>
      </c>
      <c r="E1033" s="19" t="inlineStr">
        <is>
          <t>Emily Watson, David Thewlis, Peter Mullan, Niels Arestrup, Tom Hiddleston, Jeremy Irvine, Benedict Cumberbatch, Toby Kebbell, David Kross, Eddie Marsan, Nicolas Bro, Rainer Bock, Patrick Kennedy, Liam Cunningham</t>
        </is>
      </c>
      <c r="F1033" s="19" t="inlineStr">
        <is>
          <t>United States, India</t>
        </is>
      </c>
      <c r="G1033" s="19" t="inlineStr">
        <is>
          <t>2019-05-06</t>
        </is>
      </c>
      <c r="H1033" s="19" t="n">
        <v>2011</v>
      </c>
      <c r="I1033" s="19" t="inlineStr">
        <is>
          <t>PG-13</t>
        </is>
      </c>
      <c r="J1033" s="19" t="inlineStr">
        <is>
          <t>147 min</t>
        </is>
      </c>
      <c r="K1033" s="19" t="inlineStr">
        <is>
          <t>Dramas</t>
        </is>
      </c>
      <c r="L1033" s="19" t="inlineStr">
        <is>
          <t>During World War I, the bond between a young Englishman and his loyal horse, Joey, is tested when Joey is sold to the cavalry and sent to France.</t>
        </is>
      </c>
      <c r="M1033" s="19" t="n">
        <v>2019</v>
      </c>
      <c r="N1033" s="19">
        <f>IF(AND(OR(YearFilter="All",$M1033=YearFilter),OR(RatingFilter="All",$I1033=RatingFilter),OR(TypeFilter="All",$B1033=TypeFilter),OR(GenreFilter="All",COUNTIFS(tblGenre[show_id],$A1033,tblGenre[Genre],GenreFilter)&gt;0)),1,0)</f>
        <v/>
      </c>
    </row>
    <row r="1034" ht="15" customHeight="1" s="20">
      <c r="A1034" s="19" t="inlineStr">
        <is>
          <t>s8703</t>
        </is>
      </c>
      <c r="B1034" s="19" t="inlineStr">
        <is>
          <t>Movie</t>
        </is>
      </c>
      <c r="C1034" s="19" t="inlineStr">
        <is>
          <t>Waterschool</t>
        </is>
      </c>
      <c r="D1034" s="19" t="inlineStr">
        <is>
          <t>Tiffanie Hsu</t>
        </is>
      </c>
      <c r="F1034" s="19" t="inlineStr">
        <is>
          <t>United States, Brazil, India, Uganda, China</t>
        </is>
      </c>
      <c r="G1034" s="19" t="inlineStr">
        <is>
          <t>2018-07-25</t>
        </is>
      </c>
      <c r="H1034" s="19" t="n">
        <v>2018</v>
      </c>
      <c r="I1034" s="19" t="inlineStr">
        <is>
          <t>TV-G</t>
        </is>
      </c>
      <c r="J1034" s="19" t="inlineStr">
        <is>
          <t>68 min</t>
        </is>
      </c>
      <c r="K1034" s="19" t="inlineStr">
        <is>
          <t>Documentaries</t>
        </is>
      </c>
      <c r="L1034" s="19" t="inlineStr">
        <is>
          <t>Six young women, who each live near one of Earth's major rivers, share how the Waterschool environmental education program has impacted their lives.</t>
        </is>
      </c>
      <c r="M1034" s="19" t="n">
        <v>2018</v>
      </c>
      <c r="N1034" s="19">
        <f>IF(AND(OR(YearFilter="All",$M1034=YearFilter),OR(RatingFilter="All",$I1034=RatingFilter),OR(TypeFilter="All",$B1034=TypeFilter),OR(GenreFilter="All",COUNTIFS(tblGenre[show_id],$A1034,tblGenre[Genre],GenreFilter)&gt;0)),1,0)</f>
        <v/>
      </c>
    </row>
    <row r="1035" ht="15" customHeight="1" s="20">
      <c r="A1035" s="19" t="inlineStr">
        <is>
          <t>s8714</t>
        </is>
      </c>
      <c r="B1035" s="19" t="inlineStr">
        <is>
          <t>Movie</t>
        </is>
      </c>
      <c r="C1035" s="19" t="inlineStr">
        <is>
          <t>Welcome 2 Karachi</t>
        </is>
      </c>
      <c r="D1035" s="19" t="inlineStr">
        <is>
          <t>Ashish R. Mohan</t>
        </is>
      </c>
      <c r="E1035" s="19" t="inlineStr">
        <is>
          <t>Arshad Warsi, Jacky Bhagnani, Lauren Gottlieb, Dalip Tahil, Pavan Malhotra, Ayub Khoso, Adnan Shah</t>
        </is>
      </c>
      <c r="F1035" s="19" t="inlineStr">
        <is>
          <t>India</t>
        </is>
      </c>
      <c r="G1035" s="19" t="inlineStr">
        <is>
          <t>2018-03-01</t>
        </is>
      </c>
      <c r="H1035" s="19" t="n">
        <v>2015</v>
      </c>
      <c r="I1035" s="19" t="inlineStr">
        <is>
          <t>TV-MA</t>
        </is>
      </c>
      <c r="J1035" s="19" t="inlineStr">
        <is>
          <t>124 min</t>
        </is>
      </c>
      <c r="K1035" s="19" t="inlineStr">
        <is>
          <t>Comedies, International Movies</t>
        </is>
      </c>
      <c r="L1035" s="19" t="inlineStr">
        <is>
          <t>Denied a U.S. visa, two dim Indian men decide to sneak into America on a boat. Fate, however, leaves them stranded on a beach – in Karachi, Pakistan.</t>
        </is>
      </c>
      <c r="M1035" s="19" t="n">
        <v>2018</v>
      </c>
      <c r="N1035" s="19">
        <f>IF(AND(OR(YearFilter="All",$M1035=YearFilter),OR(RatingFilter="All",$I1035=RatingFilter),OR(TypeFilter="All",$B1035=TypeFilter),OR(GenreFilter="All",COUNTIFS(tblGenre[show_id],$A1035,tblGenre[Genre],GenreFilter)&gt;0)),1,0)</f>
        <v/>
      </c>
    </row>
    <row r="1036" ht="15" customHeight="1" s="20">
      <c r="A1036" s="19" t="inlineStr">
        <is>
          <t>s8728</t>
        </is>
      </c>
      <c r="B1036" s="19" t="inlineStr">
        <is>
          <t>Movie</t>
        </is>
      </c>
      <c r="C1036" s="19" t="inlineStr">
        <is>
          <t>When Hari Got Married</t>
        </is>
      </c>
      <c r="D1036" s="19" t="inlineStr">
        <is>
          <t>Ritu Sarin, Tenzing Sonam</t>
        </is>
      </c>
      <c r="F1036" s="19" t="inlineStr">
        <is>
          <t>United Kingdom, India, United States</t>
        </is>
      </c>
      <c r="G1036" s="19" t="inlineStr">
        <is>
          <t>2016-12-25</t>
        </is>
      </c>
      <c r="H1036" s="19" t="n">
        <v>2013</v>
      </c>
      <c r="I1036" s="19" t="inlineStr">
        <is>
          <t>NR</t>
        </is>
      </c>
      <c r="J1036" s="19" t="inlineStr">
        <is>
          <t>75 min</t>
        </is>
      </c>
      <c r="K1036" s="19" t="inlineStr">
        <is>
          <t>Documentaries, International Movies</t>
        </is>
      </c>
      <c r="L1036" s="19" t="inlineStr">
        <is>
          <t>A small-town taxi driver is arranged to be married, resulting in an intimate look at the clash between modernity and tradition in India.</t>
        </is>
      </c>
      <c r="M1036" s="19" t="n">
        <v>2016</v>
      </c>
      <c r="N1036" s="19">
        <f>IF(AND(OR(YearFilter="All",$M1036=YearFilter),OR(RatingFilter="All",$I1036=RatingFilter),OR(TypeFilter="All",$B1036=TypeFilter),OR(GenreFilter="All",COUNTIFS(tblGenre[show_id],$A1036,tblGenre[Genre],GenreFilter)&gt;0)),1,0)</f>
        <v/>
      </c>
    </row>
    <row r="1037" ht="15" customHeight="1" s="20">
      <c r="A1037" s="19" t="inlineStr">
        <is>
          <t>s8739</t>
        </is>
      </c>
      <c r="B1037" s="19" t="inlineStr">
        <is>
          <t>Movie</t>
        </is>
      </c>
      <c r="C1037" s="19" t="inlineStr">
        <is>
          <t>Why Knot</t>
        </is>
      </c>
      <c r="D1037" s="19" t="inlineStr">
        <is>
          <t>Dhruv Dhawan</t>
        </is>
      </c>
      <c r="F1037" s="19" t="inlineStr">
        <is>
          <t>Canada, India, Thailand, United States, United Arab Emirates</t>
        </is>
      </c>
      <c r="G1037" s="19" t="inlineStr">
        <is>
          <t>2017-10-15</t>
        </is>
      </c>
      <c r="H1037" s="19" t="n">
        <v>2016</v>
      </c>
      <c r="I1037" s="19" t="inlineStr">
        <is>
          <t>TV-MA</t>
        </is>
      </c>
      <c r="J1037" s="19" t="inlineStr">
        <is>
          <t>84 min</t>
        </is>
      </c>
      <c r="K1037" s="19" t="inlineStr">
        <is>
          <t>Documentaries</t>
        </is>
      </c>
      <c r="L1037" s="19" t="inlineStr">
        <is>
          <t>Pressured by his traditional family to marry, a filmmaker explores the idea of monogamy and the possibility of lifelong union without sexual fidelity.</t>
        </is>
      </c>
      <c r="M1037" s="19" t="n">
        <v>2017</v>
      </c>
      <c r="N1037" s="19">
        <f>IF(AND(OR(YearFilter="All",$M1037=YearFilter),OR(RatingFilter="All",$I1037=RatingFilter),OR(TypeFilter="All",$B1037=TypeFilter),OR(GenreFilter="All",COUNTIFS(tblGenre[show_id],$A1037,tblGenre[Genre],GenreFilter)&gt;0)),1,0)</f>
        <v/>
      </c>
    </row>
    <row r="1038" ht="15" customHeight="1" s="20">
      <c r="A1038" s="19" t="inlineStr">
        <is>
          <t>s8763</t>
        </is>
      </c>
      <c r="B1038" s="19" t="inlineStr">
        <is>
          <t>Movie</t>
        </is>
      </c>
      <c r="C1038" s="19" t="inlineStr">
        <is>
          <t>Wrong Side Raju</t>
        </is>
      </c>
      <c r="D1038" s="19" t="inlineStr">
        <is>
          <t>Mikhil Musale</t>
        </is>
      </c>
      <c r="E1038" s="19" t="inlineStr">
        <is>
          <t>Pratik Gandhi, Kimberley Louisa McBeath, Asif Basra, Kavi Shastri, Hetal Puniwala, Ragi Jani, Makarand Shukla, Alok Gagdekar, Jayesh More, Siddharth Randeria, Kenneth Desai</t>
        </is>
      </c>
      <c r="F1038" s="19" t="inlineStr">
        <is>
          <t>India</t>
        </is>
      </c>
      <c r="G1038" s="19" t="inlineStr">
        <is>
          <t>2017-10-01</t>
        </is>
      </c>
      <c r="H1038" s="19" t="n">
        <v>2016</v>
      </c>
      <c r="I1038" s="19" t="inlineStr">
        <is>
          <t>TV-MA</t>
        </is>
      </c>
      <c r="J1038" s="19" t="inlineStr">
        <is>
          <t>140 min</t>
        </is>
      </c>
      <c r="K1038" s="19" t="inlineStr">
        <is>
          <t>Dramas, International Movies</t>
        </is>
      </c>
      <c r="L1038" s="19" t="inlineStr">
        <is>
          <t>The life of a chauffeur and part-time bootlegger takes a turn toward the dramatic when a girl approaches him to buy illicit alcohol.</t>
        </is>
      </c>
      <c r="M1038" s="19" t="n">
        <v>2017</v>
      </c>
      <c r="N1038" s="19">
        <f>IF(AND(OR(YearFilter="All",$M1038=YearFilter),OR(RatingFilter="All",$I1038=RatingFilter),OR(TypeFilter="All",$B1038=TypeFilter),OR(GenreFilter="All",COUNTIFS(tblGenre[show_id],$A1038,tblGenre[Genre],GenreFilter)&gt;0)),1,0)</f>
        <v/>
      </c>
    </row>
    <row r="1039" ht="15" customHeight="1" s="20">
      <c r="A1039" s="19" t="inlineStr">
        <is>
          <t>s8770</t>
        </is>
      </c>
      <c r="B1039" s="19" t="inlineStr">
        <is>
          <t>Movie</t>
        </is>
      </c>
      <c r="C1039" s="19" t="inlineStr">
        <is>
          <t>Y.M.I.: Yeh Mera India</t>
        </is>
      </c>
      <c r="D1039" s="19" t="inlineStr">
        <is>
          <t>N. Chandra</t>
        </is>
      </c>
      <c r="E1039" s="19" t="inlineStr">
        <is>
          <t>Anupam Kher, Atul Kulkarni, Aakash Pandey, Milind Gunaji, Perizaad Zorabian, Smiley Suri, Parvin Dabas, Rajit Kapoor, Purab Kohli, Rajpal Yadav, Sarika, Sayaji Shinde, Seema Biswas, Vijay Raaz, Ashwin Mushran, Veerendra Saxena, Siddhant Karnick</t>
        </is>
      </c>
      <c r="F1039" s="19" t="inlineStr">
        <is>
          <t>India</t>
        </is>
      </c>
      <c r="G1039" s="19" t="inlineStr">
        <is>
          <t>2018-03-01</t>
        </is>
      </c>
      <c r="H1039" s="19" t="n">
        <v>2008</v>
      </c>
      <c r="I1039" s="19" t="inlineStr">
        <is>
          <t>TV-MA</t>
        </is>
      </c>
      <c r="J1039" s="19" t="inlineStr">
        <is>
          <t>137 min</t>
        </is>
      </c>
      <c r="K1039" s="19" t="inlineStr">
        <is>
          <t>Dramas, Independent Movies, International Movies</t>
        </is>
      </c>
      <c r="L1039" s="19" t="inlineStr">
        <is>
          <t>The lives of a middle-aged soap opera addict, an ambitious career woman, a fervent activist and nine others from different walks of Indian life intersect in Mumbai. But this vibrant melting pot threatens to bubble over with bias and bigotry.</t>
        </is>
      </c>
      <c r="M1039" s="19" t="n">
        <v>2018</v>
      </c>
      <c r="N1039" s="19">
        <f>IF(AND(OR(YearFilter="All",$M1039=YearFilter),OR(RatingFilter="All",$I1039=RatingFilter),OR(TypeFilter="All",$B1039=TypeFilter),OR(GenreFilter="All",COUNTIFS(tblGenre[show_id],$A1039,tblGenre[Genre],GenreFilter)&gt;0)),1,0)</f>
        <v/>
      </c>
    </row>
    <row r="1040" ht="15" customHeight="1" s="20">
      <c r="A1040" s="19" t="inlineStr">
        <is>
          <t>s8771</t>
        </is>
      </c>
      <c r="B1040" s="19" t="inlineStr">
        <is>
          <t>Movie</t>
        </is>
      </c>
      <c r="C1040" s="19" t="inlineStr">
        <is>
          <t>Yaadein</t>
        </is>
      </c>
      <c r="D1040" s="19" t="inlineStr">
        <is>
          <t>Subhash Ghai</t>
        </is>
      </c>
      <c r="E1040" s="19" t="inlineStr">
        <is>
          <t>Jackie Shroff, Hrithik Roshan, Kareena Kapoor, Amrish Puri, Kiran Rathod, Rati Agnihotri, Supriya Karnik, Anang Desai</t>
        </is>
      </c>
      <c r="F1040" s="19" t="inlineStr">
        <is>
          <t>India</t>
        </is>
      </c>
      <c r="G1040" s="19" t="inlineStr">
        <is>
          <t>2018-03-01</t>
        </is>
      </c>
      <c r="H1040" s="19" t="n">
        <v>2001</v>
      </c>
      <c r="I1040" s="19" t="inlineStr">
        <is>
          <t>TV-14</t>
        </is>
      </c>
      <c r="J1040" s="19" t="inlineStr">
        <is>
          <t>171 min</t>
        </is>
      </c>
      <c r="K1040" s="19" t="inlineStr">
        <is>
          <t>Dramas, International Movies, Romantic Movies</t>
        </is>
      </c>
      <c r="L1040" s="19" t="inlineStr">
        <is>
          <t>Two young lovers set out to overcome the obstacles that stand in the way of their marriage, beginning with the objections of the girl's father.</t>
        </is>
      </c>
      <c r="M1040" s="19" t="n">
        <v>2018</v>
      </c>
      <c r="N1040" s="19">
        <f>IF(AND(OR(YearFilter="All",$M1040=YearFilter),OR(RatingFilter="All",$I1040=RatingFilter),OR(TypeFilter="All",$B1040=TypeFilter),OR(GenreFilter="All",COUNTIFS(tblGenre[show_id],$A1040,tblGenre[Genre],GenreFilter)&gt;0)),1,0)</f>
        <v/>
      </c>
    </row>
    <row r="1041" ht="15" customHeight="1" s="20">
      <c r="A1041" s="19" t="inlineStr">
        <is>
          <t>s8772</t>
        </is>
      </c>
      <c r="B1041" s="19" t="inlineStr">
        <is>
          <t>Movie</t>
        </is>
      </c>
      <c r="C1041" s="19" t="inlineStr">
        <is>
          <t>Yaara O Dildaara</t>
        </is>
      </c>
      <c r="D1041" s="19" t="inlineStr">
        <is>
          <t>Ksshitij Chaudhary</t>
        </is>
      </c>
      <c r="E1041" s="19" t="inlineStr">
        <is>
          <t>Harbhajan Mann, Tulip Joshi, Kabir Bedi, Gulzar Chahal, Jonita, Gurpreet Ghuggi, Gurpreet Grewal, Neena Cheema, Sunita Dhir</t>
        </is>
      </c>
      <c r="F1041" s="19" t="inlineStr">
        <is>
          <t>India</t>
        </is>
      </c>
      <c r="G1041" s="19" t="inlineStr">
        <is>
          <t>2017-11-01</t>
        </is>
      </c>
      <c r="H1041" s="19" t="n">
        <v>2011</v>
      </c>
      <c r="I1041" s="19" t="inlineStr">
        <is>
          <t>TV-14</t>
        </is>
      </c>
      <c r="J1041" s="19" t="inlineStr">
        <is>
          <t>132 min</t>
        </is>
      </c>
      <c r="K1041" s="19" t="inlineStr">
        <is>
          <t>Dramas, International Movies, Music &amp; Musicals</t>
        </is>
      </c>
      <c r="L1041" s="19" t="inlineStr">
        <is>
          <t>The patriarch of a wealthy family with one industrious son and one who's a playboy arranges for the marriage of one to the woman the other loves.</t>
        </is>
      </c>
      <c r="M1041" s="19" t="n">
        <v>2017</v>
      </c>
      <c r="N1041" s="19">
        <f>IF(AND(OR(YearFilter="All",$M1041=YearFilter),OR(RatingFilter="All",$I1041=RatingFilter),OR(TypeFilter="All",$B1041=TypeFilter),OR(GenreFilter="All",COUNTIFS(tblGenre[show_id],$A1041,tblGenre[Genre],GenreFilter)&gt;0)),1,0)</f>
        <v/>
      </c>
    </row>
    <row r="1042" ht="15" customHeight="1" s="20">
      <c r="A1042" s="19" t="inlineStr">
        <is>
          <t>s8773</t>
        </is>
      </c>
      <c r="B1042" s="19" t="inlineStr">
        <is>
          <t>Movie</t>
        </is>
      </c>
      <c r="C1042" s="19" t="inlineStr">
        <is>
          <t>Yamla Pagla Deewana 2</t>
        </is>
      </c>
      <c r="D1042" s="19" t="inlineStr">
        <is>
          <t>Sangeeth Sivan</t>
        </is>
      </c>
      <c r="E1042" s="19" t="inlineStr">
        <is>
          <t>Dharmendra, Sunny Deol, Bobby Deol, Neha Sharma, Kristina Akheeva, Annu Kapoor, Johnny Lever, Sucheta Khanna, Aidan Cook, Anupam Kher</t>
        </is>
      </c>
      <c r="F1042" s="19" t="inlineStr">
        <is>
          <t>India</t>
        </is>
      </c>
      <c r="G1042" s="19" t="inlineStr">
        <is>
          <t>2017-05-01</t>
        </is>
      </c>
      <c r="H1042" s="19" t="n">
        <v>2013</v>
      </c>
      <c r="I1042" s="19" t="inlineStr">
        <is>
          <t>TV-14</t>
        </is>
      </c>
      <c r="J1042" s="19" t="inlineStr">
        <is>
          <t>147 min</t>
        </is>
      </c>
      <c r="K1042" s="19" t="inlineStr">
        <is>
          <t>Action &amp; Adventure, Comedies, International Movies</t>
        </is>
      </c>
      <c r="L1042" s="19" t="inlineStr">
        <is>
          <t>Up to his old tricks, con man Dharam poses as a millionaire to get his younger son married to the daughter of a wealthy businessman.</t>
        </is>
      </c>
      <c r="M1042" s="19" t="n">
        <v>2017</v>
      </c>
      <c r="N1042" s="19">
        <f>IF(AND(OR(YearFilter="All",$M1042=YearFilter),OR(RatingFilter="All",$I1042=RatingFilter),OR(TypeFilter="All",$B1042=TypeFilter),OR(GenreFilter="All",COUNTIFS(tblGenre[show_id],$A1042,tblGenre[Genre],GenreFilter)&gt;0)),1,0)</f>
        <v/>
      </c>
    </row>
    <row r="1043" ht="15" customHeight="1" s="20">
      <c r="A1043" s="19" t="inlineStr">
        <is>
          <t>s8774</t>
        </is>
      </c>
      <c r="B1043" s="19" t="inlineStr">
        <is>
          <t>Movie</t>
        </is>
      </c>
      <c r="C1043" s="19" t="inlineStr">
        <is>
          <t>Yanda Kartavya Aahe</t>
        </is>
      </c>
      <c r="D1043" s="19" t="inlineStr">
        <is>
          <t>Kedar Shinde</t>
        </is>
      </c>
      <c r="E1043" s="19" t="inlineStr">
        <is>
          <t>Ankush Choudhary, Smita Shewale, Mohan Joshi, Atmaram Bhende, Asha Bhende</t>
        </is>
      </c>
      <c r="F1043" s="19" t="inlineStr">
        <is>
          <t>India</t>
        </is>
      </c>
      <c r="G1043" s="19" t="inlineStr">
        <is>
          <t>2018-01-01</t>
        </is>
      </c>
      <c r="H1043" s="19" t="n">
        <v>2006</v>
      </c>
      <c r="I1043" s="19" t="inlineStr">
        <is>
          <t>TV-PG</t>
        </is>
      </c>
      <c r="J1043" s="19" t="inlineStr">
        <is>
          <t>151 min</t>
        </is>
      </c>
      <c r="K1043" s="19" t="inlineStr">
        <is>
          <t>Comedies, Dramas, International Movies</t>
        </is>
      </c>
      <c r="L1043" s="19" t="inlineStr">
        <is>
          <t>Thanks to an arranged marriage that was designed to make an ailing grandmother happy, newlyweds Rahul and Swati are virtually strangers. Can a four-day honeymoon make a difference when it comes to the couple's feelings about each other?</t>
        </is>
      </c>
      <c r="M1043" s="19" t="n">
        <v>2018</v>
      </c>
      <c r="N1043" s="19">
        <f>IF(AND(OR(YearFilter="All",$M1043=YearFilter),OR(RatingFilter="All",$I1043=RatingFilter),OR(TypeFilter="All",$B1043=TypeFilter),OR(GenreFilter="All",COUNTIFS(tblGenre[show_id],$A1043,tblGenre[Genre],GenreFilter)&gt;0)),1,0)</f>
        <v/>
      </c>
    </row>
    <row r="1044" ht="15" customHeight="1" s="20">
      <c r="A1044" s="19" t="inlineStr">
        <is>
          <t>s8776</t>
        </is>
      </c>
      <c r="B1044" s="19" t="inlineStr">
        <is>
          <t>TV Show</t>
        </is>
      </c>
      <c r="C1044" s="19" t="inlineStr">
        <is>
          <t>Yeh Meri Family</t>
        </is>
      </c>
      <c r="E1044" s="19" t="inlineStr">
        <is>
          <t>Vishesh Bansal, Mona Singh, Akarsh Khurana, Ahan Nirban, Ruhi Khan, Prasad Reddy, Revathi Pillai</t>
        </is>
      </c>
      <c r="F1044" s="19" t="inlineStr">
        <is>
          <t>India</t>
        </is>
      </c>
      <c r="G1044" s="19" t="inlineStr">
        <is>
          <t>2018-08-31</t>
        </is>
      </c>
      <c r="H1044" s="19" t="n">
        <v>2018</v>
      </c>
      <c r="I1044" s="19" t="inlineStr">
        <is>
          <t>TV-PG</t>
        </is>
      </c>
      <c r="J1044" s="19" t="inlineStr">
        <is>
          <t>1 Season</t>
        </is>
      </c>
      <c r="K1044" s="19" t="inlineStr">
        <is>
          <t>International TV Shows, TV Comedies</t>
        </is>
      </c>
      <c r="L1044" s="19" t="inlineStr">
        <is>
          <t>In the summer of 1998, middle child Harshu balances school, family, friendship and other challenges of growing up.</t>
        </is>
      </c>
      <c r="M1044" s="19" t="n">
        <v>2018</v>
      </c>
      <c r="N1044" s="19">
        <f>IF(AND(OR(YearFilter="All",$M1044=YearFilter),OR(RatingFilter="All",$I1044=RatingFilter),OR(TypeFilter="All",$B1044=TypeFilter),OR(GenreFilter="All",COUNTIFS(tblGenre[show_id],$A1044,tblGenre[Genre],GenreFilter)&gt;0)),1,0)</f>
        <v/>
      </c>
    </row>
    <row r="1045" ht="15" customHeight="1" s="20">
      <c r="A1045" s="19" t="inlineStr">
        <is>
          <t>s8799</t>
        </is>
      </c>
      <c r="B1045" s="19" t="inlineStr">
        <is>
          <t>Movie</t>
        </is>
      </c>
      <c r="C1045" s="19" t="inlineStr">
        <is>
          <t>Zed Plus</t>
        </is>
      </c>
      <c r="D1045" s="19" t="inlineStr">
        <is>
          <t>Chandra Prakash Dwivedi</t>
        </is>
      </c>
      <c r="E1045" s="19" t="inlineStr">
        <is>
          <t>Adil Hussain, Mona Singh, K.K. Raina, Sanjay Mishra, Anil Rastogi, Ravi Jhankal, Kulbhushan Kharbanda, Ekavali Khanna, Mukesh Tiwari, Vinod Acharya</t>
        </is>
      </c>
      <c r="F1045" s="19" t="inlineStr">
        <is>
          <t>India</t>
        </is>
      </c>
      <c r="G1045" s="19" t="inlineStr">
        <is>
          <t>2019-12-31</t>
        </is>
      </c>
      <c r="H1045" s="19" t="n">
        <v>2014</v>
      </c>
      <c r="I1045" s="19" t="inlineStr">
        <is>
          <t>TV-MA</t>
        </is>
      </c>
      <c r="J1045" s="19" t="inlineStr">
        <is>
          <t>131 min</t>
        </is>
      </c>
      <c r="K1045" s="19" t="inlineStr">
        <is>
          <t>Comedies, Dramas, International Movies</t>
        </is>
      </c>
      <c r="L1045" s="19" t="inlineStr">
        <is>
          <t>A philandering small-town mechanic's political ambitions are sparked when the visiting prime minister mistakenly grants him special security clearance.</t>
        </is>
      </c>
      <c r="M1045" s="19" t="n">
        <v>2019</v>
      </c>
      <c r="N1045" s="19">
        <f>IF(AND(OR(YearFilter="All",$M1045=YearFilter),OR(RatingFilter="All",$I1045=RatingFilter),OR(TypeFilter="All",$B1045=TypeFilter),OR(GenreFilter="All",COUNTIFS(tblGenre[show_id],$A1045,tblGenre[Genre],GenreFilter)&gt;0)),1,0)</f>
        <v/>
      </c>
    </row>
    <row r="1046" ht="15" customHeight="1" s="20">
      <c r="A1046" s="19" t="inlineStr">
        <is>
          <t>s8800</t>
        </is>
      </c>
      <c r="B1046" s="19" t="inlineStr">
        <is>
          <t>Movie</t>
        </is>
      </c>
      <c r="C1046" s="19" t="inlineStr">
        <is>
          <t>Zenda</t>
        </is>
      </c>
      <c r="D1046" s="19" t="inlineStr">
        <is>
          <t>Avadhoot Gupte</t>
        </is>
      </c>
      <c r="E1046" s="19" t="inlineStr">
        <is>
          <t>Santosh Juvekar, Siddharth Chandekar, Sachit Patil, Chinmay Mandlekar, Rajesh Shringarpure, Pushkar Shrotri, Tejashree Pradhan, Neha Joshi</t>
        </is>
      </c>
      <c r="F1046" s="19" t="inlineStr">
        <is>
          <t>India</t>
        </is>
      </c>
      <c r="G1046" s="19" t="inlineStr">
        <is>
          <t>2018-02-15</t>
        </is>
      </c>
      <c r="H1046" s="19" t="n">
        <v>2009</v>
      </c>
      <c r="I1046" s="19" t="inlineStr">
        <is>
          <t>TV-14</t>
        </is>
      </c>
      <c r="J1046" s="19" t="inlineStr">
        <is>
          <t>120 min</t>
        </is>
      </c>
      <c r="K1046" s="19" t="inlineStr">
        <is>
          <t>Dramas, International Movies</t>
        </is>
      </c>
      <c r="L1046" s="19" t="inlineStr">
        <is>
          <t>A change in the leadership of a political party sparks bitter conflict and the party's division into two rival factions.</t>
        </is>
      </c>
      <c r="M1046" s="19" t="n">
        <v>2018</v>
      </c>
      <c r="N1046" s="19">
        <f>IF(AND(OR(YearFilter="All",$M1046=YearFilter),OR(RatingFilter="All",$I1046=RatingFilter),OR(TypeFilter="All",$B1046=TypeFilter),OR(GenreFilter="All",COUNTIFS(tblGenre[show_id],$A1046,tblGenre[Genre],GenreFilter)&gt;0)),1,0)</f>
        <v/>
      </c>
    </row>
    <row r="1047" ht="15" customHeight="1" s="20">
      <c r="A1047" s="19" t="inlineStr">
        <is>
          <t>s8807</t>
        </is>
      </c>
      <c r="B1047" s="19" t="inlineStr">
        <is>
          <t>Movie</t>
        </is>
      </c>
      <c r="C1047" s="19" t="inlineStr">
        <is>
          <t>Zubaan</t>
        </is>
      </c>
      <c r="D1047" s="19" t="inlineStr">
        <is>
          <t>Mozez Singh</t>
        </is>
      </c>
      <c r="E1047" s="19" t="inlineStr">
        <is>
          <t>Vicky Kaushal, Sarah-Jane Dias, Raaghav Chanana, Manish Chaudhary, Meghna Malik, Malkeet Rauni, Anita Shabdish, Chittaranjan Tripathy</t>
        </is>
      </c>
      <c r="F1047" s="19" t="inlineStr">
        <is>
          <t>India</t>
        </is>
      </c>
      <c r="G1047" s="19" t="inlineStr">
        <is>
          <t>2019-03-02</t>
        </is>
      </c>
      <c r="H1047" s="19" t="n">
        <v>2015</v>
      </c>
      <c r="I1047" s="19" t="inlineStr">
        <is>
          <t>TV-14</t>
        </is>
      </c>
      <c r="J1047" s="19" t="inlineStr">
        <is>
          <t>111 min</t>
        </is>
      </c>
      <c r="K1047" s="19" t="inlineStr">
        <is>
          <t>Dramas, International Movies, Music &amp; Musicals</t>
        </is>
      </c>
      <c r="L1047" s="19" t="inlineStr">
        <is>
          <t>A scrappy but poor boy worms his way into a tycoon's dysfunctional family, while facing his fear of music and the truth about his past.</t>
        </is>
      </c>
      <c r="M1047" s="19" t="n">
        <v>2019</v>
      </c>
      <c r="N1047" s="19">
        <f>IF(AND(OR(YearFilter="All",$M1047=YearFilter),OR(RatingFilter="All",$I1047=RatingFilter),OR(TypeFilter="All",$B1047=TypeFilter),OR(GenreFilter="All",COUNTIFS(tblGenre[show_id],$A1047,tblGenre[Genre],GenreFilter)&gt;0)),1,0)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F280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9" min="1" max="1"/>
    <col width="26" customWidth="1" style="19" min="2" max="2"/>
    <col width="12" customWidth="1" style="19" min="3" max="4"/>
    <col width="16" customWidth="1" style="19" min="5" max="5"/>
    <col width="18" customWidth="1" style="19" min="6" max="6"/>
  </cols>
  <sheetData>
    <row r="1" ht="15" customHeight="1" s="20">
      <c r="A1" s="21" t="inlineStr">
        <is>
          <t>show_id</t>
        </is>
      </c>
      <c r="B1" s="21" t="inlineStr">
        <is>
          <t>Genre</t>
        </is>
      </c>
      <c r="C1" s="21" t="inlineStr">
        <is>
          <t>Type_lookup</t>
        </is>
      </c>
      <c r="D1" s="21" t="inlineStr">
        <is>
          <t>Rating_lookup</t>
        </is>
      </c>
      <c r="E1" s="21" t="inlineStr">
        <is>
          <t>YearAdded_lookup</t>
        </is>
      </c>
      <c r="F1" s="21" t="inlineStr">
        <is>
          <t>IncludeRow_NoGenre</t>
        </is>
      </c>
    </row>
    <row r="2" ht="15" customHeight="1" s="20">
      <c r="A2" s="19" t="inlineStr">
        <is>
          <t>s5</t>
        </is>
      </c>
      <c r="B2" s="19" t="inlineStr">
        <is>
          <t>International TV Shows</t>
        </is>
      </c>
      <c r="C2" s="19">
        <f>IFERROR(INDEX(tblNetflix[type],MATCH($A2,tblNetflix[show_id],0)),"")</f>
        <v/>
      </c>
      <c r="D2" s="19">
        <f>IFERROR(INDEX(tblNetflix[rating],MATCH($A2,tblNetflix[show_id],0)),"")</f>
        <v/>
      </c>
      <c r="E2" s="19">
        <f>IFERROR(INDEX(tblNetflix[year_added],MATCH($A2,tblNetflix[show_id],0)),"")</f>
        <v/>
      </c>
      <c r="F2" s="19">
        <f>IF(AND(OR(YearFilter="All",$E2=YearFilter),OR(RatingFilter="All",$D2=RatingFilter),OR(TypeFilter="All",$C2=TypeFilter)),1,0)</f>
        <v/>
      </c>
    </row>
    <row r="3" ht="15" customHeight="1" s="20">
      <c r="A3" s="19" t="inlineStr">
        <is>
          <t>s5</t>
        </is>
      </c>
      <c r="B3" s="19" t="inlineStr">
        <is>
          <t>Romantic TV Shows</t>
        </is>
      </c>
      <c r="C3" s="19">
        <f>IFERROR(INDEX(tblNetflix[type],MATCH($A3,tblNetflix[show_id],0)),"")</f>
        <v/>
      </c>
      <c r="D3" s="19">
        <f>IFERROR(INDEX(tblNetflix[rating],MATCH($A3,tblNetflix[show_id],0)),"")</f>
        <v/>
      </c>
      <c r="E3" s="19">
        <f>IFERROR(INDEX(tblNetflix[year_added],MATCH($A3,tblNetflix[show_id],0)),"")</f>
        <v/>
      </c>
      <c r="F3" s="19">
        <f>IF(AND(OR(YearFilter="All",$E3=YearFilter),OR(RatingFilter="All",$D3=RatingFilter),OR(TypeFilter="All",$C3=TypeFilter)),1,0)</f>
        <v/>
      </c>
    </row>
    <row r="4" ht="15" customHeight="1" s="20">
      <c r="A4" s="19" t="inlineStr">
        <is>
          <t>s5</t>
        </is>
      </c>
      <c r="B4" s="19" t="inlineStr">
        <is>
          <t>TV Comedies</t>
        </is>
      </c>
      <c r="C4" s="19">
        <f>IFERROR(INDEX(tblNetflix[type],MATCH($A4,tblNetflix[show_id],0)),"")</f>
        <v/>
      </c>
      <c r="D4" s="19">
        <f>IFERROR(INDEX(tblNetflix[rating],MATCH($A4,tblNetflix[show_id],0)),"")</f>
        <v/>
      </c>
      <c r="E4" s="19">
        <f>IFERROR(INDEX(tblNetflix[year_added],MATCH($A4,tblNetflix[show_id],0)),"")</f>
        <v/>
      </c>
      <c r="F4" s="19">
        <f>IF(AND(OR(YearFilter="All",$E4=YearFilter),OR(RatingFilter="All",$D4=RatingFilter),OR(TypeFilter="All",$C4=TypeFilter)),1,0)</f>
        <v/>
      </c>
    </row>
    <row r="5" ht="15" customHeight="1" s="20">
      <c r="A5" s="19" t="inlineStr">
        <is>
          <t>s25</t>
        </is>
      </c>
      <c r="B5" s="19" t="inlineStr">
        <is>
          <t>Comedies</t>
        </is>
      </c>
      <c r="C5" s="19">
        <f>IFERROR(INDEX(tblNetflix[type],MATCH($A5,tblNetflix[show_id],0)),"")</f>
        <v/>
      </c>
      <c r="D5" s="19">
        <f>IFERROR(INDEX(tblNetflix[rating],MATCH($A5,tblNetflix[show_id],0)),"")</f>
        <v/>
      </c>
      <c r="E5" s="19">
        <f>IFERROR(INDEX(tblNetflix[year_added],MATCH($A5,tblNetflix[show_id],0)),"")</f>
        <v/>
      </c>
      <c r="F5" s="19">
        <f>IF(AND(OR(YearFilter="All",$E5=YearFilter),OR(RatingFilter="All",$D5=RatingFilter),OR(TypeFilter="All",$C5=TypeFilter)),1,0)</f>
        <v/>
      </c>
    </row>
    <row r="6" ht="15" customHeight="1" s="20">
      <c r="A6" s="19" t="inlineStr">
        <is>
          <t>s25</t>
        </is>
      </c>
      <c r="B6" s="19" t="inlineStr">
        <is>
          <t>International Movies</t>
        </is>
      </c>
      <c r="C6" s="19">
        <f>IFERROR(INDEX(tblNetflix[type],MATCH($A6,tblNetflix[show_id],0)),"")</f>
        <v/>
      </c>
      <c r="D6" s="19">
        <f>IFERROR(INDEX(tblNetflix[rating],MATCH($A6,tblNetflix[show_id],0)),"")</f>
        <v/>
      </c>
      <c r="E6" s="19">
        <f>IFERROR(INDEX(tblNetflix[year_added],MATCH($A6,tblNetflix[show_id],0)),"")</f>
        <v/>
      </c>
      <c r="F6" s="19">
        <f>IF(AND(OR(YearFilter="All",$E6=YearFilter),OR(RatingFilter="All",$D6=RatingFilter),OR(TypeFilter="All",$C6=TypeFilter)),1,0)</f>
        <v/>
      </c>
    </row>
    <row r="7" ht="15" customHeight="1" s="20">
      <c r="A7" s="19" t="inlineStr">
        <is>
          <t>s25</t>
        </is>
      </c>
      <c r="B7" s="19" t="inlineStr">
        <is>
          <t>Romantic Movies</t>
        </is>
      </c>
      <c r="C7" s="19">
        <f>IFERROR(INDEX(tblNetflix[type],MATCH($A7,tblNetflix[show_id],0)),"")</f>
        <v/>
      </c>
      <c r="D7" s="19">
        <f>IFERROR(INDEX(tblNetflix[rating],MATCH($A7,tblNetflix[show_id],0)),"")</f>
        <v/>
      </c>
      <c r="E7" s="19">
        <f>IFERROR(INDEX(tblNetflix[year_added],MATCH($A7,tblNetflix[show_id],0)),"")</f>
        <v/>
      </c>
      <c r="F7" s="19">
        <f>IF(AND(OR(YearFilter="All",$E7=YearFilter),OR(RatingFilter="All",$D7=RatingFilter),OR(TypeFilter="All",$C7=TypeFilter)),1,0)</f>
        <v/>
      </c>
    </row>
    <row r="8" ht="15" customHeight="1" s="20">
      <c r="A8" s="19" t="inlineStr">
        <is>
          <t>s30</t>
        </is>
      </c>
      <c r="B8" s="19" t="inlineStr">
        <is>
          <t>Thrillers</t>
        </is>
      </c>
      <c r="C8" s="19">
        <f>IFERROR(INDEX(tblNetflix[type],MATCH($A8,tblNetflix[show_id],0)),"")</f>
        <v/>
      </c>
      <c r="D8" s="19">
        <f>IFERROR(INDEX(tblNetflix[rating],MATCH($A8,tblNetflix[show_id],0)),"")</f>
        <v/>
      </c>
      <c r="E8" s="19">
        <f>IFERROR(INDEX(tblNetflix[year_added],MATCH($A8,tblNetflix[show_id],0)),"")</f>
        <v/>
      </c>
      <c r="F8" s="19">
        <f>IF(AND(OR(YearFilter="All",$E8=YearFilter),OR(RatingFilter="All",$D8=RatingFilter),OR(TypeFilter="All",$C8=TypeFilter)),1,0)</f>
        <v/>
      </c>
    </row>
    <row r="9" ht="15" customHeight="1" s="20">
      <c r="A9" s="19" t="inlineStr">
        <is>
          <t>s40</t>
        </is>
      </c>
      <c r="B9" s="19" t="inlineStr">
        <is>
          <t>Kids' TV</t>
        </is>
      </c>
      <c r="C9" s="19">
        <f>IFERROR(INDEX(tblNetflix[type],MATCH($A9,tblNetflix[show_id],0)),"")</f>
        <v/>
      </c>
      <c r="D9" s="19">
        <f>IFERROR(INDEX(tblNetflix[rating],MATCH($A9,tblNetflix[show_id],0)),"")</f>
        <v/>
      </c>
      <c r="E9" s="19">
        <f>IFERROR(INDEX(tblNetflix[year_added],MATCH($A9,tblNetflix[show_id],0)),"")</f>
        <v/>
      </c>
      <c r="F9" s="19">
        <f>IF(AND(OR(YearFilter="All",$E9=YearFilter),OR(RatingFilter="All",$D9=RatingFilter),OR(TypeFilter="All",$C9=TypeFilter)),1,0)</f>
        <v/>
      </c>
    </row>
    <row r="10" ht="15" customHeight="1" s="20">
      <c r="A10" s="19" t="inlineStr">
        <is>
          <t>s51</t>
        </is>
      </c>
      <c r="B10" s="19" t="inlineStr">
        <is>
          <t>International TV Shows</t>
        </is>
      </c>
      <c r="C10" s="19">
        <f>IFERROR(INDEX(tblNetflix[type],MATCH($A10,tblNetflix[show_id],0)),"")</f>
        <v/>
      </c>
      <c r="D10" s="19">
        <f>IFERROR(INDEX(tblNetflix[rating],MATCH($A10,tblNetflix[show_id],0)),"")</f>
        <v/>
      </c>
      <c r="E10" s="19">
        <f>IFERROR(INDEX(tblNetflix[year_added],MATCH($A10,tblNetflix[show_id],0)),"")</f>
        <v/>
      </c>
      <c r="F10" s="19">
        <f>IF(AND(OR(YearFilter="All",$E10=YearFilter),OR(RatingFilter="All",$D10=RatingFilter),OR(TypeFilter="All",$C10=TypeFilter)),1,0)</f>
        <v/>
      </c>
    </row>
    <row r="11" ht="15" customHeight="1" s="20">
      <c r="A11" s="19" t="inlineStr">
        <is>
          <t>s51</t>
        </is>
      </c>
      <c r="B11" s="19" t="inlineStr">
        <is>
          <t>TV Dramas</t>
        </is>
      </c>
      <c r="C11" s="19">
        <f>IFERROR(INDEX(tblNetflix[type],MATCH($A11,tblNetflix[show_id],0)),"")</f>
        <v/>
      </c>
      <c r="D11" s="19">
        <f>IFERROR(INDEX(tblNetflix[rating],MATCH($A11,tblNetflix[show_id],0)),"")</f>
        <v/>
      </c>
      <c r="E11" s="19">
        <f>IFERROR(INDEX(tblNetflix[year_added],MATCH($A11,tblNetflix[show_id],0)),"")</f>
        <v/>
      </c>
      <c r="F11" s="19">
        <f>IF(AND(OR(YearFilter="All",$E11=YearFilter),OR(RatingFilter="All",$D11=RatingFilter),OR(TypeFilter="All",$C11=TypeFilter)),1,0)</f>
        <v/>
      </c>
    </row>
    <row r="12" ht="15" customHeight="1" s="20">
      <c r="A12" s="19" t="inlineStr">
        <is>
          <t>s51</t>
        </is>
      </c>
      <c r="B12" s="19" t="inlineStr">
        <is>
          <t>TV Sci-Fi &amp; Fantasy</t>
        </is>
      </c>
      <c r="C12" s="19">
        <f>IFERROR(INDEX(tblNetflix[type],MATCH($A12,tblNetflix[show_id],0)),"")</f>
        <v/>
      </c>
      <c r="D12" s="19">
        <f>IFERROR(INDEX(tblNetflix[rating],MATCH($A12,tblNetflix[show_id],0)),"")</f>
        <v/>
      </c>
      <c r="E12" s="19">
        <f>IFERROR(INDEX(tblNetflix[year_added],MATCH($A12,tblNetflix[show_id],0)),"")</f>
        <v/>
      </c>
      <c r="F12" s="19">
        <f>IF(AND(OR(YearFilter="All",$E12=YearFilter),OR(RatingFilter="All",$D12=RatingFilter),OR(TypeFilter="All",$C12=TypeFilter)),1,0)</f>
        <v/>
      </c>
    </row>
    <row r="13" ht="15" customHeight="1" s="20">
      <c r="A13" s="19" t="inlineStr">
        <is>
          <t>s67</t>
        </is>
      </c>
      <c r="B13" s="19" t="inlineStr">
        <is>
          <t>Docuseries</t>
        </is>
      </c>
      <c r="C13" s="19">
        <f>IFERROR(INDEX(tblNetflix[type],MATCH($A13,tblNetflix[show_id],0)),"")</f>
        <v/>
      </c>
      <c r="D13" s="19">
        <f>IFERROR(INDEX(tblNetflix[rating],MATCH($A13,tblNetflix[show_id],0)),"")</f>
        <v/>
      </c>
      <c r="E13" s="19">
        <f>IFERROR(INDEX(tblNetflix[year_added],MATCH($A13,tblNetflix[show_id],0)),"")</f>
        <v/>
      </c>
      <c r="F13" s="19">
        <f>IF(AND(OR(YearFilter="All",$E13=YearFilter),OR(RatingFilter="All",$D13=RatingFilter),OR(TypeFilter="All",$C13=TypeFilter)),1,0)</f>
        <v/>
      </c>
    </row>
    <row r="14" ht="15" customHeight="1" s="20">
      <c r="A14" s="19" t="inlineStr">
        <is>
          <t>s67</t>
        </is>
      </c>
      <c r="B14" s="19" t="inlineStr">
        <is>
          <t>International TV Shows</t>
        </is>
      </c>
      <c r="C14" s="19">
        <f>IFERROR(INDEX(tblNetflix[type],MATCH($A14,tblNetflix[show_id],0)),"")</f>
        <v/>
      </c>
      <c r="D14" s="19">
        <f>IFERROR(INDEX(tblNetflix[rating],MATCH($A14,tblNetflix[show_id],0)),"")</f>
        <v/>
      </c>
      <c r="E14" s="19">
        <f>IFERROR(INDEX(tblNetflix[year_added],MATCH($A14,tblNetflix[show_id],0)),"")</f>
        <v/>
      </c>
      <c r="F14" s="19">
        <f>IF(AND(OR(YearFilter="All",$E14=YearFilter),OR(RatingFilter="All",$D14=RatingFilter),OR(TypeFilter="All",$C14=TypeFilter)),1,0)</f>
        <v/>
      </c>
    </row>
    <row r="15" ht="15" customHeight="1" s="20">
      <c r="A15" s="19" t="inlineStr">
        <is>
          <t>s70</t>
        </is>
      </c>
      <c r="B15" s="19" t="inlineStr">
        <is>
          <t>International TV Shows</t>
        </is>
      </c>
      <c r="C15" s="19">
        <f>IFERROR(INDEX(tblNetflix[type],MATCH($A15,tblNetflix[show_id],0)),"")</f>
        <v/>
      </c>
      <c r="D15" s="19">
        <f>IFERROR(INDEX(tblNetflix[rating],MATCH($A15,tblNetflix[show_id],0)),"")</f>
        <v/>
      </c>
      <c r="E15" s="19">
        <f>IFERROR(INDEX(tblNetflix[year_added],MATCH($A15,tblNetflix[show_id],0)),"")</f>
        <v/>
      </c>
      <c r="F15" s="19">
        <f>IF(AND(OR(YearFilter="All",$E15=YearFilter),OR(RatingFilter="All",$D15=RatingFilter),OR(TypeFilter="All",$C15=TypeFilter)),1,0)</f>
        <v/>
      </c>
    </row>
    <row r="16" ht="15" customHeight="1" s="20">
      <c r="A16" s="19" t="inlineStr">
        <is>
          <t>s70</t>
        </is>
      </c>
      <c r="B16" s="19" t="inlineStr">
        <is>
          <t>TV Dramas</t>
        </is>
      </c>
      <c r="C16" s="19">
        <f>IFERROR(INDEX(tblNetflix[type],MATCH($A16,tblNetflix[show_id],0)),"")</f>
        <v/>
      </c>
      <c r="D16" s="19">
        <f>IFERROR(INDEX(tblNetflix[rating],MATCH($A16,tblNetflix[show_id],0)),"")</f>
        <v/>
      </c>
      <c r="E16" s="19">
        <f>IFERROR(INDEX(tblNetflix[year_added],MATCH($A16,tblNetflix[show_id],0)),"")</f>
        <v/>
      </c>
      <c r="F16" s="19">
        <f>IF(AND(OR(YearFilter="All",$E16=YearFilter),OR(RatingFilter="All",$D16=RatingFilter),OR(TypeFilter="All",$C16=TypeFilter)),1,0)</f>
        <v/>
      </c>
    </row>
    <row r="17" ht="15" customHeight="1" s="20">
      <c r="A17" s="19" t="inlineStr">
        <is>
          <t>s106</t>
        </is>
      </c>
      <c r="B17" s="19" t="inlineStr">
        <is>
          <t>Action &amp; Adventure</t>
        </is>
      </c>
      <c r="C17" s="19">
        <f>IFERROR(INDEX(tblNetflix[type],MATCH($A17,tblNetflix[show_id],0)),"")</f>
        <v/>
      </c>
      <c r="D17" s="19">
        <f>IFERROR(INDEX(tblNetflix[rating],MATCH($A17,tblNetflix[show_id],0)),"")</f>
        <v/>
      </c>
      <c r="E17" s="19">
        <f>IFERROR(INDEX(tblNetflix[year_added],MATCH($A17,tblNetflix[show_id],0)),"")</f>
        <v/>
      </c>
      <c r="F17" s="19">
        <f>IF(AND(OR(YearFilter="All",$E17=YearFilter),OR(RatingFilter="All",$D17=RatingFilter),OR(TypeFilter="All",$C17=TypeFilter)),1,0)</f>
        <v/>
      </c>
    </row>
    <row r="18" ht="15" customHeight="1" s="20">
      <c r="A18" s="19" t="inlineStr">
        <is>
          <t>s106</t>
        </is>
      </c>
      <c r="B18" s="19" t="inlineStr">
        <is>
          <t>Comedies</t>
        </is>
      </c>
      <c r="C18" s="19">
        <f>IFERROR(INDEX(tblNetflix[type],MATCH($A18,tblNetflix[show_id],0)),"")</f>
        <v/>
      </c>
      <c r="D18" s="19">
        <f>IFERROR(INDEX(tblNetflix[rating],MATCH($A18,tblNetflix[show_id],0)),"")</f>
        <v/>
      </c>
      <c r="E18" s="19">
        <f>IFERROR(INDEX(tblNetflix[year_added],MATCH($A18,tblNetflix[show_id],0)),"")</f>
        <v/>
      </c>
      <c r="F18" s="19">
        <f>IF(AND(OR(YearFilter="All",$E18=YearFilter),OR(RatingFilter="All",$D18=RatingFilter),OR(TypeFilter="All",$C18=TypeFilter)),1,0)</f>
        <v/>
      </c>
    </row>
    <row r="19" ht="15" customHeight="1" s="20">
      <c r="A19" s="19" t="inlineStr">
        <is>
          <t>s106</t>
        </is>
      </c>
      <c r="B19" s="19" t="inlineStr">
        <is>
          <t>Dramas</t>
        </is>
      </c>
      <c r="C19" s="19">
        <f>IFERROR(INDEX(tblNetflix[type],MATCH($A19,tblNetflix[show_id],0)),"")</f>
        <v/>
      </c>
      <c r="D19" s="19">
        <f>IFERROR(INDEX(tblNetflix[rating],MATCH($A19,tblNetflix[show_id],0)),"")</f>
        <v/>
      </c>
      <c r="E19" s="19">
        <f>IFERROR(INDEX(tblNetflix[year_added],MATCH($A19,tblNetflix[show_id],0)),"")</f>
        <v/>
      </c>
      <c r="F19" s="19">
        <f>IF(AND(OR(YearFilter="All",$E19=YearFilter),OR(RatingFilter="All",$D19=RatingFilter),OR(TypeFilter="All",$C19=TypeFilter)),1,0)</f>
        <v/>
      </c>
    </row>
    <row r="20" ht="15" customHeight="1" s="20">
      <c r="A20" s="19" t="inlineStr">
        <is>
          <t>s115</t>
        </is>
      </c>
      <c r="B20" s="19" t="inlineStr">
        <is>
          <t>Dramas</t>
        </is>
      </c>
      <c r="C20" s="19">
        <f>IFERROR(INDEX(tblNetflix[type],MATCH($A20,tblNetflix[show_id],0)),"")</f>
        <v/>
      </c>
      <c r="D20" s="19">
        <f>IFERROR(INDEX(tblNetflix[rating],MATCH($A20,tblNetflix[show_id],0)),"")</f>
        <v/>
      </c>
      <c r="E20" s="19">
        <f>IFERROR(INDEX(tblNetflix[year_added],MATCH($A20,tblNetflix[show_id],0)),"")</f>
        <v/>
      </c>
      <c r="F20" s="19">
        <f>IF(AND(OR(YearFilter="All",$E20=YearFilter),OR(RatingFilter="All",$D20=RatingFilter),OR(TypeFilter="All",$C20=TypeFilter)),1,0)</f>
        <v/>
      </c>
    </row>
    <row r="21" ht="15" customHeight="1" s="20">
      <c r="A21" s="19" t="inlineStr">
        <is>
          <t>s115</t>
        </is>
      </c>
      <c r="B21" s="19" t="inlineStr">
        <is>
          <t>International Movies</t>
        </is>
      </c>
      <c r="C21" s="19">
        <f>IFERROR(INDEX(tblNetflix[type],MATCH($A21,tblNetflix[show_id],0)),"")</f>
        <v/>
      </c>
      <c r="D21" s="19">
        <f>IFERROR(INDEX(tblNetflix[rating],MATCH($A21,tblNetflix[show_id],0)),"")</f>
        <v/>
      </c>
      <c r="E21" s="19">
        <f>IFERROR(INDEX(tblNetflix[year_added],MATCH($A21,tblNetflix[show_id],0)),"")</f>
        <v/>
      </c>
      <c r="F21" s="19">
        <f>IF(AND(OR(YearFilter="All",$E21=YearFilter),OR(RatingFilter="All",$D21=RatingFilter),OR(TypeFilter="All",$C21=TypeFilter)),1,0)</f>
        <v/>
      </c>
    </row>
    <row r="22" ht="15" customHeight="1" s="20">
      <c r="A22" s="19" t="inlineStr">
        <is>
          <t>s115</t>
        </is>
      </c>
      <c r="B22" s="19" t="inlineStr">
        <is>
          <t>Thrillers</t>
        </is>
      </c>
      <c r="C22" s="19">
        <f>IFERROR(INDEX(tblNetflix[type],MATCH($A22,tblNetflix[show_id],0)),"")</f>
        <v/>
      </c>
      <c r="D22" s="19">
        <f>IFERROR(INDEX(tblNetflix[rating],MATCH($A22,tblNetflix[show_id],0)),"")</f>
        <v/>
      </c>
      <c r="E22" s="19">
        <f>IFERROR(INDEX(tblNetflix[year_added],MATCH($A22,tblNetflix[show_id],0)),"")</f>
        <v/>
      </c>
      <c r="F22" s="19">
        <f>IF(AND(OR(YearFilter="All",$E22=YearFilter),OR(RatingFilter="All",$D22=RatingFilter),OR(TypeFilter="All",$C22=TypeFilter)),1,0)</f>
        <v/>
      </c>
    </row>
    <row r="23" ht="15" customHeight="1" s="20">
      <c r="A23" s="19" t="inlineStr">
        <is>
          <t>s117</t>
        </is>
      </c>
      <c r="B23" s="19" t="inlineStr">
        <is>
          <t>Comedies</t>
        </is>
      </c>
      <c r="C23" s="19">
        <f>IFERROR(INDEX(tblNetflix[type],MATCH($A23,tblNetflix[show_id],0)),"")</f>
        <v/>
      </c>
      <c r="D23" s="19">
        <f>IFERROR(INDEX(tblNetflix[rating],MATCH($A23,tblNetflix[show_id],0)),"")</f>
        <v/>
      </c>
      <c r="E23" s="19">
        <f>IFERROR(INDEX(tblNetflix[year_added],MATCH($A23,tblNetflix[show_id],0)),"")</f>
        <v/>
      </c>
      <c r="F23" s="19">
        <f>IF(AND(OR(YearFilter="All",$E23=YearFilter),OR(RatingFilter="All",$D23=RatingFilter),OR(TypeFilter="All",$C23=TypeFilter)),1,0)</f>
        <v/>
      </c>
    </row>
    <row r="24" ht="15" customHeight="1" s="20">
      <c r="A24" s="19" t="inlineStr">
        <is>
          <t>s117</t>
        </is>
      </c>
      <c r="B24" s="19" t="inlineStr">
        <is>
          <t>Dramas</t>
        </is>
      </c>
      <c r="C24" s="19">
        <f>IFERROR(INDEX(tblNetflix[type],MATCH($A24,tblNetflix[show_id],0)),"")</f>
        <v/>
      </c>
      <c r="D24" s="19">
        <f>IFERROR(INDEX(tblNetflix[rating],MATCH($A24,tblNetflix[show_id],0)),"")</f>
        <v/>
      </c>
      <c r="E24" s="19">
        <f>IFERROR(INDEX(tblNetflix[year_added],MATCH($A24,tblNetflix[show_id],0)),"")</f>
        <v/>
      </c>
      <c r="F24" s="19">
        <f>IF(AND(OR(YearFilter="All",$E24=YearFilter),OR(RatingFilter="All",$D24=RatingFilter),OR(TypeFilter="All",$C24=TypeFilter)),1,0)</f>
        <v/>
      </c>
    </row>
    <row r="25" ht="15" customHeight="1" s="20">
      <c r="A25" s="19" t="inlineStr">
        <is>
          <t>s117</t>
        </is>
      </c>
      <c r="B25" s="19" t="inlineStr">
        <is>
          <t>Independent Movies</t>
        </is>
      </c>
      <c r="C25" s="19">
        <f>IFERROR(INDEX(tblNetflix[type],MATCH($A25,tblNetflix[show_id],0)),"")</f>
        <v/>
      </c>
      <c r="D25" s="19">
        <f>IFERROR(INDEX(tblNetflix[rating],MATCH($A25,tblNetflix[show_id],0)),"")</f>
        <v/>
      </c>
      <c r="E25" s="19">
        <f>IFERROR(INDEX(tblNetflix[year_added],MATCH($A25,tblNetflix[show_id],0)),"")</f>
        <v/>
      </c>
      <c r="F25" s="19">
        <f>IF(AND(OR(YearFilter="All",$E25=YearFilter),OR(RatingFilter="All",$D25=RatingFilter),OR(TypeFilter="All",$C25=TypeFilter)),1,0)</f>
        <v/>
      </c>
    </row>
    <row r="26" ht="15" customHeight="1" s="20">
      <c r="A26" s="19" t="inlineStr">
        <is>
          <t>s119</t>
        </is>
      </c>
      <c r="B26" s="19" t="inlineStr">
        <is>
          <t>Dramas</t>
        </is>
      </c>
      <c r="C26" s="19">
        <f>IFERROR(INDEX(tblNetflix[type],MATCH($A26,tblNetflix[show_id],0)),"")</f>
        <v/>
      </c>
      <c r="D26" s="19">
        <f>IFERROR(INDEX(tblNetflix[rating],MATCH($A26,tblNetflix[show_id],0)),"")</f>
        <v/>
      </c>
      <c r="E26" s="19">
        <f>IFERROR(INDEX(tblNetflix[year_added],MATCH($A26,tblNetflix[show_id],0)),"")</f>
        <v/>
      </c>
      <c r="F26" s="19">
        <f>IF(AND(OR(YearFilter="All",$E26=YearFilter),OR(RatingFilter="All",$D26=RatingFilter),OR(TypeFilter="All",$C26=TypeFilter)),1,0)</f>
        <v/>
      </c>
    </row>
    <row r="27" ht="15" customHeight="1" s="20">
      <c r="A27" s="19" t="inlineStr">
        <is>
          <t>s119</t>
        </is>
      </c>
      <c r="B27" s="19" t="inlineStr">
        <is>
          <t>International Movies</t>
        </is>
      </c>
      <c r="C27" s="19">
        <f>IFERROR(INDEX(tblNetflix[type],MATCH($A27,tblNetflix[show_id],0)),"")</f>
        <v/>
      </c>
      <c r="D27" s="19">
        <f>IFERROR(INDEX(tblNetflix[rating],MATCH($A27,tblNetflix[show_id],0)),"")</f>
        <v/>
      </c>
      <c r="E27" s="19">
        <f>IFERROR(INDEX(tblNetflix[year_added],MATCH($A27,tblNetflix[show_id],0)),"")</f>
        <v/>
      </c>
      <c r="F27" s="19">
        <f>IF(AND(OR(YearFilter="All",$E27=YearFilter),OR(RatingFilter="All",$D27=RatingFilter),OR(TypeFilter="All",$C27=TypeFilter)),1,0)</f>
        <v/>
      </c>
    </row>
    <row r="28" ht="15" customHeight="1" s="20">
      <c r="A28" s="19" t="inlineStr">
        <is>
          <t>s119</t>
        </is>
      </c>
      <c r="B28" s="19" t="inlineStr">
        <is>
          <t>Thrillers</t>
        </is>
      </c>
      <c r="C28" s="19">
        <f>IFERROR(INDEX(tblNetflix[type],MATCH($A28,tblNetflix[show_id],0)),"")</f>
        <v/>
      </c>
      <c r="D28" s="19">
        <f>IFERROR(INDEX(tblNetflix[rating],MATCH($A28,tblNetflix[show_id],0)),"")</f>
        <v/>
      </c>
      <c r="E28" s="19">
        <f>IFERROR(INDEX(tblNetflix[year_added],MATCH($A28,tblNetflix[show_id],0)),"")</f>
        <v/>
      </c>
      <c r="F28" s="19">
        <f>IF(AND(OR(YearFilter="All",$E28=YearFilter),OR(RatingFilter="All",$D28=RatingFilter),OR(TypeFilter="All",$C28=TypeFilter)),1,0)</f>
        <v/>
      </c>
    </row>
    <row r="29" ht="15" customHeight="1" s="20">
      <c r="A29" s="19" t="inlineStr">
        <is>
          <t>s127</t>
        </is>
      </c>
      <c r="B29" s="19" t="inlineStr">
        <is>
          <t>Dramas</t>
        </is>
      </c>
      <c r="C29" s="19">
        <f>IFERROR(INDEX(tblNetflix[type],MATCH($A29,tblNetflix[show_id],0)),"")</f>
        <v/>
      </c>
      <c r="D29" s="19">
        <f>IFERROR(INDEX(tblNetflix[rating],MATCH($A29,tblNetflix[show_id],0)),"")</f>
        <v/>
      </c>
      <c r="E29" s="19">
        <f>IFERROR(INDEX(tblNetflix[year_added],MATCH($A29,tblNetflix[show_id],0)),"")</f>
        <v/>
      </c>
      <c r="F29" s="19">
        <f>IF(AND(OR(YearFilter="All",$E29=YearFilter),OR(RatingFilter="All",$D29=RatingFilter),OR(TypeFilter="All",$C29=TypeFilter)),1,0)</f>
        <v/>
      </c>
    </row>
    <row r="30" ht="15" customHeight="1" s="20">
      <c r="A30" s="19" t="inlineStr">
        <is>
          <t>s127</t>
        </is>
      </c>
      <c r="B30" s="19" t="inlineStr">
        <is>
          <t>International Movies</t>
        </is>
      </c>
      <c r="C30" s="19">
        <f>IFERROR(INDEX(tblNetflix[type],MATCH($A30,tblNetflix[show_id],0)),"")</f>
        <v/>
      </c>
      <c r="D30" s="19">
        <f>IFERROR(INDEX(tblNetflix[rating],MATCH($A30,tblNetflix[show_id],0)),"")</f>
        <v/>
      </c>
      <c r="E30" s="19">
        <f>IFERROR(INDEX(tblNetflix[year_added],MATCH($A30,tblNetflix[show_id],0)),"")</f>
        <v/>
      </c>
      <c r="F30" s="19">
        <f>IF(AND(OR(YearFilter="All",$E30=YearFilter),OR(RatingFilter="All",$D30=RatingFilter),OR(TypeFilter="All",$C30=TypeFilter)),1,0)</f>
        <v/>
      </c>
    </row>
    <row r="31" ht="15" customHeight="1" s="20">
      <c r="A31" s="19" t="inlineStr">
        <is>
          <t>s127</t>
        </is>
      </c>
      <c r="B31" s="19" t="inlineStr">
        <is>
          <t>Romantic Movies</t>
        </is>
      </c>
      <c r="C31" s="19">
        <f>IFERROR(INDEX(tblNetflix[type],MATCH($A31,tblNetflix[show_id],0)),"")</f>
        <v/>
      </c>
      <c r="D31" s="19">
        <f>IFERROR(INDEX(tblNetflix[rating],MATCH($A31,tblNetflix[show_id],0)),"")</f>
        <v/>
      </c>
      <c r="E31" s="19">
        <f>IFERROR(INDEX(tblNetflix[year_added],MATCH($A31,tblNetflix[show_id],0)),"")</f>
        <v/>
      </c>
      <c r="F31" s="19">
        <f>IF(AND(OR(YearFilter="All",$E31=YearFilter),OR(RatingFilter="All",$D31=RatingFilter),OR(TypeFilter="All",$C31=TypeFilter)),1,0)</f>
        <v/>
      </c>
    </row>
    <row r="32" ht="15" customHeight="1" s="20">
      <c r="A32" s="19" t="inlineStr">
        <is>
          <t>s191</t>
        </is>
      </c>
      <c r="B32" s="19" t="inlineStr">
        <is>
          <t>Dramas</t>
        </is>
      </c>
      <c r="C32" s="19">
        <f>IFERROR(INDEX(tblNetflix[type],MATCH($A32,tblNetflix[show_id],0)),"")</f>
        <v/>
      </c>
      <c r="D32" s="19">
        <f>IFERROR(INDEX(tblNetflix[rating],MATCH($A32,tblNetflix[show_id],0)),"")</f>
        <v/>
      </c>
      <c r="E32" s="19">
        <f>IFERROR(INDEX(tblNetflix[year_added],MATCH($A32,tblNetflix[show_id],0)),"")</f>
        <v/>
      </c>
      <c r="F32" s="19">
        <f>IF(AND(OR(YearFilter="All",$E32=YearFilter),OR(RatingFilter="All",$D32=RatingFilter),OR(TypeFilter="All",$C32=TypeFilter)),1,0)</f>
        <v/>
      </c>
    </row>
    <row r="33" ht="15" customHeight="1" s="20">
      <c r="A33" s="19" t="inlineStr">
        <is>
          <t>s191</t>
        </is>
      </c>
      <c r="B33" s="19" t="inlineStr">
        <is>
          <t>International Movies</t>
        </is>
      </c>
      <c r="C33" s="19">
        <f>IFERROR(INDEX(tblNetflix[type],MATCH($A33,tblNetflix[show_id],0)),"")</f>
        <v/>
      </c>
      <c r="D33" s="19">
        <f>IFERROR(INDEX(tblNetflix[rating],MATCH($A33,tblNetflix[show_id],0)),"")</f>
        <v/>
      </c>
      <c r="E33" s="19">
        <f>IFERROR(INDEX(tblNetflix[year_added],MATCH($A33,tblNetflix[show_id],0)),"")</f>
        <v/>
      </c>
      <c r="F33" s="19">
        <f>IF(AND(OR(YearFilter="All",$E33=YearFilter),OR(RatingFilter="All",$D33=RatingFilter),OR(TypeFilter="All",$C33=TypeFilter)),1,0)</f>
        <v/>
      </c>
    </row>
    <row r="34" ht="15" customHeight="1" s="20">
      <c r="A34" s="19" t="inlineStr">
        <is>
          <t>s193</t>
        </is>
      </c>
      <c r="B34" s="19" t="inlineStr">
        <is>
          <t>Action &amp; Adventure</t>
        </is>
      </c>
      <c r="C34" s="19">
        <f>IFERROR(INDEX(tblNetflix[type],MATCH($A34,tblNetflix[show_id],0)),"")</f>
        <v/>
      </c>
      <c r="D34" s="19">
        <f>IFERROR(INDEX(tblNetflix[rating],MATCH($A34,tblNetflix[show_id],0)),"")</f>
        <v/>
      </c>
      <c r="E34" s="19">
        <f>IFERROR(INDEX(tblNetflix[year_added],MATCH($A34,tblNetflix[show_id],0)),"")</f>
        <v/>
      </c>
      <c r="F34" s="19">
        <f>IF(AND(OR(YearFilter="All",$E34=YearFilter),OR(RatingFilter="All",$D34=RatingFilter),OR(TypeFilter="All",$C34=TypeFilter)),1,0)</f>
        <v/>
      </c>
    </row>
    <row r="35" ht="15" customHeight="1" s="20">
      <c r="A35" s="19" t="inlineStr">
        <is>
          <t>s193</t>
        </is>
      </c>
      <c r="B35" s="19" t="inlineStr">
        <is>
          <t>Comedies</t>
        </is>
      </c>
      <c r="C35" s="19">
        <f>IFERROR(INDEX(tblNetflix[type],MATCH($A35,tblNetflix[show_id],0)),"")</f>
        <v/>
      </c>
      <c r="D35" s="19">
        <f>IFERROR(INDEX(tblNetflix[rating],MATCH($A35,tblNetflix[show_id],0)),"")</f>
        <v/>
      </c>
      <c r="E35" s="19">
        <f>IFERROR(INDEX(tblNetflix[year_added],MATCH($A35,tblNetflix[show_id],0)),"")</f>
        <v/>
      </c>
      <c r="F35" s="19">
        <f>IF(AND(OR(YearFilter="All",$E35=YearFilter),OR(RatingFilter="All",$D35=RatingFilter),OR(TypeFilter="All",$C35=TypeFilter)),1,0)</f>
        <v/>
      </c>
    </row>
    <row r="36" ht="15" customHeight="1" s="20">
      <c r="A36" s="19" t="inlineStr">
        <is>
          <t>s193</t>
        </is>
      </c>
      <c r="B36" s="19" t="inlineStr">
        <is>
          <t>International Movies</t>
        </is>
      </c>
      <c r="C36" s="19">
        <f>IFERROR(INDEX(tblNetflix[type],MATCH($A36,tblNetflix[show_id],0)),"")</f>
        <v/>
      </c>
      <c r="D36" s="19">
        <f>IFERROR(INDEX(tblNetflix[rating],MATCH($A36,tblNetflix[show_id],0)),"")</f>
        <v/>
      </c>
      <c r="E36" s="19">
        <f>IFERROR(INDEX(tblNetflix[year_added],MATCH($A36,tblNetflix[show_id],0)),"")</f>
        <v/>
      </c>
      <c r="F36" s="19">
        <f>IF(AND(OR(YearFilter="All",$E36=YearFilter),OR(RatingFilter="All",$D36=RatingFilter),OR(TypeFilter="All",$C36=TypeFilter)),1,0)</f>
        <v/>
      </c>
    </row>
    <row r="37" ht="15" customHeight="1" s="20">
      <c r="A37" s="19" t="inlineStr">
        <is>
          <t>s196</t>
        </is>
      </c>
      <c r="B37" s="19" t="inlineStr">
        <is>
          <t>Comedies</t>
        </is>
      </c>
      <c r="C37" s="19">
        <f>IFERROR(INDEX(tblNetflix[type],MATCH($A37,tblNetflix[show_id],0)),"")</f>
        <v/>
      </c>
      <c r="D37" s="19">
        <f>IFERROR(INDEX(tblNetflix[rating],MATCH($A37,tblNetflix[show_id],0)),"")</f>
        <v/>
      </c>
      <c r="E37" s="19">
        <f>IFERROR(INDEX(tblNetflix[year_added],MATCH($A37,tblNetflix[show_id],0)),"")</f>
        <v/>
      </c>
      <c r="F37" s="19">
        <f>IF(AND(OR(YearFilter="All",$E37=YearFilter),OR(RatingFilter="All",$D37=RatingFilter),OR(TypeFilter="All",$C37=TypeFilter)),1,0)</f>
        <v/>
      </c>
    </row>
    <row r="38" ht="15" customHeight="1" s="20">
      <c r="A38" s="19" t="inlineStr">
        <is>
          <t>s196</t>
        </is>
      </c>
      <c r="B38" s="19" t="inlineStr">
        <is>
          <t>Dramas</t>
        </is>
      </c>
      <c r="C38" s="19">
        <f>IFERROR(INDEX(tblNetflix[type],MATCH($A38,tblNetflix[show_id],0)),"")</f>
        <v/>
      </c>
      <c r="D38" s="19">
        <f>IFERROR(INDEX(tblNetflix[rating],MATCH($A38,tblNetflix[show_id],0)),"")</f>
        <v/>
      </c>
      <c r="E38" s="19">
        <f>IFERROR(INDEX(tblNetflix[year_added],MATCH($A38,tblNetflix[show_id],0)),"")</f>
        <v/>
      </c>
      <c r="F38" s="19">
        <f>IF(AND(OR(YearFilter="All",$E38=YearFilter),OR(RatingFilter="All",$D38=RatingFilter),OR(TypeFilter="All",$C38=TypeFilter)),1,0)</f>
        <v/>
      </c>
    </row>
    <row r="39" ht="15" customHeight="1" s="20">
      <c r="A39" s="19" t="inlineStr">
        <is>
          <t>s196</t>
        </is>
      </c>
      <c r="B39" s="19" t="inlineStr">
        <is>
          <t>International Movies</t>
        </is>
      </c>
      <c r="C39" s="19">
        <f>IFERROR(INDEX(tblNetflix[type],MATCH($A39,tblNetflix[show_id],0)),"")</f>
        <v/>
      </c>
      <c r="D39" s="19">
        <f>IFERROR(INDEX(tblNetflix[rating],MATCH($A39,tblNetflix[show_id],0)),"")</f>
        <v/>
      </c>
      <c r="E39" s="19">
        <f>IFERROR(INDEX(tblNetflix[year_added],MATCH($A39,tblNetflix[show_id],0)),"")</f>
        <v/>
      </c>
      <c r="F39" s="19">
        <f>IF(AND(OR(YearFilter="All",$E39=YearFilter),OR(RatingFilter="All",$D39=RatingFilter),OR(TypeFilter="All",$C39=TypeFilter)),1,0)</f>
        <v/>
      </c>
    </row>
    <row r="40" ht="15" customHeight="1" s="20">
      <c r="A40" s="19" t="inlineStr">
        <is>
          <t>s200</t>
        </is>
      </c>
      <c r="B40" s="19" t="inlineStr">
        <is>
          <t>Comedies</t>
        </is>
      </c>
      <c r="C40" s="19">
        <f>IFERROR(INDEX(tblNetflix[type],MATCH($A40,tblNetflix[show_id],0)),"")</f>
        <v/>
      </c>
      <c r="D40" s="19">
        <f>IFERROR(INDEX(tblNetflix[rating],MATCH($A40,tblNetflix[show_id],0)),"")</f>
        <v/>
      </c>
      <c r="E40" s="19">
        <f>IFERROR(INDEX(tblNetflix[year_added],MATCH($A40,tblNetflix[show_id],0)),"")</f>
        <v/>
      </c>
      <c r="F40" s="19">
        <f>IF(AND(OR(YearFilter="All",$E40=YearFilter),OR(RatingFilter="All",$D40=RatingFilter),OR(TypeFilter="All",$C40=TypeFilter)),1,0)</f>
        <v/>
      </c>
    </row>
    <row r="41" ht="15" customHeight="1" s="20">
      <c r="A41" s="19" t="inlineStr">
        <is>
          <t>s200</t>
        </is>
      </c>
      <c r="B41" s="19" t="inlineStr">
        <is>
          <t>Dramas</t>
        </is>
      </c>
      <c r="C41" s="19">
        <f>IFERROR(INDEX(tblNetflix[type],MATCH($A41,tblNetflix[show_id],0)),"")</f>
        <v/>
      </c>
      <c r="D41" s="19">
        <f>IFERROR(INDEX(tblNetflix[rating],MATCH($A41,tblNetflix[show_id],0)),"")</f>
        <v/>
      </c>
      <c r="E41" s="19">
        <f>IFERROR(INDEX(tblNetflix[year_added],MATCH($A41,tblNetflix[show_id],0)),"")</f>
        <v/>
      </c>
      <c r="F41" s="19">
        <f>IF(AND(OR(YearFilter="All",$E41=YearFilter),OR(RatingFilter="All",$D41=RatingFilter),OR(TypeFilter="All",$C41=TypeFilter)),1,0)</f>
        <v/>
      </c>
    </row>
    <row r="42" ht="15" customHeight="1" s="20">
      <c r="A42" s="19" t="inlineStr">
        <is>
          <t>s200</t>
        </is>
      </c>
      <c r="B42" s="19" t="inlineStr">
        <is>
          <t>International Movies</t>
        </is>
      </c>
      <c r="C42" s="19">
        <f>IFERROR(INDEX(tblNetflix[type],MATCH($A42,tblNetflix[show_id],0)),"")</f>
        <v/>
      </c>
      <c r="D42" s="19">
        <f>IFERROR(INDEX(tblNetflix[rating],MATCH($A42,tblNetflix[show_id],0)),"")</f>
        <v/>
      </c>
      <c r="E42" s="19">
        <f>IFERROR(INDEX(tblNetflix[year_added],MATCH($A42,tblNetflix[show_id],0)),"")</f>
        <v/>
      </c>
      <c r="F42" s="19">
        <f>IF(AND(OR(YearFilter="All",$E42=YearFilter),OR(RatingFilter="All",$D42=RatingFilter),OR(TypeFilter="All",$C42=TypeFilter)),1,0)</f>
        <v/>
      </c>
    </row>
    <row r="43" ht="15" customHeight="1" s="20">
      <c r="A43" s="19" t="inlineStr">
        <is>
          <t>s201</t>
        </is>
      </c>
      <c r="B43" s="19" t="inlineStr">
        <is>
          <t>Action &amp; Adventure</t>
        </is>
      </c>
      <c r="C43" s="19">
        <f>IFERROR(INDEX(tblNetflix[type],MATCH($A43,tblNetflix[show_id],0)),"")</f>
        <v/>
      </c>
      <c r="D43" s="19">
        <f>IFERROR(INDEX(tblNetflix[rating],MATCH($A43,tblNetflix[show_id],0)),"")</f>
        <v/>
      </c>
      <c r="E43" s="19">
        <f>IFERROR(INDEX(tblNetflix[year_added],MATCH($A43,tblNetflix[show_id],0)),"")</f>
        <v/>
      </c>
      <c r="F43" s="19">
        <f>IF(AND(OR(YearFilter="All",$E43=YearFilter),OR(RatingFilter="All",$D43=RatingFilter),OR(TypeFilter="All",$C43=TypeFilter)),1,0)</f>
        <v/>
      </c>
    </row>
    <row r="44" ht="15" customHeight="1" s="20">
      <c r="A44" s="19" t="inlineStr">
        <is>
          <t>s201</t>
        </is>
      </c>
      <c r="B44" s="19" t="inlineStr">
        <is>
          <t>Horror Movies</t>
        </is>
      </c>
      <c r="C44" s="19">
        <f>IFERROR(INDEX(tblNetflix[type],MATCH($A44,tblNetflix[show_id],0)),"")</f>
        <v/>
      </c>
      <c r="D44" s="19">
        <f>IFERROR(INDEX(tblNetflix[rating],MATCH($A44,tblNetflix[show_id],0)),"")</f>
        <v/>
      </c>
      <c r="E44" s="19">
        <f>IFERROR(INDEX(tblNetflix[year_added],MATCH($A44,tblNetflix[show_id],0)),"")</f>
        <v/>
      </c>
      <c r="F44" s="19">
        <f>IF(AND(OR(YearFilter="All",$E44=YearFilter),OR(RatingFilter="All",$D44=RatingFilter),OR(TypeFilter="All",$C44=TypeFilter)),1,0)</f>
        <v/>
      </c>
    </row>
    <row r="45" ht="15" customHeight="1" s="20">
      <c r="A45" s="19" t="inlineStr">
        <is>
          <t>s201</t>
        </is>
      </c>
      <c r="B45" s="19" t="inlineStr">
        <is>
          <t>International Movies</t>
        </is>
      </c>
      <c r="C45" s="19">
        <f>IFERROR(INDEX(tblNetflix[type],MATCH($A45,tblNetflix[show_id],0)),"")</f>
        <v/>
      </c>
      <c r="D45" s="19">
        <f>IFERROR(INDEX(tblNetflix[rating],MATCH($A45,tblNetflix[show_id],0)),"")</f>
        <v/>
      </c>
      <c r="E45" s="19">
        <f>IFERROR(INDEX(tblNetflix[year_added],MATCH($A45,tblNetflix[show_id],0)),"")</f>
        <v/>
      </c>
      <c r="F45" s="19">
        <f>IF(AND(OR(YearFilter="All",$E45=YearFilter),OR(RatingFilter="All",$D45=RatingFilter),OR(TypeFilter="All",$C45=TypeFilter)),1,0)</f>
        <v/>
      </c>
    </row>
    <row r="46" ht="15" customHeight="1" s="20">
      <c r="A46" s="19" t="inlineStr">
        <is>
          <t>s202</t>
        </is>
      </c>
      <c r="B46" s="19" t="inlineStr">
        <is>
          <t>Dramas</t>
        </is>
      </c>
      <c r="C46" s="19">
        <f>IFERROR(INDEX(tblNetflix[type],MATCH($A46,tblNetflix[show_id],0)),"")</f>
        <v/>
      </c>
      <c r="D46" s="19">
        <f>IFERROR(INDEX(tblNetflix[rating],MATCH($A46,tblNetflix[show_id],0)),"")</f>
        <v/>
      </c>
      <c r="E46" s="19">
        <f>IFERROR(INDEX(tblNetflix[year_added],MATCH($A46,tblNetflix[show_id],0)),"")</f>
        <v/>
      </c>
      <c r="F46" s="19">
        <f>IF(AND(OR(YearFilter="All",$E46=YearFilter),OR(RatingFilter="All",$D46=RatingFilter),OR(TypeFilter="All",$C46=TypeFilter)),1,0)</f>
        <v/>
      </c>
    </row>
    <row r="47" ht="15" customHeight="1" s="20">
      <c r="A47" s="19" t="inlineStr">
        <is>
          <t>s202</t>
        </is>
      </c>
      <c r="B47" s="19" t="inlineStr">
        <is>
          <t>International Movies</t>
        </is>
      </c>
      <c r="C47" s="19">
        <f>IFERROR(INDEX(tblNetflix[type],MATCH($A47,tblNetflix[show_id],0)),"")</f>
        <v/>
      </c>
      <c r="D47" s="19">
        <f>IFERROR(INDEX(tblNetflix[rating],MATCH($A47,tblNetflix[show_id],0)),"")</f>
        <v/>
      </c>
      <c r="E47" s="19">
        <f>IFERROR(INDEX(tblNetflix[year_added],MATCH($A47,tblNetflix[show_id],0)),"")</f>
        <v/>
      </c>
      <c r="F47" s="19">
        <f>IF(AND(OR(YearFilter="All",$E47=YearFilter),OR(RatingFilter="All",$D47=RatingFilter),OR(TypeFilter="All",$C47=TypeFilter)),1,0)</f>
        <v/>
      </c>
    </row>
    <row r="48" ht="15" customHeight="1" s="20">
      <c r="A48" s="19" t="inlineStr">
        <is>
          <t>s202</t>
        </is>
      </c>
      <c r="B48" s="19" t="inlineStr">
        <is>
          <t>Thrillers</t>
        </is>
      </c>
      <c r="C48" s="19">
        <f>IFERROR(INDEX(tblNetflix[type],MATCH($A48,tblNetflix[show_id],0)),"")</f>
        <v/>
      </c>
      <c r="D48" s="19">
        <f>IFERROR(INDEX(tblNetflix[rating],MATCH($A48,tblNetflix[show_id],0)),"")</f>
        <v/>
      </c>
      <c r="E48" s="19">
        <f>IFERROR(INDEX(tblNetflix[year_added],MATCH($A48,tblNetflix[show_id],0)),"")</f>
        <v/>
      </c>
      <c r="F48" s="19">
        <f>IF(AND(OR(YearFilter="All",$E48=YearFilter),OR(RatingFilter="All",$D48=RatingFilter),OR(TypeFilter="All",$C48=TypeFilter)),1,0)</f>
        <v/>
      </c>
    </row>
    <row r="49" ht="15" customHeight="1" s="20">
      <c r="A49" s="19" t="inlineStr">
        <is>
          <t>s203</t>
        </is>
      </c>
      <c r="B49" s="19" t="inlineStr">
        <is>
          <t>Comedies</t>
        </is>
      </c>
      <c r="C49" s="19">
        <f>IFERROR(INDEX(tblNetflix[type],MATCH($A49,tblNetflix[show_id],0)),"")</f>
        <v/>
      </c>
      <c r="D49" s="19">
        <f>IFERROR(INDEX(tblNetflix[rating],MATCH($A49,tblNetflix[show_id],0)),"")</f>
        <v/>
      </c>
      <c r="E49" s="19">
        <f>IFERROR(INDEX(tblNetflix[year_added],MATCH($A49,tblNetflix[show_id],0)),"")</f>
        <v/>
      </c>
      <c r="F49" s="19">
        <f>IF(AND(OR(YearFilter="All",$E49=YearFilter),OR(RatingFilter="All",$D49=RatingFilter),OR(TypeFilter="All",$C49=TypeFilter)),1,0)</f>
        <v/>
      </c>
    </row>
    <row r="50" ht="15" customHeight="1" s="20">
      <c r="A50" s="19" t="inlineStr">
        <is>
          <t>s203</t>
        </is>
      </c>
      <c r="B50" s="19" t="inlineStr">
        <is>
          <t>International Movies</t>
        </is>
      </c>
      <c r="C50" s="19">
        <f>IFERROR(INDEX(tblNetflix[type],MATCH($A50,tblNetflix[show_id],0)),"")</f>
        <v/>
      </c>
      <c r="D50" s="19">
        <f>IFERROR(INDEX(tblNetflix[rating],MATCH($A50,tblNetflix[show_id],0)),"")</f>
        <v/>
      </c>
      <c r="E50" s="19">
        <f>IFERROR(INDEX(tblNetflix[year_added],MATCH($A50,tblNetflix[show_id],0)),"")</f>
        <v/>
      </c>
      <c r="F50" s="19">
        <f>IF(AND(OR(YearFilter="All",$E50=YearFilter),OR(RatingFilter="All",$D50=RatingFilter),OR(TypeFilter="All",$C50=TypeFilter)),1,0)</f>
        <v/>
      </c>
    </row>
    <row r="51" ht="15" customHeight="1" s="20">
      <c r="A51" s="19" t="inlineStr">
        <is>
          <t>s203</t>
        </is>
      </c>
      <c r="B51" s="19" t="inlineStr">
        <is>
          <t>Music &amp; Musicals</t>
        </is>
      </c>
      <c r="C51" s="19">
        <f>IFERROR(INDEX(tblNetflix[type],MATCH($A51,tblNetflix[show_id],0)),"")</f>
        <v/>
      </c>
      <c r="D51" s="19">
        <f>IFERROR(INDEX(tblNetflix[rating],MATCH($A51,tblNetflix[show_id],0)),"")</f>
        <v/>
      </c>
      <c r="E51" s="19">
        <f>IFERROR(INDEX(tblNetflix[year_added],MATCH($A51,tblNetflix[show_id],0)),"")</f>
        <v/>
      </c>
      <c r="F51" s="19">
        <f>IF(AND(OR(YearFilter="All",$E51=YearFilter),OR(RatingFilter="All",$D51=RatingFilter),OR(TypeFilter="All",$C51=TypeFilter)),1,0)</f>
        <v/>
      </c>
    </row>
    <row r="52" ht="15" customHeight="1" s="20">
      <c r="A52" s="19" t="inlineStr">
        <is>
          <t>s204</t>
        </is>
      </c>
      <c r="B52" s="19" t="inlineStr">
        <is>
          <t>Comedies</t>
        </is>
      </c>
      <c r="C52" s="19">
        <f>IFERROR(INDEX(tblNetflix[type],MATCH($A52,tblNetflix[show_id],0)),"")</f>
        <v/>
      </c>
      <c r="D52" s="19">
        <f>IFERROR(INDEX(tblNetflix[rating],MATCH($A52,tblNetflix[show_id],0)),"")</f>
        <v/>
      </c>
      <c r="E52" s="19">
        <f>IFERROR(INDEX(tblNetflix[year_added],MATCH($A52,tblNetflix[show_id],0)),"")</f>
        <v/>
      </c>
      <c r="F52" s="19">
        <f>IF(AND(OR(YearFilter="All",$E52=YearFilter),OR(RatingFilter="All",$D52=RatingFilter),OR(TypeFilter="All",$C52=TypeFilter)),1,0)</f>
        <v/>
      </c>
    </row>
    <row r="53" ht="15" customHeight="1" s="20">
      <c r="A53" s="19" t="inlineStr">
        <is>
          <t>s204</t>
        </is>
      </c>
      <c r="B53" s="19" t="inlineStr">
        <is>
          <t>International Movies</t>
        </is>
      </c>
      <c r="C53" s="19">
        <f>IFERROR(INDEX(tblNetflix[type],MATCH($A53,tblNetflix[show_id],0)),"")</f>
        <v/>
      </c>
      <c r="D53" s="19">
        <f>IFERROR(INDEX(tblNetflix[rating],MATCH($A53,tblNetflix[show_id],0)),"")</f>
        <v/>
      </c>
      <c r="E53" s="19">
        <f>IFERROR(INDEX(tblNetflix[year_added],MATCH($A53,tblNetflix[show_id],0)),"")</f>
        <v/>
      </c>
      <c r="F53" s="19">
        <f>IF(AND(OR(YearFilter="All",$E53=YearFilter),OR(RatingFilter="All",$D53=RatingFilter),OR(TypeFilter="All",$C53=TypeFilter)),1,0)</f>
        <v/>
      </c>
    </row>
    <row r="54" ht="15" customHeight="1" s="20">
      <c r="A54" s="19" t="inlineStr">
        <is>
          <t>s205</t>
        </is>
      </c>
      <c r="B54" s="19" t="inlineStr">
        <is>
          <t>Comedies</t>
        </is>
      </c>
      <c r="C54" s="19">
        <f>IFERROR(INDEX(tblNetflix[type],MATCH($A54,tblNetflix[show_id],0)),"")</f>
        <v/>
      </c>
      <c r="D54" s="19">
        <f>IFERROR(INDEX(tblNetflix[rating],MATCH($A54,tblNetflix[show_id],0)),"")</f>
        <v/>
      </c>
      <c r="E54" s="19">
        <f>IFERROR(INDEX(tblNetflix[year_added],MATCH($A54,tblNetflix[show_id],0)),"")</f>
        <v/>
      </c>
      <c r="F54" s="19">
        <f>IF(AND(OR(YearFilter="All",$E54=YearFilter),OR(RatingFilter="All",$D54=RatingFilter),OR(TypeFilter="All",$C54=TypeFilter)),1,0)</f>
        <v/>
      </c>
    </row>
    <row r="55" ht="15" customHeight="1" s="20">
      <c r="A55" s="19" t="inlineStr">
        <is>
          <t>s205</t>
        </is>
      </c>
      <c r="B55" s="19" t="inlineStr">
        <is>
          <t>International Movies</t>
        </is>
      </c>
      <c r="C55" s="19">
        <f>IFERROR(INDEX(tblNetflix[type],MATCH($A55,tblNetflix[show_id],0)),"")</f>
        <v/>
      </c>
      <c r="D55" s="19">
        <f>IFERROR(INDEX(tblNetflix[rating],MATCH($A55,tblNetflix[show_id],0)),"")</f>
        <v/>
      </c>
      <c r="E55" s="19">
        <f>IFERROR(INDEX(tblNetflix[year_added],MATCH($A55,tblNetflix[show_id],0)),"")</f>
        <v/>
      </c>
      <c r="F55" s="19">
        <f>IF(AND(OR(YearFilter="All",$E55=YearFilter),OR(RatingFilter="All",$D55=RatingFilter),OR(TypeFilter="All",$C55=TypeFilter)),1,0)</f>
        <v/>
      </c>
    </row>
    <row r="56" ht="15" customHeight="1" s="20">
      <c r="A56" s="19" t="inlineStr">
        <is>
          <t>s206</t>
        </is>
      </c>
      <c r="B56" s="19" t="inlineStr">
        <is>
          <t>Comedies</t>
        </is>
      </c>
      <c r="C56" s="19">
        <f>IFERROR(INDEX(tblNetflix[type],MATCH($A56,tblNetflix[show_id],0)),"")</f>
        <v/>
      </c>
      <c r="D56" s="19">
        <f>IFERROR(INDEX(tblNetflix[rating],MATCH($A56,tblNetflix[show_id],0)),"")</f>
        <v/>
      </c>
      <c r="E56" s="19">
        <f>IFERROR(INDEX(tblNetflix[year_added],MATCH($A56,tblNetflix[show_id],0)),"")</f>
        <v/>
      </c>
      <c r="F56" s="19">
        <f>IF(AND(OR(YearFilter="All",$E56=YearFilter),OR(RatingFilter="All",$D56=RatingFilter),OR(TypeFilter="All",$C56=TypeFilter)),1,0)</f>
        <v/>
      </c>
    </row>
    <row r="57" ht="15" customHeight="1" s="20">
      <c r="A57" s="19" t="inlineStr">
        <is>
          <t>s206</t>
        </is>
      </c>
      <c r="B57" s="19" t="inlineStr">
        <is>
          <t>International Movies</t>
        </is>
      </c>
      <c r="C57" s="19">
        <f>IFERROR(INDEX(tblNetflix[type],MATCH($A57,tblNetflix[show_id],0)),"")</f>
        <v/>
      </c>
      <c r="D57" s="19">
        <f>IFERROR(INDEX(tblNetflix[rating],MATCH($A57,tblNetflix[show_id],0)),"")</f>
        <v/>
      </c>
      <c r="E57" s="19">
        <f>IFERROR(INDEX(tblNetflix[year_added],MATCH($A57,tblNetflix[show_id],0)),"")</f>
        <v/>
      </c>
      <c r="F57" s="19">
        <f>IF(AND(OR(YearFilter="All",$E57=YearFilter),OR(RatingFilter="All",$D57=RatingFilter),OR(TypeFilter="All",$C57=TypeFilter)),1,0)</f>
        <v/>
      </c>
    </row>
    <row r="58" ht="15" customHeight="1" s="20">
      <c r="A58" s="19" t="inlineStr">
        <is>
          <t>s206</t>
        </is>
      </c>
      <c r="B58" s="19" t="inlineStr">
        <is>
          <t>Sci-Fi &amp; Fantasy</t>
        </is>
      </c>
      <c r="C58" s="19">
        <f>IFERROR(INDEX(tblNetflix[type],MATCH($A58,tblNetflix[show_id],0)),"")</f>
        <v/>
      </c>
      <c r="D58" s="19">
        <f>IFERROR(INDEX(tblNetflix[rating],MATCH($A58,tblNetflix[show_id],0)),"")</f>
        <v/>
      </c>
      <c r="E58" s="19">
        <f>IFERROR(INDEX(tblNetflix[year_added],MATCH($A58,tblNetflix[show_id],0)),"")</f>
        <v/>
      </c>
      <c r="F58" s="19">
        <f>IF(AND(OR(YearFilter="All",$E58=YearFilter),OR(RatingFilter="All",$D58=RatingFilter),OR(TypeFilter="All",$C58=TypeFilter)),1,0)</f>
        <v/>
      </c>
    </row>
    <row r="59" ht="15" customHeight="1" s="20">
      <c r="A59" s="19" t="inlineStr">
        <is>
          <t>s207</t>
        </is>
      </c>
      <c r="B59" s="19" t="inlineStr">
        <is>
          <t>Dramas</t>
        </is>
      </c>
      <c r="C59" s="19">
        <f>IFERROR(INDEX(tblNetflix[type],MATCH($A59,tblNetflix[show_id],0)),"")</f>
        <v/>
      </c>
      <c r="D59" s="19">
        <f>IFERROR(INDEX(tblNetflix[rating],MATCH($A59,tblNetflix[show_id],0)),"")</f>
        <v/>
      </c>
      <c r="E59" s="19">
        <f>IFERROR(INDEX(tblNetflix[year_added],MATCH($A59,tblNetflix[show_id],0)),"")</f>
        <v/>
      </c>
      <c r="F59" s="19">
        <f>IF(AND(OR(YearFilter="All",$E59=YearFilter),OR(RatingFilter="All",$D59=RatingFilter),OR(TypeFilter="All",$C59=TypeFilter)),1,0)</f>
        <v/>
      </c>
    </row>
    <row r="60" ht="15" customHeight="1" s="20">
      <c r="A60" s="19" t="inlineStr">
        <is>
          <t>s207</t>
        </is>
      </c>
      <c r="B60" s="19" t="inlineStr">
        <is>
          <t>Independent Movies</t>
        </is>
      </c>
      <c r="C60" s="19">
        <f>IFERROR(INDEX(tblNetflix[type],MATCH($A60,tblNetflix[show_id],0)),"")</f>
        <v/>
      </c>
      <c r="D60" s="19">
        <f>IFERROR(INDEX(tblNetflix[rating],MATCH($A60,tblNetflix[show_id],0)),"")</f>
        <v/>
      </c>
      <c r="E60" s="19">
        <f>IFERROR(INDEX(tblNetflix[year_added],MATCH($A60,tblNetflix[show_id],0)),"")</f>
        <v/>
      </c>
      <c r="F60" s="19">
        <f>IF(AND(OR(YearFilter="All",$E60=YearFilter),OR(RatingFilter="All",$D60=RatingFilter),OR(TypeFilter="All",$C60=TypeFilter)),1,0)</f>
        <v/>
      </c>
    </row>
    <row r="61" ht="15" customHeight="1" s="20">
      <c r="A61" s="19" t="inlineStr">
        <is>
          <t>s207</t>
        </is>
      </c>
      <c r="B61" s="19" t="inlineStr">
        <is>
          <t>International Movies</t>
        </is>
      </c>
      <c r="C61" s="19">
        <f>IFERROR(INDEX(tblNetflix[type],MATCH($A61,tblNetflix[show_id],0)),"")</f>
        <v/>
      </c>
      <c r="D61" s="19">
        <f>IFERROR(INDEX(tblNetflix[rating],MATCH($A61,tblNetflix[show_id],0)),"")</f>
        <v/>
      </c>
      <c r="E61" s="19">
        <f>IFERROR(INDEX(tblNetflix[year_added],MATCH($A61,tblNetflix[show_id],0)),"")</f>
        <v/>
      </c>
      <c r="F61" s="19">
        <f>IF(AND(OR(YearFilter="All",$E61=YearFilter),OR(RatingFilter="All",$D61=RatingFilter),OR(TypeFilter="All",$C61=TypeFilter)),1,0)</f>
        <v/>
      </c>
    </row>
    <row r="62" ht="15" customHeight="1" s="20">
      <c r="A62" s="19" t="inlineStr">
        <is>
          <t>s208</t>
        </is>
      </c>
      <c r="B62" s="19" t="inlineStr">
        <is>
          <t>Action &amp; Adventure</t>
        </is>
      </c>
      <c r="C62" s="19">
        <f>IFERROR(INDEX(tblNetflix[type],MATCH($A62,tblNetflix[show_id],0)),"")</f>
        <v/>
      </c>
      <c r="D62" s="19">
        <f>IFERROR(INDEX(tblNetflix[rating],MATCH($A62,tblNetflix[show_id],0)),"")</f>
        <v/>
      </c>
      <c r="E62" s="19">
        <f>IFERROR(INDEX(tblNetflix[year_added],MATCH($A62,tblNetflix[show_id],0)),"")</f>
        <v/>
      </c>
      <c r="F62" s="19">
        <f>IF(AND(OR(YearFilter="All",$E62=YearFilter),OR(RatingFilter="All",$D62=RatingFilter),OR(TypeFilter="All",$C62=TypeFilter)),1,0)</f>
        <v/>
      </c>
    </row>
    <row r="63" ht="15" customHeight="1" s="20">
      <c r="A63" s="19" t="inlineStr">
        <is>
          <t>s208</t>
        </is>
      </c>
      <c r="B63" s="19" t="inlineStr">
        <is>
          <t>International Movies</t>
        </is>
      </c>
      <c r="C63" s="19">
        <f>IFERROR(INDEX(tblNetflix[type],MATCH($A63,tblNetflix[show_id],0)),"")</f>
        <v/>
      </c>
      <c r="D63" s="19">
        <f>IFERROR(INDEX(tblNetflix[rating],MATCH($A63,tblNetflix[show_id],0)),"")</f>
        <v/>
      </c>
      <c r="E63" s="19">
        <f>IFERROR(INDEX(tblNetflix[year_added],MATCH($A63,tblNetflix[show_id],0)),"")</f>
        <v/>
      </c>
      <c r="F63" s="19">
        <f>IF(AND(OR(YearFilter="All",$E63=YearFilter),OR(RatingFilter="All",$D63=RatingFilter),OR(TypeFilter="All",$C63=TypeFilter)),1,0)</f>
        <v/>
      </c>
    </row>
    <row r="64" ht="15" customHeight="1" s="20">
      <c r="A64" s="19" t="inlineStr">
        <is>
          <t>s208</t>
        </is>
      </c>
      <c r="B64" s="19" t="inlineStr">
        <is>
          <t>Music &amp; Musicals</t>
        </is>
      </c>
      <c r="C64" s="19">
        <f>IFERROR(INDEX(tblNetflix[type],MATCH($A64,tblNetflix[show_id],0)),"")</f>
        <v/>
      </c>
      <c r="D64" s="19">
        <f>IFERROR(INDEX(tblNetflix[rating],MATCH($A64,tblNetflix[show_id],0)),"")</f>
        <v/>
      </c>
      <c r="E64" s="19">
        <f>IFERROR(INDEX(tblNetflix[year_added],MATCH($A64,tblNetflix[show_id],0)),"")</f>
        <v/>
      </c>
      <c r="F64" s="19">
        <f>IF(AND(OR(YearFilter="All",$E64=YearFilter),OR(RatingFilter="All",$D64=RatingFilter),OR(TypeFilter="All",$C64=TypeFilter)),1,0)</f>
        <v/>
      </c>
    </row>
    <row r="65" ht="15" customHeight="1" s="20">
      <c r="A65" s="19" t="inlineStr">
        <is>
          <t>s209</t>
        </is>
      </c>
      <c r="B65" s="19" t="inlineStr">
        <is>
          <t>Dramas</t>
        </is>
      </c>
      <c r="C65" s="19">
        <f>IFERROR(INDEX(tblNetflix[type],MATCH($A65,tblNetflix[show_id],0)),"")</f>
        <v/>
      </c>
      <c r="D65" s="19">
        <f>IFERROR(INDEX(tblNetflix[rating],MATCH($A65,tblNetflix[show_id],0)),"")</f>
        <v/>
      </c>
      <c r="E65" s="19">
        <f>IFERROR(INDEX(tblNetflix[year_added],MATCH($A65,tblNetflix[show_id],0)),"")</f>
        <v/>
      </c>
      <c r="F65" s="19">
        <f>IF(AND(OR(YearFilter="All",$E65=YearFilter),OR(RatingFilter="All",$D65=RatingFilter),OR(TypeFilter="All",$C65=TypeFilter)),1,0)</f>
        <v/>
      </c>
    </row>
    <row r="66" ht="15" customHeight="1" s="20">
      <c r="A66" s="19" t="inlineStr">
        <is>
          <t>s209</t>
        </is>
      </c>
      <c r="B66" s="19" t="inlineStr">
        <is>
          <t>International Movies</t>
        </is>
      </c>
      <c r="C66" s="19">
        <f>IFERROR(INDEX(tblNetflix[type],MATCH($A66,tblNetflix[show_id],0)),"")</f>
        <v/>
      </c>
      <c r="D66" s="19">
        <f>IFERROR(INDEX(tblNetflix[rating],MATCH($A66,tblNetflix[show_id],0)),"")</f>
        <v/>
      </c>
      <c r="E66" s="19">
        <f>IFERROR(INDEX(tblNetflix[year_added],MATCH($A66,tblNetflix[show_id],0)),"")</f>
        <v/>
      </c>
      <c r="F66" s="19">
        <f>IF(AND(OR(YearFilter="All",$E66=YearFilter),OR(RatingFilter="All",$D66=RatingFilter),OR(TypeFilter="All",$C66=TypeFilter)),1,0)</f>
        <v/>
      </c>
    </row>
    <row r="67" ht="15" customHeight="1" s="20">
      <c r="A67" s="19" t="inlineStr">
        <is>
          <t>s209</t>
        </is>
      </c>
      <c r="B67" s="19" t="inlineStr">
        <is>
          <t>Music &amp; Musicals</t>
        </is>
      </c>
      <c r="C67" s="19">
        <f>IFERROR(INDEX(tblNetflix[type],MATCH($A67,tblNetflix[show_id],0)),"")</f>
        <v/>
      </c>
      <c r="D67" s="19">
        <f>IFERROR(INDEX(tblNetflix[rating],MATCH($A67,tblNetflix[show_id],0)),"")</f>
        <v/>
      </c>
      <c r="E67" s="19">
        <f>IFERROR(INDEX(tblNetflix[year_added],MATCH($A67,tblNetflix[show_id],0)),"")</f>
        <v/>
      </c>
      <c r="F67" s="19">
        <f>IF(AND(OR(YearFilter="All",$E67=YearFilter),OR(RatingFilter="All",$D67=RatingFilter),OR(TypeFilter="All",$C67=TypeFilter)),1,0)</f>
        <v/>
      </c>
    </row>
    <row r="68" ht="15" customHeight="1" s="20">
      <c r="A68" s="19" t="inlineStr">
        <is>
          <t>s210</t>
        </is>
      </c>
      <c r="B68" s="19" t="inlineStr">
        <is>
          <t>Dramas</t>
        </is>
      </c>
      <c r="C68" s="19">
        <f>IFERROR(INDEX(tblNetflix[type],MATCH($A68,tblNetflix[show_id],0)),"")</f>
        <v/>
      </c>
      <c r="D68" s="19">
        <f>IFERROR(INDEX(tblNetflix[rating],MATCH($A68,tblNetflix[show_id],0)),"")</f>
        <v/>
      </c>
      <c r="E68" s="19">
        <f>IFERROR(INDEX(tblNetflix[year_added],MATCH($A68,tblNetflix[show_id],0)),"")</f>
        <v/>
      </c>
      <c r="F68" s="19">
        <f>IF(AND(OR(YearFilter="All",$E68=YearFilter),OR(RatingFilter="All",$D68=RatingFilter),OR(TypeFilter="All",$C68=TypeFilter)),1,0)</f>
        <v/>
      </c>
    </row>
    <row r="69" ht="15" customHeight="1" s="20">
      <c r="A69" s="19" t="inlineStr">
        <is>
          <t>s210</t>
        </is>
      </c>
      <c r="B69" s="19" t="inlineStr">
        <is>
          <t>International Movies</t>
        </is>
      </c>
      <c r="C69" s="19">
        <f>IFERROR(INDEX(tblNetflix[type],MATCH($A69,tblNetflix[show_id],0)),"")</f>
        <v/>
      </c>
      <c r="D69" s="19">
        <f>IFERROR(INDEX(tblNetflix[rating],MATCH($A69,tblNetflix[show_id],0)),"")</f>
        <v/>
      </c>
      <c r="E69" s="19">
        <f>IFERROR(INDEX(tblNetflix[year_added],MATCH($A69,tblNetflix[show_id],0)),"")</f>
        <v/>
      </c>
      <c r="F69" s="19">
        <f>IF(AND(OR(YearFilter="All",$E69=YearFilter),OR(RatingFilter="All",$D69=RatingFilter),OR(TypeFilter="All",$C69=TypeFilter)),1,0)</f>
        <v/>
      </c>
    </row>
    <row r="70" ht="15" customHeight="1" s="20">
      <c r="A70" s="19" t="inlineStr">
        <is>
          <t>s210</t>
        </is>
      </c>
      <c r="B70" s="19" t="inlineStr">
        <is>
          <t>Music &amp; Musicals</t>
        </is>
      </c>
      <c r="C70" s="19">
        <f>IFERROR(INDEX(tblNetflix[type],MATCH($A70,tblNetflix[show_id],0)),"")</f>
        <v/>
      </c>
      <c r="D70" s="19">
        <f>IFERROR(INDEX(tblNetflix[rating],MATCH($A70,tblNetflix[show_id],0)),"")</f>
        <v/>
      </c>
      <c r="E70" s="19">
        <f>IFERROR(INDEX(tblNetflix[year_added],MATCH($A70,tblNetflix[show_id],0)),"")</f>
        <v/>
      </c>
      <c r="F70" s="19">
        <f>IF(AND(OR(YearFilter="All",$E70=YearFilter),OR(RatingFilter="All",$D70=RatingFilter),OR(TypeFilter="All",$C70=TypeFilter)),1,0)</f>
        <v/>
      </c>
    </row>
    <row r="71" ht="15" customHeight="1" s="20">
      <c r="A71" s="19" t="inlineStr">
        <is>
          <t>s211</t>
        </is>
      </c>
      <c r="B71" s="19" t="inlineStr">
        <is>
          <t>Horror Movies</t>
        </is>
      </c>
      <c r="C71" s="19">
        <f>IFERROR(INDEX(tblNetflix[type],MATCH($A71,tblNetflix[show_id],0)),"")</f>
        <v/>
      </c>
      <c r="D71" s="19">
        <f>IFERROR(INDEX(tblNetflix[rating],MATCH($A71,tblNetflix[show_id],0)),"")</f>
        <v/>
      </c>
      <c r="E71" s="19">
        <f>IFERROR(INDEX(tblNetflix[year_added],MATCH($A71,tblNetflix[show_id],0)),"")</f>
        <v/>
      </c>
      <c r="F71" s="19">
        <f>IF(AND(OR(YearFilter="All",$E71=YearFilter),OR(RatingFilter="All",$D71=RatingFilter),OR(TypeFilter="All",$C71=TypeFilter)),1,0)</f>
        <v/>
      </c>
    </row>
    <row r="72" ht="15" customHeight="1" s="20">
      <c r="A72" s="19" t="inlineStr">
        <is>
          <t>s211</t>
        </is>
      </c>
      <c r="B72" s="19" t="inlineStr">
        <is>
          <t>International Movies</t>
        </is>
      </c>
      <c r="C72" s="19">
        <f>IFERROR(INDEX(tblNetflix[type],MATCH($A72,tblNetflix[show_id],0)),"")</f>
        <v/>
      </c>
      <c r="D72" s="19">
        <f>IFERROR(INDEX(tblNetflix[rating],MATCH($A72,tblNetflix[show_id],0)),"")</f>
        <v/>
      </c>
      <c r="E72" s="19">
        <f>IFERROR(INDEX(tblNetflix[year_added],MATCH($A72,tblNetflix[show_id],0)),"")</f>
        <v/>
      </c>
      <c r="F72" s="19">
        <f>IF(AND(OR(YearFilter="All",$E72=YearFilter),OR(RatingFilter="All",$D72=RatingFilter),OR(TypeFilter="All",$C72=TypeFilter)),1,0)</f>
        <v/>
      </c>
    </row>
    <row r="73" ht="15" customHeight="1" s="20">
      <c r="A73" s="19" t="inlineStr">
        <is>
          <t>s212</t>
        </is>
      </c>
      <c r="B73" s="19" t="inlineStr">
        <is>
          <t>Horror Movies</t>
        </is>
      </c>
      <c r="C73" s="19">
        <f>IFERROR(INDEX(tblNetflix[type],MATCH($A73,tblNetflix[show_id],0)),"")</f>
        <v/>
      </c>
      <c r="D73" s="19">
        <f>IFERROR(INDEX(tblNetflix[rating],MATCH($A73,tblNetflix[show_id],0)),"")</f>
        <v/>
      </c>
      <c r="E73" s="19">
        <f>IFERROR(INDEX(tblNetflix[year_added],MATCH($A73,tblNetflix[show_id],0)),"")</f>
        <v/>
      </c>
      <c r="F73" s="19">
        <f>IF(AND(OR(YearFilter="All",$E73=YearFilter),OR(RatingFilter="All",$D73=RatingFilter),OR(TypeFilter="All",$C73=TypeFilter)),1,0)</f>
        <v/>
      </c>
    </row>
    <row r="74" ht="15" customHeight="1" s="20">
      <c r="A74" s="19" t="inlineStr">
        <is>
          <t>s212</t>
        </is>
      </c>
      <c r="B74" s="19" t="inlineStr">
        <is>
          <t>International Movies</t>
        </is>
      </c>
      <c r="C74" s="19">
        <f>IFERROR(INDEX(tblNetflix[type],MATCH($A74,tblNetflix[show_id],0)),"")</f>
        <v/>
      </c>
      <c r="D74" s="19">
        <f>IFERROR(INDEX(tblNetflix[rating],MATCH($A74,tblNetflix[show_id],0)),"")</f>
        <v/>
      </c>
      <c r="E74" s="19">
        <f>IFERROR(INDEX(tblNetflix[year_added],MATCH($A74,tblNetflix[show_id],0)),"")</f>
        <v/>
      </c>
      <c r="F74" s="19">
        <f>IF(AND(OR(YearFilter="All",$E74=YearFilter),OR(RatingFilter="All",$D74=RatingFilter),OR(TypeFilter="All",$C74=TypeFilter)),1,0)</f>
        <v/>
      </c>
    </row>
    <row r="75" ht="15" customHeight="1" s="20">
      <c r="A75" s="19" t="inlineStr">
        <is>
          <t>s216</t>
        </is>
      </c>
      <c r="B75" s="19" t="inlineStr">
        <is>
          <t>Action &amp; Adventure</t>
        </is>
      </c>
      <c r="C75" s="19">
        <f>IFERROR(INDEX(tblNetflix[type],MATCH($A75,tblNetflix[show_id],0)),"")</f>
        <v/>
      </c>
      <c r="D75" s="19">
        <f>IFERROR(INDEX(tblNetflix[rating],MATCH($A75,tblNetflix[show_id],0)),"")</f>
        <v/>
      </c>
      <c r="E75" s="19">
        <f>IFERROR(INDEX(tblNetflix[year_added],MATCH($A75,tblNetflix[show_id],0)),"")</f>
        <v/>
      </c>
      <c r="F75" s="19">
        <f>IF(AND(OR(YearFilter="All",$E75=YearFilter),OR(RatingFilter="All",$D75=RatingFilter),OR(TypeFilter="All",$C75=TypeFilter)),1,0)</f>
        <v/>
      </c>
    </row>
    <row r="76" ht="15" customHeight="1" s="20">
      <c r="A76" s="19" t="inlineStr">
        <is>
          <t>s216</t>
        </is>
      </c>
      <c r="B76" s="19" t="inlineStr">
        <is>
          <t>Dramas</t>
        </is>
      </c>
      <c r="C76" s="19">
        <f>IFERROR(INDEX(tblNetflix[type],MATCH($A76,tblNetflix[show_id],0)),"")</f>
        <v/>
      </c>
      <c r="D76" s="19">
        <f>IFERROR(INDEX(tblNetflix[rating],MATCH($A76,tblNetflix[show_id],0)),"")</f>
        <v/>
      </c>
      <c r="E76" s="19">
        <f>IFERROR(INDEX(tblNetflix[year_added],MATCH($A76,tblNetflix[show_id],0)),"")</f>
        <v/>
      </c>
      <c r="F76" s="19">
        <f>IF(AND(OR(YearFilter="All",$E76=YearFilter),OR(RatingFilter="All",$D76=RatingFilter),OR(TypeFilter="All",$C76=TypeFilter)),1,0)</f>
        <v/>
      </c>
    </row>
    <row r="77" ht="15" customHeight="1" s="20">
      <c r="A77" s="19" t="inlineStr">
        <is>
          <t>s216</t>
        </is>
      </c>
      <c r="B77" s="19" t="inlineStr">
        <is>
          <t>International Movies</t>
        </is>
      </c>
      <c r="C77" s="19">
        <f>IFERROR(INDEX(tblNetflix[type],MATCH($A77,tblNetflix[show_id],0)),"")</f>
        <v/>
      </c>
      <c r="D77" s="19">
        <f>IFERROR(INDEX(tblNetflix[rating],MATCH($A77,tblNetflix[show_id],0)),"")</f>
        <v/>
      </c>
      <c r="E77" s="19">
        <f>IFERROR(INDEX(tblNetflix[year_added],MATCH($A77,tblNetflix[show_id],0)),"")</f>
        <v/>
      </c>
      <c r="F77" s="19">
        <f>IF(AND(OR(YearFilter="All",$E77=YearFilter),OR(RatingFilter="All",$D77=RatingFilter),OR(TypeFilter="All",$C77=TypeFilter)),1,0)</f>
        <v/>
      </c>
    </row>
    <row r="78" ht="15" customHeight="1" s="20">
      <c r="A78" s="19" t="inlineStr">
        <is>
          <t>s217</t>
        </is>
      </c>
      <c r="B78" s="19" t="inlineStr">
        <is>
          <t>Comedies</t>
        </is>
      </c>
      <c r="C78" s="19">
        <f>IFERROR(INDEX(tblNetflix[type],MATCH($A78,tblNetflix[show_id],0)),"")</f>
        <v/>
      </c>
      <c r="D78" s="19">
        <f>IFERROR(INDEX(tblNetflix[rating],MATCH($A78,tblNetflix[show_id],0)),"")</f>
        <v/>
      </c>
      <c r="E78" s="19">
        <f>IFERROR(INDEX(tblNetflix[year_added],MATCH($A78,tblNetflix[show_id],0)),"")</f>
        <v/>
      </c>
      <c r="F78" s="19">
        <f>IF(AND(OR(YearFilter="All",$E78=YearFilter),OR(RatingFilter="All",$D78=RatingFilter),OR(TypeFilter="All",$C78=TypeFilter)),1,0)</f>
        <v/>
      </c>
    </row>
    <row r="79" ht="15" customHeight="1" s="20">
      <c r="A79" s="19" t="inlineStr">
        <is>
          <t>s217</t>
        </is>
      </c>
      <c r="B79" s="19" t="inlineStr">
        <is>
          <t>Dramas</t>
        </is>
      </c>
      <c r="C79" s="19">
        <f>IFERROR(INDEX(tblNetflix[type],MATCH($A79,tblNetflix[show_id],0)),"")</f>
        <v/>
      </c>
      <c r="D79" s="19">
        <f>IFERROR(INDEX(tblNetflix[rating],MATCH($A79,tblNetflix[show_id],0)),"")</f>
        <v/>
      </c>
      <c r="E79" s="19">
        <f>IFERROR(INDEX(tblNetflix[year_added],MATCH($A79,tblNetflix[show_id],0)),"")</f>
        <v/>
      </c>
      <c r="F79" s="19">
        <f>IF(AND(OR(YearFilter="All",$E79=YearFilter),OR(RatingFilter="All",$D79=RatingFilter),OR(TypeFilter="All",$C79=TypeFilter)),1,0)</f>
        <v/>
      </c>
    </row>
    <row r="80" ht="15" customHeight="1" s="20">
      <c r="A80" s="19" t="inlineStr">
        <is>
          <t>s217</t>
        </is>
      </c>
      <c r="B80" s="19" t="inlineStr">
        <is>
          <t>Independent Movies</t>
        </is>
      </c>
      <c r="C80" s="19">
        <f>IFERROR(INDEX(tblNetflix[type],MATCH($A80,tblNetflix[show_id],0)),"")</f>
        <v/>
      </c>
      <c r="D80" s="19">
        <f>IFERROR(INDEX(tblNetflix[rating],MATCH($A80,tblNetflix[show_id],0)),"")</f>
        <v/>
      </c>
      <c r="E80" s="19">
        <f>IFERROR(INDEX(tblNetflix[year_added],MATCH($A80,tblNetflix[show_id],0)),"")</f>
        <v/>
      </c>
      <c r="F80" s="19">
        <f>IF(AND(OR(YearFilter="All",$E80=YearFilter),OR(RatingFilter="All",$D80=RatingFilter),OR(TypeFilter="All",$C80=TypeFilter)),1,0)</f>
        <v/>
      </c>
    </row>
    <row r="81" ht="15" customHeight="1" s="20">
      <c r="A81" s="19" t="inlineStr">
        <is>
          <t>s218</t>
        </is>
      </c>
      <c r="B81" s="19" t="inlineStr">
        <is>
          <t>Comedies</t>
        </is>
      </c>
      <c r="C81" s="19">
        <f>IFERROR(INDEX(tblNetflix[type],MATCH($A81,tblNetflix[show_id],0)),"")</f>
        <v/>
      </c>
      <c r="D81" s="19">
        <f>IFERROR(INDEX(tblNetflix[rating],MATCH($A81,tblNetflix[show_id],0)),"")</f>
        <v/>
      </c>
      <c r="E81" s="19">
        <f>IFERROR(INDEX(tblNetflix[year_added],MATCH($A81,tblNetflix[show_id],0)),"")</f>
        <v/>
      </c>
      <c r="F81" s="19">
        <f>IF(AND(OR(YearFilter="All",$E81=YearFilter),OR(RatingFilter="All",$D81=RatingFilter),OR(TypeFilter="All",$C81=TypeFilter)),1,0)</f>
        <v/>
      </c>
    </row>
    <row r="82" ht="15" customHeight="1" s="20">
      <c r="A82" s="19" t="inlineStr">
        <is>
          <t>s218</t>
        </is>
      </c>
      <c r="B82" s="19" t="inlineStr">
        <is>
          <t>Dramas</t>
        </is>
      </c>
      <c r="C82" s="19">
        <f>IFERROR(INDEX(tblNetflix[type],MATCH($A82,tblNetflix[show_id],0)),"")</f>
        <v/>
      </c>
      <c r="D82" s="19">
        <f>IFERROR(INDEX(tblNetflix[rating],MATCH($A82,tblNetflix[show_id],0)),"")</f>
        <v/>
      </c>
      <c r="E82" s="19">
        <f>IFERROR(INDEX(tblNetflix[year_added],MATCH($A82,tblNetflix[show_id],0)),"")</f>
        <v/>
      </c>
      <c r="F82" s="19">
        <f>IF(AND(OR(YearFilter="All",$E82=YearFilter),OR(RatingFilter="All",$D82=RatingFilter),OR(TypeFilter="All",$C82=TypeFilter)),1,0)</f>
        <v/>
      </c>
    </row>
    <row r="83" ht="15" customHeight="1" s="20">
      <c r="A83" s="19" t="inlineStr">
        <is>
          <t>s218</t>
        </is>
      </c>
      <c r="B83" s="19" t="inlineStr">
        <is>
          <t>International Movies</t>
        </is>
      </c>
      <c r="C83" s="19">
        <f>IFERROR(INDEX(tblNetflix[type],MATCH($A83,tblNetflix[show_id],0)),"")</f>
        <v/>
      </c>
      <c r="D83" s="19">
        <f>IFERROR(INDEX(tblNetflix[rating],MATCH($A83,tblNetflix[show_id],0)),"")</f>
        <v/>
      </c>
      <c r="E83" s="19">
        <f>IFERROR(INDEX(tblNetflix[year_added],MATCH($A83,tblNetflix[show_id],0)),"")</f>
        <v/>
      </c>
      <c r="F83" s="19">
        <f>IF(AND(OR(YearFilter="All",$E83=YearFilter),OR(RatingFilter="All",$D83=RatingFilter),OR(TypeFilter="All",$C83=TypeFilter)),1,0)</f>
        <v/>
      </c>
    </row>
    <row r="84" ht="15" customHeight="1" s="20">
      <c r="A84" s="19" t="inlineStr">
        <is>
          <t>s254</t>
        </is>
      </c>
      <c r="B84" s="19" t="inlineStr">
        <is>
          <t>Dramas</t>
        </is>
      </c>
      <c r="C84" s="19">
        <f>IFERROR(INDEX(tblNetflix[type],MATCH($A84,tblNetflix[show_id],0)),"")</f>
        <v/>
      </c>
      <c r="D84" s="19">
        <f>IFERROR(INDEX(tblNetflix[rating],MATCH($A84,tblNetflix[show_id],0)),"")</f>
        <v/>
      </c>
      <c r="E84" s="19">
        <f>IFERROR(INDEX(tblNetflix[year_added],MATCH($A84,tblNetflix[show_id],0)),"")</f>
        <v/>
      </c>
      <c r="F84" s="19">
        <f>IF(AND(OR(YearFilter="All",$E84=YearFilter),OR(RatingFilter="All",$D84=RatingFilter),OR(TypeFilter="All",$C84=TypeFilter)),1,0)</f>
        <v/>
      </c>
    </row>
    <row r="85" ht="15" customHeight="1" s="20">
      <c r="A85" s="19" t="inlineStr">
        <is>
          <t>s254</t>
        </is>
      </c>
      <c r="B85" s="19" t="inlineStr">
        <is>
          <t>International Movies</t>
        </is>
      </c>
      <c r="C85" s="19">
        <f>IFERROR(INDEX(tblNetflix[type],MATCH($A85,tblNetflix[show_id],0)),"")</f>
        <v/>
      </c>
      <c r="D85" s="19">
        <f>IFERROR(INDEX(tblNetflix[rating],MATCH($A85,tblNetflix[show_id],0)),"")</f>
        <v/>
      </c>
      <c r="E85" s="19">
        <f>IFERROR(INDEX(tblNetflix[year_added],MATCH($A85,tblNetflix[show_id],0)),"")</f>
        <v/>
      </c>
      <c r="F85" s="19">
        <f>IF(AND(OR(YearFilter="All",$E85=YearFilter),OR(RatingFilter="All",$D85=RatingFilter),OR(TypeFilter="All",$C85=TypeFilter)),1,0)</f>
        <v/>
      </c>
    </row>
    <row r="86" ht="15" customHeight="1" s="20">
      <c r="A86" s="19" t="inlineStr">
        <is>
          <t>s254</t>
        </is>
      </c>
      <c r="B86" s="19" t="inlineStr">
        <is>
          <t>Romantic Movies</t>
        </is>
      </c>
      <c r="C86" s="19">
        <f>IFERROR(INDEX(tblNetflix[type],MATCH($A86,tblNetflix[show_id],0)),"")</f>
        <v/>
      </c>
      <c r="D86" s="19">
        <f>IFERROR(INDEX(tblNetflix[rating],MATCH($A86,tblNetflix[show_id],0)),"")</f>
        <v/>
      </c>
      <c r="E86" s="19">
        <f>IFERROR(INDEX(tblNetflix[year_added],MATCH($A86,tblNetflix[show_id],0)),"")</f>
        <v/>
      </c>
      <c r="F86" s="19">
        <f>IF(AND(OR(YearFilter="All",$E86=YearFilter),OR(RatingFilter="All",$D86=RatingFilter),OR(TypeFilter="All",$C86=TypeFilter)),1,0)</f>
        <v/>
      </c>
    </row>
    <row r="87" ht="15" customHeight="1" s="20">
      <c r="A87" s="19" t="inlineStr">
        <is>
          <t>s260</t>
        </is>
      </c>
      <c r="B87" s="19" t="inlineStr">
        <is>
          <t>Comedies</t>
        </is>
      </c>
      <c r="C87" s="19">
        <f>IFERROR(INDEX(tblNetflix[type],MATCH($A87,tblNetflix[show_id],0)),"")</f>
        <v/>
      </c>
      <c r="D87" s="19">
        <f>IFERROR(INDEX(tblNetflix[rating],MATCH($A87,tblNetflix[show_id],0)),"")</f>
        <v/>
      </c>
      <c r="E87" s="19">
        <f>IFERROR(INDEX(tblNetflix[year_added],MATCH($A87,tblNetflix[show_id],0)),"")</f>
        <v/>
      </c>
      <c r="F87" s="19">
        <f>IF(AND(OR(YearFilter="All",$E87=YearFilter),OR(RatingFilter="All",$D87=RatingFilter),OR(TypeFilter="All",$C87=TypeFilter)),1,0)</f>
        <v/>
      </c>
    </row>
    <row r="88" ht="15" customHeight="1" s="20">
      <c r="A88" s="19" t="inlineStr">
        <is>
          <t>s260</t>
        </is>
      </c>
      <c r="B88" s="19" t="inlineStr">
        <is>
          <t>Dramas</t>
        </is>
      </c>
      <c r="C88" s="19">
        <f>IFERROR(INDEX(tblNetflix[type],MATCH($A88,tblNetflix[show_id],0)),"")</f>
        <v/>
      </c>
      <c r="D88" s="19">
        <f>IFERROR(INDEX(tblNetflix[rating],MATCH($A88,tblNetflix[show_id],0)),"")</f>
        <v/>
      </c>
      <c r="E88" s="19">
        <f>IFERROR(INDEX(tblNetflix[year_added],MATCH($A88,tblNetflix[show_id],0)),"")</f>
        <v/>
      </c>
      <c r="F88" s="19">
        <f>IF(AND(OR(YearFilter="All",$E88=YearFilter),OR(RatingFilter="All",$D88=RatingFilter),OR(TypeFilter="All",$C88=TypeFilter)),1,0)</f>
        <v/>
      </c>
    </row>
    <row r="89" ht="15" customHeight="1" s="20">
      <c r="A89" s="19" t="inlineStr">
        <is>
          <t>s260</t>
        </is>
      </c>
      <c r="B89" s="19" t="inlineStr">
        <is>
          <t>International Movies</t>
        </is>
      </c>
      <c r="C89" s="19">
        <f>IFERROR(INDEX(tblNetflix[type],MATCH($A89,tblNetflix[show_id],0)),"")</f>
        <v/>
      </c>
      <c r="D89" s="19">
        <f>IFERROR(INDEX(tblNetflix[rating],MATCH($A89,tblNetflix[show_id],0)),"")</f>
        <v/>
      </c>
      <c r="E89" s="19">
        <f>IFERROR(INDEX(tblNetflix[year_added],MATCH($A89,tblNetflix[show_id],0)),"")</f>
        <v/>
      </c>
      <c r="F89" s="19">
        <f>IF(AND(OR(YearFilter="All",$E89=YearFilter),OR(RatingFilter="All",$D89=RatingFilter),OR(TypeFilter="All",$C89=TypeFilter)),1,0)</f>
        <v/>
      </c>
    </row>
    <row r="90" ht="15" customHeight="1" s="20">
      <c r="A90" s="19" t="inlineStr">
        <is>
          <t>s267</t>
        </is>
      </c>
      <c r="B90" s="19" t="inlineStr">
        <is>
          <t>Docuseries</t>
        </is>
      </c>
      <c r="C90" s="19">
        <f>IFERROR(INDEX(tblNetflix[type],MATCH($A90,tblNetflix[show_id],0)),"")</f>
        <v/>
      </c>
      <c r="D90" s="19">
        <f>IFERROR(INDEX(tblNetflix[rating],MATCH($A90,tblNetflix[show_id],0)),"")</f>
        <v/>
      </c>
      <c r="E90" s="19">
        <f>IFERROR(INDEX(tblNetflix[year_added],MATCH($A90,tblNetflix[show_id],0)),"")</f>
        <v/>
      </c>
      <c r="F90" s="19">
        <f>IF(AND(OR(YearFilter="All",$E90=YearFilter),OR(RatingFilter="All",$D90=RatingFilter),OR(TypeFilter="All",$C90=TypeFilter)),1,0)</f>
        <v/>
      </c>
    </row>
    <row r="91" ht="15" customHeight="1" s="20">
      <c r="A91" s="19" t="inlineStr">
        <is>
          <t>s267</t>
        </is>
      </c>
      <c r="B91" s="19" t="inlineStr">
        <is>
          <t>International TV Shows</t>
        </is>
      </c>
      <c r="C91" s="19">
        <f>IFERROR(INDEX(tblNetflix[type],MATCH($A91,tblNetflix[show_id],0)),"")</f>
        <v/>
      </c>
      <c r="D91" s="19">
        <f>IFERROR(INDEX(tblNetflix[rating],MATCH($A91,tblNetflix[show_id],0)),"")</f>
        <v/>
      </c>
      <c r="E91" s="19">
        <f>IFERROR(INDEX(tblNetflix[year_added],MATCH($A91,tblNetflix[show_id],0)),"")</f>
        <v/>
      </c>
      <c r="F91" s="19">
        <f>IF(AND(OR(YearFilter="All",$E91=YearFilter),OR(RatingFilter="All",$D91=RatingFilter),OR(TypeFilter="All",$C91=TypeFilter)),1,0)</f>
        <v/>
      </c>
    </row>
    <row r="92" ht="15" customHeight="1" s="20">
      <c r="A92" s="19" t="inlineStr">
        <is>
          <t>s298</t>
        </is>
      </c>
      <c r="B92" s="19" t="inlineStr">
        <is>
          <t>TV Shows</t>
        </is>
      </c>
      <c r="C92" s="19">
        <f>IFERROR(INDEX(tblNetflix[type],MATCH($A92,tblNetflix[show_id],0)),"")</f>
        <v/>
      </c>
      <c r="D92" s="19">
        <f>IFERROR(INDEX(tblNetflix[rating],MATCH($A92,tblNetflix[show_id],0)),"")</f>
        <v/>
      </c>
      <c r="E92" s="19">
        <f>IFERROR(INDEX(tblNetflix[year_added],MATCH($A92,tblNetflix[show_id],0)),"")</f>
        <v/>
      </c>
      <c r="F92" s="19">
        <f>IF(AND(OR(YearFilter="All",$E92=YearFilter),OR(RatingFilter="All",$D92=RatingFilter),OR(TypeFilter="All",$C92=TypeFilter)),1,0)</f>
        <v/>
      </c>
    </row>
    <row r="93" ht="15" customHeight="1" s="20">
      <c r="A93" s="19" t="inlineStr">
        <is>
          <t>s302</t>
        </is>
      </c>
      <c r="B93" s="19" t="inlineStr">
        <is>
          <t>Action &amp; Adventure</t>
        </is>
      </c>
      <c r="C93" s="19">
        <f>IFERROR(INDEX(tblNetflix[type],MATCH($A93,tblNetflix[show_id],0)),"")</f>
        <v/>
      </c>
      <c r="D93" s="19">
        <f>IFERROR(INDEX(tblNetflix[rating],MATCH($A93,tblNetflix[show_id],0)),"")</f>
        <v/>
      </c>
      <c r="E93" s="19">
        <f>IFERROR(INDEX(tblNetflix[year_added],MATCH($A93,tblNetflix[show_id],0)),"")</f>
        <v/>
      </c>
      <c r="F93" s="19">
        <f>IF(AND(OR(YearFilter="All",$E93=YearFilter),OR(RatingFilter="All",$D93=RatingFilter),OR(TypeFilter="All",$C93=TypeFilter)),1,0)</f>
        <v/>
      </c>
    </row>
    <row r="94" ht="15" customHeight="1" s="20">
      <c r="A94" s="19" t="inlineStr">
        <is>
          <t>s302</t>
        </is>
      </c>
      <c r="B94" s="19" t="inlineStr">
        <is>
          <t>Comedies</t>
        </is>
      </c>
      <c r="C94" s="19">
        <f>IFERROR(INDEX(tblNetflix[type],MATCH($A94,tblNetflix[show_id],0)),"")</f>
        <v/>
      </c>
      <c r="D94" s="19">
        <f>IFERROR(INDEX(tblNetflix[rating],MATCH($A94,tblNetflix[show_id],0)),"")</f>
        <v/>
      </c>
      <c r="E94" s="19">
        <f>IFERROR(INDEX(tblNetflix[year_added],MATCH($A94,tblNetflix[show_id],0)),"")</f>
        <v/>
      </c>
      <c r="F94" s="19">
        <f>IF(AND(OR(YearFilter="All",$E94=YearFilter),OR(RatingFilter="All",$D94=RatingFilter),OR(TypeFilter="All",$C94=TypeFilter)),1,0)</f>
        <v/>
      </c>
    </row>
    <row r="95" ht="15" customHeight="1" s="20">
      <c r="A95" s="19" t="inlineStr">
        <is>
          <t>s302</t>
        </is>
      </c>
      <c r="B95" s="19" t="inlineStr">
        <is>
          <t>International Movies</t>
        </is>
      </c>
      <c r="C95" s="19">
        <f>IFERROR(INDEX(tblNetflix[type],MATCH($A95,tblNetflix[show_id],0)),"")</f>
        <v/>
      </c>
      <c r="D95" s="19">
        <f>IFERROR(INDEX(tblNetflix[rating],MATCH($A95,tblNetflix[show_id],0)),"")</f>
        <v/>
      </c>
      <c r="E95" s="19">
        <f>IFERROR(INDEX(tblNetflix[year_added],MATCH($A95,tblNetflix[show_id],0)),"")</f>
        <v/>
      </c>
      <c r="F95" s="19">
        <f>IF(AND(OR(YearFilter="All",$E95=YearFilter),OR(RatingFilter="All",$D95=RatingFilter),OR(TypeFilter="All",$C95=TypeFilter)),1,0)</f>
        <v/>
      </c>
    </row>
    <row r="96" ht="15" customHeight="1" s="20">
      <c r="A96" s="19" t="inlineStr">
        <is>
          <t>s384</t>
        </is>
      </c>
      <c r="B96" s="19" t="inlineStr">
        <is>
          <t>Action &amp; Adventure</t>
        </is>
      </c>
      <c r="C96" s="19">
        <f>IFERROR(INDEX(tblNetflix[type],MATCH($A96,tblNetflix[show_id],0)),"")</f>
        <v/>
      </c>
      <c r="D96" s="19">
        <f>IFERROR(INDEX(tblNetflix[rating],MATCH($A96,tblNetflix[show_id],0)),"")</f>
        <v/>
      </c>
      <c r="E96" s="19">
        <f>IFERROR(INDEX(tblNetflix[year_added],MATCH($A96,tblNetflix[show_id],0)),"")</f>
        <v/>
      </c>
      <c r="F96" s="19">
        <f>IF(AND(OR(YearFilter="All",$E96=YearFilter),OR(RatingFilter="All",$D96=RatingFilter),OR(TypeFilter="All",$C96=TypeFilter)),1,0)</f>
        <v/>
      </c>
    </row>
    <row r="97" ht="15" customHeight="1" s="20">
      <c r="A97" s="19" t="inlineStr">
        <is>
          <t>s384</t>
        </is>
      </c>
      <c r="B97" s="19" t="inlineStr">
        <is>
          <t>International Movies</t>
        </is>
      </c>
      <c r="C97" s="19">
        <f>IFERROR(INDEX(tblNetflix[type],MATCH($A97,tblNetflix[show_id],0)),"")</f>
        <v/>
      </c>
      <c r="D97" s="19">
        <f>IFERROR(INDEX(tblNetflix[rating],MATCH($A97,tblNetflix[show_id],0)),"")</f>
        <v/>
      </c>
      <c r="E97" s="19">
        <f>IFERROR(INDEX(tblNetflix[year_added],MATCH($A97,tblNetflix[show_id],0)),"")</f>
        <v/>
      </c>
      <c r="F97" s="19">
        <f>IF(AND(OR(YearFilter="All",$E97=YearFilter),OR(RatingFilter="All",$D97=RatingFilter),OR(TypeFilter="All",$C97=TypeFilter)),1,0)</f>
        <v/>
      </c>
    </row>
    <row r="98" ht="15" customHeight="1" s="20">
      <c r="A98" s="19" t="inlineStr">
        <is>
          <t>s411</t>
        </is>
      </c>
      <c r="B98" s="19" t="inlineStr">
        <is>
          <t>Children &amp; Family Movies</t>
        </is>
      </c>
      <c r="C98" s="19">
        <f>IFERROR(INDEX(tblNetflix[type],MATCH($A98,tblNetflix[show_id],0)),"")</f>
        <v/>
      </c>
      <c r="D98" s="19">
        <f>IFERROR(INDEX(tblNetflix[rating],MATCH($A98,tblNetflix[show_id],0)),"")</f>
        <v/>
      </c>
      <c r="E98" s="19">
        <f>IFERROR(INDEX(tblNetflix[year_added],MATCH($A98,tblNetflix[show_id],0)),"")</f>
        <v/>
      </c>
      <c r="F98" s="19">
        <f>IF(AND(OR(YearFilter="All",$E98=YearFilter),OR(RatingFilter="All",$D98=RatingFilter),OR(TypeFilter="All",$C98=TypeFilter)),1,0)</f>
        <v/>
      </c>
    </row>
    <row r="99" ht="15" customHeight="1" s="20">
      <c r="A99" s="19" t="inlineStr">
        <is>
          <t>s416</t>
        </is>
      </c>
      <c r="B99" s="19" t="inlineStr">
        <is>
          <t>Children &amp; Family Movies</t>
        </is>
      </c>
      <c r="C99" s="19">
        <f>IFERROR(INDEX(tblNetflix[type],MATCH($A99,tblNetflix[show_id],0)),"")</f>
        <v/>
      </c>
      <c r="D99" s="19">
        <f>IFERROR(INDEX(tblNetflix[rating],MATCH($A99,tblNetflix[show_id],0)),"")</f>
        <v/>
      </c>
      <c r="E99" s="19">
        <f>IFERROR(INDEX(tblNetflix[year_added],MATCH($A99,tblNetflix[show_id],0)),"")</f>
        <v/>
      </c>
      <c r="F99" s="19">
        <f>IF(AND(OR(YearFilter="All",$E99=YearFilter),OR(RatingFilter="All",$D99=RatingFilter),OR(TypeFilter="All",$C99=TypeFilter)),1,0)</f>
        <v/>
      </c>
    </row>
    <row r="100" ht="15" customHeight="1" s="20">
      <c r="A100" s="19" t="inlineStr">
        <is>
          <t>s519</t>
        </is>
      </c>
      <c r="B100" s="19" t="inlineStr">
        <is>
          <t>Dramas</t>
        </is>
      </c>
      <c r="C100" s="19">
        <f>IFERROR(INDEX(tblNetflix[type],MATCH($A100,tblNetflix[show_id],0)),"")</f>
        <v/>
      </c>
      <c r="D100" s="19">
        <f>IFERROR(INDEX(tblNetflix[rating],MATCH($A100,tblNetflix[show_id],0)),"")</f>
        <v/>
      </c>
      <c r="E100" s="19">
        <f>IFERROR(INDEX(tblNetflix[year_added],MATCH($A100,tblNetflix[show_id],0)),"")</f>
        <v/>
      </c>
      <c r="F100" s="19">
        <f>IF(AND(OR(YearFilter="All",$E100=YearFilter),OR(RatingFilter="All",$D100=RatingFilter),OR(TypeFilter="All",$C100=TypeFilter)),1,0)</f>
        <v/>
      </c>
    </row>
    <row r="101" ht="15" customHeight="1" s="20">
      <c r="A101" s="19" t="inlineStr">
        <is>
          <t>s519</t>
        </is>
      </c>
      <c r="B101" s="19" t="inlineStr">
        <is>
          <t>International Movies</t>
        </is>
      </c>
      <c r="C101" s="19">
        <f>IFERROR(INDEX(tblNetflix[type],MATCH($A101,tblNetflix[show_id],0)),"")</f>
        <v/>
      </c>
      <c r="D101" s="19">
        <f>IFERROR(INDEX(tblNetflix[rating],MATCH($A101,tblNetflix[show_id],0)),"")</f>
        <v/>
      </c>
      <c r="E101" s="19">
        <f>IFERROR(INDEX(tblNetflix[year_added],MATCH($A101,tblNetflix[show_id],0)),"")</f>
        <v/>
      </c>
      <c r="F101" s="19">
        <f>IF(AND(OR(YearFilter="All",$E101=YearFilter),OR(RatingFilter="All",$D101=RatingFilter),OR(TypeFilter="All",$C101=TypeFilter)),1,0)</f>
        <v/>
      </c>
    </row>
    <row r="102" ht="15" customHeight="1" s="20">
      <c r="A102" s="19" t="inlineStr">
        <is>
          <t>s529</t>
        </is>
      </c>
      <c r="B102" s="19" t="inlineStr">
        <is>
          <t>Dramas</t>
        </is>
      </c>
      <c r="C102" s="19">
        <f>IFERROR(INDEX(tblNetflix[type],MATCH($A102,tblNetflix[show_id],0)),"")</f>
        <v/>
      </c>
      <c r="D102" s="19">
        <f>IFERROR(INDEX(tblNetflix[rating],MATCH($A102,tblNetflix[show_id],0)),"")</f>
        <v/>
      </c>
      <c r="E102" s="19">
        <f>IFERROR(INDEX(tblNetflix[year_added],MATCH($A102,tblNetflix[show_id],0)),"")</f>
        <v/>
      </c>
      <c r="F102" s="19">
        <f>IF(AND(OR(YearFilter="All",$E102=YearFilter),OR(RatingFilter="All",$D102=RatingFilter),OR(TypeFilter="All",$C102=TypeFilter)),1,0)</f>
        <v/>
      </c>
    </row>
    <row r="103" ht="15" customHeight="1" s="20">
      <c r="A103" s="19" t="inlineStr">
        <is>
          <t>s529</t>
        </is>
      </c>
      <c r="B103" s="19" t="inlineStr">
        <is>
          <t>International Movies</t>
        </is>
      </c>
      <c r="C103" s="19">
        <f>IFERROR(INDEX(tblNetflix[type],MATCH($A103,tblNetflix[show_id],0)),"")</f>
        <v/>
      </c>
      <c r="D103" s="19">
        <f>IFERROR(INDEX(tblNetflix[rating],MATCH($A103,tblNetflix[show_id],0)),"")</f>
        <v/>
      </c>
      <c r="E103" s="19">
        <f>IFERROR(INDEX(tblNetflix[year_added],MATCH($A103,tblNetflix[show_id],0)),"")</f>
        <v/>
      </c>
      <c r="F103" s="19">
        <f>IF(AND(OR(YearFilter="All",$E103=YearFilter),OR(RatingFilter="All",$D103=RatingFilter),OR(TypeFilter="All",$C103=TypeFilter)),1,0)</f>
        <v/>
      </c>
    </row>
    <row r="104" ht="15" customHeight="1" s="20">
      <c r="A104" s="19" t="inlineStr">
        <is>
          <t>s529</t>
        </is>
      </c>
      <c r="B104" s="19" t="inlineStr">
        <is>
          <t>Romantic Movies</t>
        </is>
      </c>
      <c r="C104" s="19">
        <f>IFERROR(INDEX(tblNetflix[type],MATCH($A104,tblNetflix[show_id],0)),"")</f>
        <v/>
      </c>
      <c r="D104" s="19">
        <f>IFERROR(INDEX(tblNetflix[rating],MATCH($A104,tblNetflix[show_id],0)),"")</f>
        <v/>
      </c>
      <c r="E104" s="19">
        <f>IFERROR(INDEX(tblNetflix[year_added],MATCH($A104,tblNetflix[show_id],0)),"")</f>
        <v/>
      </c>
      <c r="F104" s="19">
        <f>IF(AND(OR(YearFilter="All",$E104=YearFilter),OR(RatingFilter="All",$D104=RatingFilter),OR(TypeFilter="All",$C104=TypeFilter)),1,0)</f>
        <v/>
      </c>
    </row>
    <row r="105" ht="15" customHeight="1" s="20">
      <c r="A105" s="19" t="inlineStr">
        <is>
          <t>s542</t>
        </is>
      </c>
      <c r="B105" s="19" t="inlineStr">
        <is>
          <t>Comedies</t>
        </is>
      </c>
      <c r="C105" s="19">
        <f>IFERROR(INDEX(tblNetflix[type],MATCH($A105,tblNetflix[show_id],0)),"")</f>
        <v/>
      </c>
      <c r="D105" s="19">
        <f>IFERROR(INDEX(tblNetflix[rating],MATCH($A105,tblNetflix[show_id],0)),"")</f>
        <v/>
      </c>
      <c r="E105" s="19">
        <f>IFERROR(INDEX(tblNetflix[year_added],MATCH($A105,tblNetflix[show_id],0)),"")</f>
        <v/>
      </c>
      <c r="F105" s="19">
        <f>IF(AND(OR(YearFilter="All",$E105=YearFilter),OR(RatingFilter="All",$D105=RatingFilter),OR(TypeFilter="All",$C105=TypeFilter)),1,0)</f>
        <v/>
      </c>
    </row>
    <row r="106" ht="15" customHeight="1" s="20">
      <c r="A106" s="19" t="inlineStr">
        <is>
          <t>s542</t>
        </is>
      </c>
      <c r="B106" s="19" t="inlineStr">
        <is>
          <t>Dramas</t>
        </is>
      </c>
      <c r="C106" s="19">
        <f>IFERROR(INDEX(tblNetflix[type],MATCH($A106,tblNetflix[show_id],0)),"")</f>
        <v/>
      </c>
      <c r="D106" s="19">
        <f>IFERROR(INDEX(tblNetflix[rating],MATCH($A106,tblNetflix[show_id],0)),"")</f>
        <v/>
      </c>
      <c r="E106" s="19">
        <f>IFERROR(INDEX(tblNetflix[year_added],MATCH($A106,tblNetflix[show_id],0)),"")</f>
        <v/>
      </c>
      <c r="F106" s="19">
        <f>IF(AND(OR(YearFilter="All",$E106=YearFilter),OR(RatingFilter="All",$D106=RatingFilter),OR(TypeFilter="All",$C106=TypeFilter)),1,0)</f>
        <v/>
      </c>
    </row>
    <row r="107" ht="15" customHeight="1" s="20">
      <c r="A107" s="19" t="inlineStr">
        <is>
          <t>s542</t>
        </is>
      </c>
      <c r="B107" s="19" t="inlineStr">
        <is>
          <t>International Movies</t>
        </is>
      </c>
      <c r="C107" s="19">
        <f>IFERROR(INDEX(tblNetflix[type],MATCH($A107,tblNetflix[show_id],0)),"")</f>
        <v/>
      </c>
      <c r="D107" s="19">
        <f>IFERROR(INDEX(tblNetflix[rating],MATCH($A107,tblNetflix[show_id],0)),"")</f>
        <v/>
      </c>
      <c r="E107" s="19">
        <f>IFERROR(INDEX(tblNetflix[year_added],MATCH($A107,tblNetflix[show_id],0)),"")</f>
        <v/>
      </c>
      <c r="F107" s="19">
        <f>IF(AND(OR(YearFilter="All",$E107=YearFilter),OR(RatingFilter="All",$D107=RatingFilter),OR(TypeFilter="All",$C107=TypeFilter)),1,0)</f>
        <v/>
      </c>
    </row>
    <row r="108" ht="15" customHeight="1" s="20">
      <c r="A108" s="19" t="inlineStr">
        <is>
          <t>s543</t>
        </is>
      </c>
      <c r="B108" s="19" t="inlineStr">
        <is>
          <t>Dramas</t>
        </is>
      </c>
      <c r="C108" s="19">
        <f>IFERROR(INDEX(tblNetflix[type],MATCH($A108,tblNetflix[show_id],0)),"")</f>
        <v/>
      </c>
      <c r="D108" s="19">
        <f>IFERROR(INDEX(tblNetflix[rating],MATCH($A108,tblNetflix[show_id],0)),"")</f>
        <v/>
      </c>
      <c r="E108" s="19">
        <f>IFERROR(INDEX(tblNetflix[year_added],MATCH($A108,tblNetflix[show_id],0)),"")</f>
        <v/>
      </c>
      <c r="F108" s="19">
        <f>IF(AND(OR(YearFilter="All",$E108=YearFilter),OR(RatingFilter="All",$D108=RatingFilter),OR(TypeFilter="All",$C108=TypeFilter)),1,0)</f>
        <v/>
      </c>
    </row>
    <row r="109" ht="15" customHeight="1" s="20">
      <c r="A109" s="19" t="inlineStr">
        <is>
          <t>s543</t>
        </is>
      </c>
      <c r="B109" s="19" t="inlineStr">
        <is>
          <t>International Movies</t>
        </is>
      </c>
      <c r="C109" s="19">
        <f>IFERROR(INDEX(tblNetflix[type],MATCH($A109,tblNetflix[show_id],0)),"")</f>
        <v/>
      </c>
      <c r="D109" s="19">
        <f>IFERROR(INDEX(tblNetflix[rating],MATCH($A109,tblNetflix[show_id],0)),"")</f>
        <v/>
      </c>
      <c r="E109" s="19">
        <f>IFERROR(INDEX(tblNetflix[year_added],MATCH($A109,tblNetflix[show_id],0)),"")</f>
        <v/>
      </c>
      <c r="F109" s="19">
        <f>IF(AND(OR(YearFilter="All",$E109=YearFilter),OR(RatingFilter="All",$D109=RatingFilter),OR(TypeFilter="All",$C109=TypeFilter)),1,0)</f>
        <v/>
      </c>
    </row>
    <row r="110" ht="15" customHeight="1" s="20">
      <c r="A110" s="19" t="inlineStr">
        <is>
          <t>s552</t>
        </is>
      </c>
      <c r="B110" s="19" t="inlineStr">
        <is>
          <t>International Movies</t>
        </is>
      </c>
      <c r="C110" s="19">
        <f>IFERROR(INDEX(tblNetflix[type],MATCH($A110,tblNetflix[show_id],0)),"")</f>
        <v/>
      </c>
      <c r="D110" s="19">
        <f>IFERROR(INDEX(tblNetflix[rating],MATCH($A110,tblNetflix[show_id],0)),"")</f>
        <v/>
      </c>
      <c r="E110" s="19">
        <f>IFERROR(INDEX(tblNetflix[year_added],MATCH($A110,tblNetflix[show_id],0)),"")</f>
        <v/>
      </c>
      <c r="F110" s="19">
        <f>IF(AND(OR(YearFilter="All",$E110=YearFilter),OR(RatingFilter="All",$D110=RatingFilter),OR(TypeFilter="All",$C110=TypeFilter)),1,0)</f>
        <v/>
      </c>
    </row>
    <row r="111" ht="15" customHeight="1" s="20">
      <c r="A111" s="19" t="inlineStr">
        <is>
          <t>s552</t>
        </is>
      </c>
      <c r="B111" s="19" t="inlineStr">
        <is>
          <t>Romantic Movies</t>
        </is>
      </c>
      <c r="C111" s="19">
        <f>IFERROR(INDEX(tblNetflix[type],MATCH($A111,tblNetflix[show_id],0)),"")</f>
        <v/>
      </c>
      <c r="D111" s="19">
        <f>IFERROR(INDEX(tblNetflix[rating],MATCH($A111,tblNetflix[show_id],0)),"")</f>
        <v/>
      </c>
      <c r="E111" s="19">
        <f>IFERROR(INDEX(tblNetflix[year_added],MATCH($A111,tblNetflix[show_id],0)),"")</f>
        <v/>
      </c>
      <c r="F111" s="19">
        <f>IF(AND(OR(YearFilter="All",$E111=YearFilter),OR(RatingFilter="All",$D111=RatingFilter),OR(TypeFilter="All",$C111=TypeFilter)),1,0)</f>
        <v/>
      </c>
    </row>
    <row r="112" ht="15" customHeight="1" s="20">
      <c r="A112" s="19" t="inlineStr">
        <is>
          <t>s552</t>
        </is>
      </c>
      <c r="B112" s="19" t="inlineStr">
        <is>
          <t>Thrillers</t>
        </is>
      </c>
      <c r="C112" s="19">
        <f>IFERROR(INDEX(tblNetflix[type],MATCH($A112,tblNetflix[show_id],0)),"")</f>
        <v/>
      </c>
      <c r="D112" s="19">
        <f>IFERROR(INDEX(tblNetflix[rating],MATCH($A112,tblNetflix[show_id],0)),"")</f>
        <v/>
      </c>
      <c r="E112" s="19">
        <f>IFERROR(INDEX(tblNetflix[year_added],MATCH($A112,tblNetflix[show_id],0)),"")</f>
        <v/>
      </c>
      <c r="F112" s="19">
        <f>IF(AND(OR(YearFilter="All",$E112=YearFilter),OR(RatingFilter="All",$D112=RatingFilter),OR(TypeFilter="All",$C112=TypeFilter)),1,0)</f>
        <v/>
      </c>
    </row>
    <row r="113" ht="15" customHeight="1" s="20">
      <c r="A113" s="19" t="inlineStr">
        <is>
          <t>s736</t>
        </is>
      </c>
      <c r="B113" s="19" t="inlineStr">
        <is>
          <t>Comedies</t>
        </is>
      </c>
      <c r="C113" s="19">
        <f>IFERROR(INDEX(tblNetflix[type],MATCH($A113,tblNetflix[show_id],0)),"")</f>
        <v/>
      </c>
      <c r="D113" s="19">
        <f>IFERROR(INDEX(tblNetflix[rating],MATCH($A113,tblNetflix[show_id],0)),"")</f>
        <v/>
      </c>
      <c r="E113" s="19">
        <f>IFERROR(INDEX(tblNetflix[year_added],MATCH($A113,tblNetflix[show_id],0)),"")</f>
        <v/>
      </c>
      <c r="F113" s="19">
        <f>IF(AND(OR(YearFilter="All",$E113=YearFilter),OR(RatingFilter="All",$D113=RatingFilter),OR(TypeFilter="All",$C113=TypeFilter)),1,0)</f>
        <v/>
      </c>
    </row>
    <row r="114" ht="15" customHeight="1" s="20">
      <c r="A114" s="19" t="inlineStr">
        <is>
          <t>s736</t>
        </is>
      </c>
      <c r="B114" s="19" t="inlineStr">
        <is>
          <t>Dramas</t>
        </is>
      </c>
      <c r="C114" s="19">
        <f>IFERROR(INDEX(tblNetflix[type],MATCH($A114,tblNetflix[show_id],0)),"")</f>
        <v/>
      </c>
      <c r="D114" s="19">
        <f>IFERROR(INDEX(tblNetflix[rating],MATCH($A114,tblNetflix[show_id],0)),"")</f>
        <v/>
      </c>
      <c r="E114" s="19">
        <f>IFERROR(INDEX(tblNetflix[year_added],MATCH($A114,tblNetflix[show_id],0)),"")</f>
        <v/>
      </c>
      <c r="F114" s="19">
        <f>IF(AND(OR(YearFilter="All",$E114=YearFilter),OR(RatingFilter="All",$D114=RatingFilter),OR(TypeFilter="All",$C114=TypeFilter)),1,0)</f>
        <v/>
      </c>
    </row>
    <row r="115" ht="15" customHeight="1" s="20">
      <c r="A115" s="19" t="inlineStr">
        <is>
          <t>s736</t>
        </is>
      </c>
      <c r="B115" s="19" t="inlineStr">
        <is>
          <t>International Movies</t>
        </is>
      </c>
      <c r="C115" s="19">
        <f>IFERROR(INDEX(tblNetflix[type],MATCH($A115,tblNetflix[show_id],0)),"")</f>
        <v/>
      </c>
      <c r="D115" s="19">
        <f>IFERROR(INDEX(tblNetflix[rating],MATCH($A115,tblNetflix[show_id],0)),"")</f>
        <v/>
      </c>
      <c r="E115" s="19">
        <f>IFERROR(INDEX(tblNetflix[year_added],MATCH($A115,tblNetflix[show_id],0)),"")</f>
        <v/>
      </c>
      <c r="F115" s="19">
        <f>IF(AND(OR(YearFilter="All",$E115=YearFilter),OR(RatingFilter="All",$D115=RatingFilter),OR(TypeFilter="All",$C115=TypeFilter)),1,0)</f>
        <v/>
      </c>
    </row>
    <row r="116" ht="15" customHeight="1" s="20">
      <c r="A116" s="19" t="inlineStr">
        <is>
          <t>s737</t>
        </is>
      </c>
      <c r="B116" s="19" t="inlineStr">
        <is>
          <t>Children &amp; Family Movies</t>
        </is>
      </c>
      <c r="C116" s="19">
        <f>IFERROR(INDEX(tblNetflix[type],MATCH($A116,tblNetflix[show_id],0)),"")</f>
        <v/>
      </c>
      <c r="D116" s="19">
        <f>IFERROR(INDEX(tblNetflix[rating],MATCH($A116,tblNetflix[show_id],0)),"")</f>
        <v/>
      </c>
      <c r="E116" s="19">
        <f>IFERROR(INDEX(tblNetflix[year_added],MATCH($A116,tblNetflix[show_id],0)),"")</f>
        <v/>
      </c>
      <c r="F116" s="19">
        <f>IF(AND(OR(YearFilter="All",$E116=YearFilter),OR(RatingFilter="All",$D116=RatingFilter),OR(TypeFilter="All",$C116=TypeFilter)),1,0)</f>
        <v/>
      </c>
    </row>
    <row r="117" ht="15" customHeight="1" s="20">
      <c r="A117" s="19" t="inlineStr">
        <is>
          <t>s737</t>
        </is>
      </c>
      <c r="B117" s="19" t="inlineStr">
        <is>
          <t>Dramas</t>
        </is>
      </c>
      <c r="C117" s="19">
        <f>IFERROR(INDEX(tblNetflix[type],MATCH($A117,tblNetflix[show_id],0)),"")</f>
        <v/>
      </c>
      <c r="D117" s="19">
        <f>IFERROR(INDEX(tblNetflix[rating],MATCH($A117,tblNetflix[show_id],0)),"")</f>
        <v/>
      </c>
      <c r="E117" s="19">
        <f>IFERROR(INDEX(tblNetflix[year_added],MATCH($A117,tblNetflix[show_id],0)),"")</f>
        <v/>
      </c>
      <c r="F117" s="19">
        <f>IF(AND(OR(YearFilter="All",$E117=YearFilter),OR(RatingFilter="All",$D117=RatingFilter),OR(TypeFilter="All",$C117=TypeFilter)),1,0)</f>
        <v/>
      </c>
    </row>
    <row r="118" ht="15" customHeight="1" s="20">
      <c r="A118" s="19" t="inlineStr">
        <is>
          <t>s737</t>
        </is>
      </c>
      <c r="B118" s="19" t="inlineStr">
        <is>
          <t>International Movies</t>
        </is>
      </c>
      <c r="C118" s="19">
        <f>IFERROR(INDEX(tblNetflix[type],MATCH($A118,tblNetflix[show_id],0)),"")</f>
        <v/>
      </c>
      <c r="D118" s="19">
        <f>IFERROR(INDEX(tblNetflix[rating],MATCH($A118,tblNetflix[show_id],0)),"")</f>
        <v/>
      </c>
      <c r="E118" s="19">
        <f>IFERROR(INDEX(tblNetflix[year_added],MATCH($A118,tblNetflix[show_id],0)),"")</f>
        <v/>
      </c>
      <c r="F118" s="19">
        <f>IF(AND(OR(YearFilter="All",$E118=YearFilter),OR(RatingFilter="All",$D118=RatingFilter),OR(TypeFilter="All",$C118=TypeFilter)),1,0)</f>
        <v/>
      </c>
    </row>
    <row r="119" ht="15" customHeight="1" s="20">
      <c r="A119" s="19" t="inlineStr">
        <is>
          <t>s851</t>
        </is>
      </c>
      <c r="B119" s="19" t="inlineStr">
        <is>
          <t>Dramas</t>
        </is>
      </c>
      <c r="C119" s="19">
        <f>IFERROR(INDEX(tblNetflix[type],MATCH($A119,tblNetflix[show_id],0)),"")</f>
        <v/>
      </c>
      <c r="D119" s="19">
        <f>IFERROR(INDEX(tblNetflix[rating],MATCH($A119,tblNetflix[show_id],0)),"")</f>
        <v/>
      </c>
      <c r="E119" s="19">
        <f>IFERROR(INDEX(tblNetflix[year_added],MATCH($A119,tblNetflix[show_id],0)),"")</f>
        <v/>
      </c>
      <c r="F119" s="19">
        <f>IF(AND(OR(YearFilter="All",$E119=YearFilter),OR(RatingFilter="All",$D119=RatingFilter),OR(TypeFilter="All",$C119=TypeFilter)),1,0)</f>
        <v/>
      </c>
    </row>
    <row r="120" ht="15" customHeight="1" s="20">
      <c r="A120" s="19" t="inlineStr">
        <is>
          <t>s851</t>
        </is>
      </c>
      <c r="B120" s="19" t="inlineStr">
        <is>
          <t>International Movies</t>
        </is>
      </c>
      <c r="C120" s="19">
        <f>IFERROR(INDEX(tblNetflix[type],MATCH($A120,tblNetflix[show_id],0)),"")</f>
        <v/>
      </c>
      <c r="D120" s="19">
        <f>IFERROR(INDEX(tblNetflix[rating],MATCH($A120,tblNetflix[show_id],0)),"")</f>
        <v/>
      </c>
      <c r="E120" s="19">
        <f>IFERROR(INDEX(tblNetflix[year_added],MATCH($A120,tblNetflix[show_id],0)),"")</f>
        <v/>
      </c>
      <c r="F120" s="19">
        <f>IF(AND(OR(YearFilter="All",$E120=YearFilter),OR(RatingFilter="All",$D120=RatingFilter),OR(TypeFilter="All",$C120=TypeFilter)),1,0)</f>
        <v/>
      </c>
    </row>
    <row r="121" ht="15" customHeight="1" s="20">
      <c r="A121" s="19" t="inlineStr">
        <is>
          <t>s851</t>
        </is>
      </c>
      <c r="B121" s="19" t="inlineStr">
        <is>
          <t>Music &amp; Musicals</t>
        </is>
      </c>
      <c r="C121" s="19">
        <f>IFERROR(INDEX(tblNetflix[type],MATCH($A121,tblNetflix[show_id],0)),"")</f>
        <v/>
      </c>
      <c r="D121" s="19">
        <f>IFERROR(INDEX(tblNetflix[rating],MATCH($A121,tblNetflix[show_id],0)),"")</f>
        <v/>
      </c>
      <c r="E121" s="19">
        <f>IFERROR(INDEX(tblNetflix[year_added],MATCH($A121,tblNetflix[show_id],0)),"")</f>
        <v/>
      </c>
      <c r="F121" s="19">
        <f>IF(AND(OR(YearFilter="All",$E121=YearFilter),OR(RatingFilter="All",$D121=RatingFilter),OR(TypeFilter="All",$C121=TypeFilter)),1,0)</f>
        <v/>
      </c>
    </row>
    <row r="122" ht="15" customHeight="1" s="20">
      <c r="A122" s="19" t="inlineStr">
        <is>
          <t>s872</t>
        </is>
      </c>
      <c r="B122" s="19" t="inlineStr">
        <is>
          <t>Comedies</t>
        </is>
      </c>
      <c r="C122" s="19">
        <f>IFERROR(INDEX(tblNetflix[type],MATCH($A122,tblNetflix[show_id],0)),"")</f>
        <v/>
      </c>
      <c r="D122" s="19">
        <f>IFERROR(INDEX(tblNetflix[rating],MATCH($A122,tblNetflix[show_id],0)),"")</f>
        <v/>
      </c>
      <c r="E122" s="19">
        <f>IFERROR(INDEX(tblNetflix[year_added],MATCH($A122,tblNetflix[show_id],0)),"")</f>
        <v/>
      </c>
      <c r="F122" s="19">
        <f>IF(AND(OR(YearFilter="All",$E122=YearFilter),OR(RatingFilter="All",$D122=RatingFilter),OR(TypeFilter="All",$C122=TypeFilter)),1,0)</f>
        <v/>
      </c>
    </row>
    <row r="123" ht="15" customHeight="1" s="20">
      <c r="A123" s="19" t="inlineStr">
        <is>
          <t>s872</t>
        </is>
      </c>
      <c r="B123" s="19" t="inlineStr">
        <is>
          <t>Dramas</t>
        </is>
      </c>
      <c r="C123" s="19">
        <f>IFERROR(INDEX(tblNetflix[type],MATCH($A123,tblNetflix[show_id],0)),"")</f>
        <v/>
      </c>
      <c r="D123" s="19">
        <f>IFERROR(INDEX(tblNetflix[rating],MATCH($A123,tblNetflix[show_id],0)),"")</f>
        <v/>
      </c>
      <c r="E123" s="19">
        <f>IFERROR(INDEX(tblNetflix[year_added],MATCH($A123,tblNetflix[show_id],0)),"")</f>
        <v/>
      </c>
      <c r="F123" s="19">
        <f>IF(AND(OR(YearFilter="All",$E123=YearFilter),OR(RatingFilter="All",$D123=RatingFilter),OR(TypeFilter="All",$C123=TypeFilter)),1,0)</f>
        <v/>
      </c>
    </row>
    <row r="124" ht="15" customHeight="1" s="20">
      <c r="A124" s="19" t="inlineStr">
        <is>
          <t>s872</t>
        </is>
      </c>
      <c r="B124" s="19" t="inlineStr">
        <is>
          <t>International Movies</t>
        </is>
      </c>
      <c r="C124" s="19">
        <f>IFERROR(INDEX(tblNetflix[type],MATCH($A124,tblNetflix[show_id],0)),"")</f>
        <v/>
      </c>
      <c r="D124" s="19">
        <f>IFERROR(INDEX(tblNetflix[rating],MATCH($A124,tblNetflix[show_id],0)),"")</f>
        <v/>
      </c>
      <c r="E124" s="19">
        <f>IFERROR(INDEX(tblNetflix[year_added],MATCH($A124,tblNetflix[show_id],0)),"")</f>
        <v/>
      </c>
      <c r="F124" s="19">
        <f>IF(AND(OR(YearFilter="All",$E124=YearFilter),OR(RatingFilter="All",$D124=RatingFilter),OR(TypeFilter="All",$C124=TypeFilter)),1,0)</f>
        <v/>
      </c>
    </row>
    <row r="125" ht="15" customHeight="1" s="20">
      <c r="A125" s="19" t="inlineStr">
        <is>
          <t>s874</t>
        </is>
      </c>
      <c r="B125" s="19" t="inlineStr">
        <is>
          <t>Dramas</t>
        </is>
      </c>
      <c r="C125" s="19">
        <f>IFERROR(INDEX(tblNetflix[type],MATCH($A125,tblNetflix[show_id],0)),"")</f>
        <v/>
      </c>
      <c r="D125" s="19">
        <f>IFERROR(INDEX(tblNetflix[rating],MATCH($A125,tblNetflix[show_id],0)),"")</f>
        <v/>
      </c>
      <c r="E125" s="19">
        <f>IFERROR(INDEX(tblNetflix[year_added],MATCH($A125,tblNetflix[show_id],0)),"")</f>
        <v/>
      </c>
      <c r="F125" s="19">
        <f>IF(AND(OR(YearFilter="All",$E125=YearFilter),OR(RatingFilter="All",$D125=RatingFilter),OR(TypeFilter="All",$C125=TypeFilter)),1,0)</f>
        <v/>
      </c>
    </row>
    <row r="126" ht="15" customHeight="1" s="20">
      <c r="A126" s="19" t="inlineStr">
        <is>
          <t>s874</t>
        </is>
      </c>
      <c r="B126" s="19" t="inlineStr">
        <is>
          <t>Independent Movies</t>
        </is>
      </c>
      <c r="C126" s="19">
        <f>IFERROR(INDEX(tblNetflix[type],MATCH($A126,tblNetflix[show_id],0)),"")</f>
        <v/>
      </c>
      <c r="D126" s="19">
        <f>IFERROR(INDEX(tblNetflix[rating],MATCH($A126,tblNetflix[show_id],0)),"")</f>
        <v/>
      </c>
      <c r="E126" s="19">
        <f>IFERROR(INDEX(tblNetflix[year_added],MATCH($A126,tblNetflix[show_id],0)),"")</f>
        <v/>
      </c>
      <c r="F126" s="19">
        <f>IF(AND(OR(YearFilter="All",$E126=YearFilter),OR(RatingFilter="All",$D126=RatingFilter),OR(TypeFilter="All",$C126=TypeFilter)),1,0)</f>
        <v/>
      </c>
    </row>
    <row r="127" ht="15" customHeight="1" s="20">
      <c r="A127" s="19" t="inlineStr">
        <is>
          <t>s874</t>
        </is>
      </c>
      <c r="B127" s="19" t="inlineStr">
        <is>
          <t>International Movies</t>
        </is>
      </c>
      <c r="C127" s="19">
        <f>IFERROR(INDEX(tblNetflix[type],MATCH($A127,tblNetflix[show_id],0)),"")</f>
        <v/>
      </c>
      <c r="D127" s="19">
        <f>IFERROR(INDEX(tblNetflix[rating],MATCH($A127,tblNetflix[show_id],0)),"")</f>
        <v/>
      </c>
      <c r="E127" s="19">
        <f>IFERROR(INDEX(tblNetflix[year_added],MATCH($A127,tblNetflix[show_id],0)),"")</f>
        <v/>
      </c>
      <c r="F127" s="19">
        <f>IF(AND(OR(YearFilter="All",$E127=YearFilter),OR(RatingFilter="All",$D127=RatingFilter),OR(TypeFilter="All",$C127=TypeFilter)),1,0)</f>
        <v/>
      </c>
    </row>
    <row r="128" ht="15" customHeight="1" s="20">
      <c r="A128" s="19" t="inlineStr">
        <is>
          <t>s877</t>
        </is>
      </c>
      <c r="B128" s="19" t="inlineStr">
        <is>
          <t>Docuseries</t>
        </is>
      </c>
      <c r="C128" s="19">
        <f>IFERROR(INDEX(tblNetflix[type],MATCH($A128,tblNetflix[show_id],0)),"")</f>
        <v/>
      </c>
      <c r="D128" s="19">
        <f>IFERROR(INDEX(tblNetflix[rating],MATCH($A128,tblNetflix[show_id],0)),"")</f>
        <v/>
      </c>
      <c r="E128" s="19">
        <f>IFERROR(INDEX(tblNetflix[year_added],MATCH($A128,tblNetflix[show_id],0)),"")</f>
        <v/>
      </c>
      <c r="F128" s="19">
        <f>IF(AND(OR(YearFilter="All",$E128=YearFilter),OR(RatingFilter="All",$D128=RatingFilter),OR(TypeFilter="All",$C128=TypeFilter)),1,0)</f>
        <v/>
      </c>
    </row>
    <row r="129" ht="15" customHeight="1" s="20">
      <c r="A129" s="19" t="inlineStr">
        <is>
          <t>s877</t>
        </is>
      </c>
      <c r="B129" s="19" t="inlineStr">
        <is>
          <t>International TV Shows</t>
        </is>
      </c>
      <c r="C129" s="19">
        <f>IFERROR(INDEX(tblNetflix[type],MATCH($A129,tblNetflix[show_id],0)),"")</f>
        <v/>
      </c>
      <c r="D129" s="19">
        <f>IFERROR(INDEX(tblNetflix[rating],MATCH($A129,tblNetflix[show_id],0)),"")</f>
        <v/>
      </c>
      <c r="E129" s="19">
        <f>IFERROR(INDEX(tblNetflix[year_added],MATCH($A129,tblNetflix[show_id],0)),"")</f>
        <v/>
      </c>
      <c r="F129" s="19">
        <f>IF(AND(OR(YearFilter="All",$E129=YearFilter),OR(RatingFilter="All",$D129=RatingFilter),OR(TypeFilter="All",$C129=TypeFilter)),1,0)</f>
        <v/>
      </c>
    </row>
    <row r="130" ht="15" customHeight="1" s="20">
      <c r="A130" s="19" t="inlineStr">
        <is>
          <t>s878</t>
        </is>
      </c>
      <c r="B130" s="19" t="inlineStr">
        <is>
          <t>Comedies</t>
        </is>
      </c>
      <c r="C130" s="19">
        <f>IFERROR(INDEX(tblNetflix[type],MATCH($A130,tblNetflix[show_id],0)),"")</f>
        <v/>
      </c>
      <c r="D130" s="19">
        <f>IFERROR(INDEX(tblNetflix[rating],MATCH($A130,tblNetflix[show_id],0)),"")</f>
        <v/>
      </c>
      <c r="E130" s="19">
        <f>IFERROR(INDEX(tblNetflix[year_added],MATCH($A130,tblNetflix[show_id],0)),"")</f>
        <v/>
      </c>
      <c r="F130" s="19">
        <f>IF(AND(OR(YearFilter="All",$E130=YearFilter),OR(RatingFilter="All",$D130=RatingFilter),OR(TypeFilter="All",$C130=TypeFilter)),1,0)</f>
        <v/>
      </c>
    </row>
    <row r="131" ht="15" customHeight="1" s="20">
      <c r="A131" s="19" t="inlineStr">
        <is>
          <t>s878</t>
        </is>
      </c>
      <c r="B131" s="19" t="inlineStr">
        <is>
          <t>Independent Movies</t>
        </is>
      </c>
      <c r="C131" s="19">
        <f>IFERROR(INDEX(tblNetflix[type],MATCH($A131,tblNetflix[show_id],0)),"")</f>
        <v/>
      </c>
      <c r="D131" s="19">
        <f>IFERROR(INDEX(tblNetflix[rating],MATCH($A131,tblNetflix[show_id],0)),"")</f>
        <v/>
      </c>
      <c r="E131" s="19">
        <f>IFERROR(INDEX(tblNetflix[year_added],MATCH($A131,tblNetflix[show_id],0)),"")</f>
        <v/>
      </c>
      <c r="F131" s="19">
        <f>IF(AND(OR(YearFilter="All",$E131=YearFilter),OR(RatingFilter="All",$D131=RatingFilter),OR(TypeFilter="All",$C131=TypeFilter)),1,0)</f>
        <v/>
      </c>
    </row>
    <row r="132" ht="15" customHeight="1" s="20">
      <c r="A132" s="19" t="inlineStr">
        <is>
          <t>s878</t>
        </is>
      </c>
      <c r="B132" s="19" t="inlineStr">
        <is>
          <t>International Movies</t>
        </is>
      </c>
      <c r="C132" s="19">
        <f>IFERROR(INDEX(tblNetflix[type],MATCH($A132,tblNetflix[show_id],0)),"")</f>
        <v/>
      </c>
      <c r="D132" s="19">
        <f>IFERROR(INDEX(tblNetflix[rating],MATCH($A132,tblNetflix[show_id],0)),"")</f>
        <v/>
      </c>
      <c r="E132" s="19">
        <f>IFERROR(INDEX(tblNetflix[year_added],MATCH($A132,tblNetflix[show_id],0)),"")</f>
        <v/>
      </c>
      <c r="F132" s="19">
        <f>IF(AND(OR(YearFilter="All",$E132=YearFilter),OR(RatingFilter="All",$D132=RatingFilter),OR(TypeFilter="All",$C132=TypeFilter)),1,0)</f>
        <v/>
      </c>
    </row>
    <row r="133" ht="15" customHeight="1" s="20">
      <c r="A133" s="19" t="inlineStr">
        <is>
          <t>s893</t>
        </is>
      </c>
      <c r="B133" s="19" t="inlineStr">
        <is>
          <t>Dramas</t>
        </is>
      </c>
      <c r="C133" s="19">
        <f>IFERROR(INDEX(tblNetflix[type],MATCH($A133,tblNetflix[show_id],0)),"")</f>
        <v/>
      </c>
      <c r="D133" s="19">
        <f>IFERROR(INDEX(tblNetflix[rating],MATCH($A133,tblNetflix[show_id],0)),"")</f>
        <v/>
      </c>
      <c r="E133" s="19">
        <f>IFERROR(INDEX(tblNetflix[year_added],MATCH($A133,tblNetflix[show_id],0)),"")</f>
        <v/>
      </c>
      <c r="F133" s="19">
        <f>IF(AND(OR(YearFilter="All",$E133=YearFilter),OR(RatingFilter="All",$D133=RatingFilter),OR(TypeFilter="All",$C133=TypeFilter)),1,0)</f>
        <v/>
      </c>
    </row>
    <row r="134" ht="15" customHeight="1" s="20">
      <c r="A134" s="19" t="inlineStr">
        <is>
          <t>s893</t>
        </is>
      </c>
      <c r="B134" s="19" t="inlineStr">
        <is>
          <t>Independent Movies</t>
        </is>
      </c>
      <c r="C134" s="19">
        <f>IFERROR(INDEX(tblNetflix[type],MATCH($A134,tblNetflix[show_id],0)),"")</f>
        <v/>
      </c>
      <c r="D134" s="19">
        <f>IFERROR(INDEX(tblNetflix[rating],MATCH($A134,tblNetflix[show_id],0)),"")</f>
        <v/>
      </c>
      <c r="E134" s="19">
        <f>IFERROR(INDEX(tblNetflix[year_added],MATCH($A134,tblNetflix[show_id],0)),"")</f>
        <v/>
      </c>
      <c r="F134" s="19">
        <f>IF(AND(OR(YearFilter="All",$E134=YearFilter),OR(RatingFilter="All",$D134=RatingFilter),OR(TypeFilter="All",$C134=TypeFilter)),1,0)</f>
        <v/>
      </c>
    </row>
    <row r="135" ht="15" customHeight="1" s="20">
      <c r="A135" s="19" t="inlineStr">
        <is>
          <t>s893</t>
        </is>
      </c>
      <c r="B135" s="19" t="inlineStr">
        <is>
          <t>International Movies</t>
        </is>
      </c>
      <c r="C135" s="19">
        <f>IFERROR(INDEX(tblNetflix[type],MATCH($A135,tblNetflix[show_id],0)),"")</f>
        <v/>
      </c>
      <c r="D135" s="19">
        <f>IFERROR(INDEX(tblNetflix[rating],MATCH($A135,tblNetflix[show_id],0)),"")</f>
        <v/>
      </c>
      <c r="E135" s="19">
        <f>IFERROR(INDEX(tblNetflix[year_added],MATCH($A135,tblNetflix[show_id],0)),"")</f>
        <v/>
      </c>
      <c r="F135" s="19">
        <f>IF(AND(OR(YearFilter="All",$E135=YearFilter),OR(RatingFilter="All",$D135=RatingFilter),OR(TypeFilter="All",$C135=TypeFilter)),1,0)</f>
        <v/>
      </c>
    </row>
    <row r="136" ht="15" customHeight="1" s="20">
      <c r="A136" s="19" t="inlineStr">
        <is>
          <t>s904</t>
        </is>
      </c>
      <c r="B136" s="19" t="inlineStr">
        <is>
          <t>Dramas</t>
        </is>
      </c>
      <c r="C136" s="19">
        <f>IFERROR(INDEX(tblNetflix[type],MATCH($A136,tblNetflix[show_id],0)),"")</f>
        <v/>
      </c>
      <c r="D136" s="19">
        <f>IFERROR(INDEX(tblNetflix[rating],MATCH($A136,tblNetflix[show_id],0)),"")</f>
        <v/>
      </c>
      <c r="E136" s="19">
        <f>IFERROR(INDEX(tblNetflix[year_added],MATCH($A136,tblNetflix[show_id],0)),"")</f>
        <v/>
      </c>
      <c r="F136" s="19">
        <f>IF(AND(OR(YearFilter="All",$E136=YearFilter),OR(RatingFilter="All",$D136=RatingFilter),OR(TypeFilter="All",$C136=TypeFilter)),1,0)</f>
        <v/>
      </c>
    </row>
    <row r="137" ht="15" customHeight="1" s="20">
      <c r="A137" s="19" t="inlineStr">
        <is>
          <t>s904</t>
        </is>
      </c>
      <c r="B137" s="19" t="inlineStr">
        <is>
          <t>International Movies</t>
        </is>
      </c>
      <c r="C137" s="19">
        <f>IFERROR(INDEX(tblNetflix[type],MATCH($A137,tblNetflix[show_id],0)),"")</f>
        <v/>
      </c>
      <c r="D137" s="19">
        <f>IFERROR(INDEX(tblNetflix[rating],MATCH($A137,tblNetflix[show_id],0)),"")</f>
        <v/>
      </c>
      <c r="E137" s="19">
        <f>IFERROR(INDEX(tblNetflix[year_added],MATCH($A137,tblNetflix[show_id],0)),"")</f>
        <v/>
      </c>
      <c r="F137" s="19">
        <f>IF(AND(OR(YearFilter="All",$E137=YearFilter),OR(RatingFilter="All",$D137=RatingFilter),OR(TypeFilter="All",$C137=TypeFilter)),1,0)</f>
        <v/>
      </c>
    </row>
    <row r="138" ht="15" customHeight="1" s="20">
      <c r="A138" s="19" t="inlineStr">
        <is>
          <t>s904</t>
        </is>
      </c>
      <c r="B138" s="19" t="inlineStr">
        <is>
          <t>Thrillers</t>
        </is>
      </c>
      <c r="C138" s="19">
        <f>IFERROR(INDEX(tblNetflix[type],MATCH($A138,tblNetflix[show_id],0)),"")</f>
        <v/>
      </c>
      <c r="D138" s="19">
        <f>IFERROR(INDEX(tblNetflix[rating],MATCH($A138,tblNetflix[show_id],0)),"")</f>
        <v/>
      </c>
      <c r="E138" s="19">
        <f>IFERROR(INDEX(tblNetflix[year_added],MATCH($A138,tblNetflix[show_id],0)),"")</f>
        <v/>
      </c>
      <c r="F138" s="19">
        <f>IF(AND(OR(YearFilter="All",$E138=YearFilter),OR(RatingFilter="All",$D138=RatingFilter),OR(TypeFilter="All",$C138=TypeFilter)),1,0)</f>
        <v/>
      </c>
    </row>
    <row r="139" ht="15" customHeight="1" s="20">
      <c r="A139" s="19" t="inlineStr">
        <is>
          <t>s910</t>
        </is>
      </c>
      <c r="B139" s="19" t="inlineStr">
        <is>
          <t>Dramas</t>
        </is>
      </c>
      <c r="C139" s="19">
        <f>IFERROR(INDEX(tblNetflix[type],MATCH($A139,tblNetflix[show_id],0)),"")</f>
        <v/>
      </c>
      <c r="D139" s="19">
        <f>IFERROR(INDEX(tblNetflix[rating],MATCH($A139,tblNetflix[show_id],0)),"")</f>
        <v/>
      </c>
      <c r="E139" s="19">
        <f>IFERROR(INDEX(tblNetflix[year_added],MATCH($A139,tblNetflix[show_id],0)),"")</f>
        <v/>
      </c>
      <c r="F139" s="19">
        <f>IF(AND(OR(YearFilter="All",$E139=YearFilter),OR(RatingFilter="All",$D139=RatingFilter),OR(TypeFilter="All",$C139=TypeFilter)),1,0)</f>
        <v/>
      </c>
    </row>
    <row r="140" ht="15" customHeight="1" s="20">
      <c r="A140" s="19" t="inlineStr">
        <is>
          <t>s910</t>
        </is>
      </c>
      <c r="B140" s="19" t="inlineStr">
        <is>
          <t>Independent Movies</t>
        </is>
      </c>
      <c r="C140" s="19">
        <f>IFERROR(INDEX(tblNetflix[type],MATCH($A140,tblNetflix[show_id],0)),"")</f>
        <v/>
      </c>
      <c r="D140" s="19">
        <f>IFERROR(INDEX(tblNetflix[rating],MATCH($A140,tblNetflix[show_id],0)),"")</f>
        <v/>
      </c>
      <c r="E140" s="19">
        <f>IFERROR(INDEX(tblNetflix[year_added],MATCH($A140,tblNetflix[show_id],0)),"")</f>
        <v/>
      </c>
      <c r="F140" s="19">
        <f>IF(AND(OR(YearFilter="All",$E140=YearFilter),OR(RatingFilter="All",$D140=RatingFilter),OR(TypeFilter="All",$C140=TypeFilter)),1,0)</f>
        <v/>
      </c>
    </row>
    <row r="141" ht="15" customHeight="1" s="20">
      <c r="A141" s="19" t="inlineStr">
        <is>
          <t>s910</t>
        </is>
      </c>
      <c r="B141" s="19" t="inlineStr">
        <is>
          <t>International Movies</t>
        </is>
      </c>
      <c r="C141" s="19">
        <f>IFERROR(INDEX(tblNetflix[type],MATCH($A141,tblNetflix[show_id],0)),"")</f>
        <v/>
      </c>
      <c r="D141" s="19">
        <f>IFERROR(INDEX(tblNetflix[rating],MATCH($A141,tblNetflix[show_id],0)),"")</f>
        <v/>
      </c>
      <c r="E141" s="19">
        <f>IFERROR(INDEX(tblNetflix[year_added],MATCH($A141,tblNetflix[show_id],0)),"")</f>
        <v/>
      </c>
      <c r="F141" s="19">
        <f>IF(AND(OR(YearFilter="All",$E141=YearFilter),OR(RatingFilter="All",$D141=RatingFilter),OR(TypeFilter="All",$C141=TypeFilter)),1,0)</f>
        <v/>
      </c>
    </row>
    <row r="142" ht="15" customHeight="1" s="20">
      <c r="A142" s="19" t="inlineStr">
        <is>
          <t>s912</t>
        </is>
      </c>
      <c r="B142" s="19" t="inlineStr">
        <is>
          <t>Kids' TV</t>
        </is>
      </c>
      <c r="C142" s="19">
        <f>IFERROR(INDEX(tblNetflix[type],MATCH($A142,tblNetflix[show_id],0)),"")</f>
        <v/>
      </c>
      <c r="D142" s="19">
        <f>IFERROR(INDEX(tblNetflix[rating],MATCH($A142,tblNetflix[show_id],0)),"")</f>
        <v/>
      </c>
      <c r="E142" s="19">
        <f>IFERROR(INDEX(tblNetflix[year_added],MATCH($A142,tblNetflix[show_id],0)),"")</f>
        <v/>
      </c>
      <c r="F142" s="19">
        <f>IF(AND(OR(YearFilter="All",$E142=YearFilter),OR(RatingFilter="All",$D142=RatingFilter),OR(TypeFilter="All",$C142=TypeFilter)),1,0)</f>
        <v/>
      </c>
    </row>
    <row r="143" ht="15" customHeight="1" s="20">
      <c r="A143" s="19" t="inlineStr">
        <is>
          <t>s912</t>
        </is>
      </c>
      <c r="B143" s="19" t="inlineStr">
        <is>
          <t>TV Comedies</t>
        </is>
      </c>
      <c r="C143" s="19">
        <f>IFERROR(INDEX(tblNetflix[type],MATCH($A143,tblNetflix[show_id],0)),"")</f>
        <v/>
      </c>
      <c r="D143" s="19">
        <f>IFERROR(INDEX(tblNetflix[rating],MATCH($A143,tblNetflix[show_id],0)),"")</f>
        <v/>
      </c>
      <c r="E143" s="19">
        <f>IFERROR(INDEX(tblNetflix[year_added],MATCH($A143,tblNetflix[show_id],0)),"")</f>
        <v/>
      </c>
      <c r="F143" s="19">
        <f>IF(AND(OR(YearFilter="All",$E143=YearFilter),OR(RatingFilter="All",$D143=RatingFilter),OR(TypeFilter="All",$C143=TypeFilter)),1,0)</f>
        <v/>
      </c>
    </row>
    <row r="144" ht="15" customHeight="1" s="20">
      <c r="A144" s="19" t="inlineStr">
        <is>
          <t>s914</t>
        </is>
      </c>
      <c r="B144" s="19" t="inlineStr">
        <is>
          <t>Dramas</t>
        </is>
      </c>
      <c r="C144" s="19">
        <f>IFERROR(INDEX(tblNetflix[type],MATCH($A144,tblNetflix[show_id],0)),"")</f>
        <v/>
      </c>
      <c r="D144" s="19">
        <f>IFERROR(INDEX(tblNetflix[rating],MATCH($A144,tblNetflix[show_id],0)),"")</f>
        <v/>
      </c>
      <c r="E144" s="19">
        <f>IFERROR(INDEX(tblNetflix[year_added],MATCH($A144,tblNetflix[show_id],0)),"")</f>
        <v/>
      </c>
      <c r="F144" s="19">
        <f>IF(AND(OR(YearFilter="All",$E144=YearFilter),OR(RatingFilter="All",$D144=RatingFilter),OR(TypeFilter="All",$C144=TypeFilter)),1,0)</f>
        <v/>
      </c>
    </row>
    <row r="145" ht="15" customHeight="1" s="20">
      <c r="A145" s="19" t="inlineStr">
        <is>
          <t>s914</t>
        </is>
      </c>
      <c r="B145" s="19" t="inlineStr">
        <is>
          <t>International Movies</t>
        </is>
      </c>
      <c r="C145" s="19">
        <f>IFERROR(INDEX(tblNetflix[type],MATCH($A145,tblNetflix[show_id],0)),"")</f>
        <v/>
      </c>
      <c r="D145" s="19">
        <f>IFERROR(INDEX(tblNetflix[rating],MATCH($A145,tblNetflix[show_id],0)),"")</f>
        <v/>
      </c>
      <c r="E145" s="19">
        <f>IFERROR(INDEX(tblNetflix[year_added],MATCH($A145,tblNetflix[show_id],0)),"")</f>
        <v/>
      </c>
      <c r="F145" s="19">
        <f>IF(AND(OR(YearFilter="All",$E145=YearFilter),OR(RatingFilter="All",$D145=RatingFilter),OR(TypeFilter="All",$C145=TypeFilter)),1,0)</f>
        <v/>
      </c>
    </row>
    <row r="146" ht="15" customHeight="1" s="20">
      <c r="A146" s="19" t="inlineStr">
        <is>
          <t>s914</t>
        </is>
      </c>
      <c r="B146" s="19" t="inlineStr">
        <is>
          <t>Romantic Movies</t>
        </is>
      </c>
      <c r="C146" s="19">
        <f>IFERROR(INDEX(tblNetflix[type],MATCH($A146,tblNetflix[show_id],0)),"")</f>
        <v/>
      </c>
      <c r="D146" s="19">
        <f>IFERROR(INDEX(tblNetflix[rating],MATCH($A146,tblNetflix[show_id],0)),"")</f>
        <v/>
      </c>
      <c r="E146" s="19">
        <f>IFERROR(INDEX(tblNetflix[year_added],MATCH($A146,tblNetflix[show_id],0)),"")</f>
        <v/>
      </c>
      <c r="F146" s="19">
        <f>IF(AND(OR(YearFilter="All",$E146=YearFilter),OR(RatingFilter="All",$D146=RatingFilter),OR(TypeFilter="All",$C146=TypeFilter)),1,0)</f>
        <v/>
      </c>
    </row>
    <row r="147" ht="15" customHeight="1" s="20">
      <c r="A147" s="19" t="inlineStr">
        <is>
          <t>s919</t>
        </is>
      </c>
      <c r="B147" s="19" t="inlineStr">
        <is>
          <t>Reality TV</t>
        </is>
      </c>
      <c r="C147" s="19">
        <f>IFERROR(INDEX(tblNetflix[type],MATCH($A147,tblNetflix[show_id],0)),"")</f>
        <v/>
      </c>
      <c r="D147" s="19">
        <f>IFERROR(INDEX(tblNetflix[rating],MATCH($A147,tblNetflix[show_id],0)),"")</f>
        <v/>
      </c>
      <c r="E147" s="19">
        <f>IFERROR(INDEX(tblNetflix[year_added],MATCH($A147,tblNetflix[show_id],0)),"")</f>
        <v/>
      </c>
      <c r="F147" s="19">
        <f>IF(AND(OR(YearFilter="All",$E147=YearFilter),OR(RatingFilter="All",$D147=RatingFilter),OR(TypeFilter="All",$C147=TypeFilter)),1,0)</f>
        <v/>
      </c>
    </row>
    <row r="148" ht="15" customHeight="1" s="20">
      <c r="A148" s="19" t="inlineStr">
        <is>
          <t>s960</t>
        </is>
      </c>
      <c r="B148" s="19" t="inlineStr">
        <is>
          <t>Dramas</t>
        </is>
      </c>
      <c r="C148" s="19">
        <f>IFERROR(INDEX(tblNetflix[type],MATCH($A148,tblNetflix[show_id],0)),"")</f>
        <v/>
      </c>
      <c r="D148" s="19">
        <f>IFERROR(INDEX(tblNetflix[rating],MATCH($A148,tblNetflix[show_id],0)),"")</f>
        <v/>
      </c>
      <c r="E148" s="19">
        <f>IFERROR(INDEX(tblNetflix[year_added],MATCH($A148,tblNetflix[show_id],0)),"")</f>
        <v/>
      </c>
      <c r="F148" s="19">
        <f>IF(AND(OR(YearFilter="All",$E148=YearFilter),OR(RatingFilter="All",$D148=RatingFilter),OR(TypeFilter="All",$C148=TypeFilter)),1,0)</f>
        <v/>
      </c>
    </row>
    <row r="149" ht="15" customHeight="1" s="20">
      <c r="A149" s="19" t="inlineStr">
        <is>
          <t>s960</t>
        </is>
      </c>
      <c r="B149" s="19" t="inlineStr">
        <is>
          <t>Independent Movies</t>
        </is>
      </c>
      <c r="C149" s="19">
        <f>IFERROR(INDEX(tblNetflix[type],MATCH($A149,tblNetflix[show_id],0)),"")</f>
        <v/>
      </c>
      <c r="D149" s="19">
        <f>IFERROR(INDEX(tblNetflix[rating],MATCH($A149,tblNetflix[show_id],0)),"")</f>
        <v/>
      </c>
      <c r="E149" s="19">
        <f>IFERROR(INDEX(tblNetflix[year_added],MATCH($A149,tblNetflix[show_id],0)),"")</f>
        <v/>
      </c>
      <c r="F149" s="19">
        <f>IF(AND(OR(YearFilter="All",$E149=YearFilter),OR(RatingFilter="All",$D149=RatingFilter),OR(TypeFilter="All",$C149=TypeFilter)),1,0)</f>
        <v/>
      </c>
    </row>
    <row r="150" ht="15" customHeight="1" s="20">
      <c r="A150" s="19" t="inlineStr">
        <is>
          <t>s960</t>
        </is>
      </c>
      <c r="B150" s="19" t="inlineStr">
        <is>
          <t>International Movies</t>
        </is>
      </c>
      <c r="C150" s="19">
        <f>IFERROR(INDEX(tblNetflix[type],MATCH($A150,tblNetflix[show_id],0)),"")</f>
        <v/>
      </c>
      <c r="D150" s="19">
        <f>IFERROR(INDEX(tblNetflix[rating],MATCH($A150,tblNetflix[show_id],0)),"")</f>
        <v/>
      </c>
      <c r="E150" s="19">
        <f>IFERROR(INDEX(tblNetflix[year_added],MATCH($A150,tblNetflix[show_id],0)),"")</f>
        <v/>
      </c>
      <c r="F150" s="19">
        <f>IF(AND(OR(YearFilter="All",$E150=YearFilter),OR(RatingFilter="All",$D150=RatingFilter),OR(TypeFilter="All",$C150=TypeFilter)),1,0)</f>
        <v/>
      </c>
    </row>
    <row r="151" ht="15" customHeight="1" s="20">
      <c r="A151" s="19" t="inlineStr">
        <is>
          <t>s974</t>
        </is>
      </c>
      <c r="B151" s="19" t="inlineStr">
        <is>
          <t>Dramas</t>
        </is>
      </c>
      <c r="C151" s="19">
        <f>IFERROR(INDEX(tblNetflix[type],MATCH($A151,tblNetflix[show_id],0)),"")</f>
        <v/>
      </c>
      <c r="D151" s="19">
        <f>IFERROR(INDEX(tblNetflix[rating],MATCH($A151,tblNetflix[show_id],0)),"")</f>
        <v/>
      </c>
      <c r="E151" s="19">
        <f>IFERROR(INDEX(tblNetflix[year_added],MATCH($A151,tblNetflix[show_id],0)),"")</f>
        <v/>
      </c>
      <c r="F151" s="19">
        <f>IF(AND(OR(YearFilter="All",$E151=YearFilter),OR(RatingFilter="All",$D151=RatingFilter),OR(TypeFilter="All",$C151=TypeFilter)),1,0)</f>
        <v/>
      </c>
    </row>
    <row r="152" ht="15" customHeight="1" s="20">
      <c r="A152" s="19" t="inlineStr">
        <is>
          <t>s974</t>
        </is>
      </c>
      <c r="B152" s="19" t="inlineStr">
        <is>
          <t>International Movies</t>
        </is>
      </c>
      <c r="C152" s="19">
        <f>IFERROR(INDEX(tblNetflix[type],MATCH($A152,tblNetflix[show_id],0)),"")</f>
        <v/>
      </c>
      <c r="D152" s="19">
        <f>IFERROR(INDEX(tblNetflix[rating],MATCH($A152,tblNetflix[show_id],0)),"")</f>
        <v/>
      </c>
      <c r="E152" s="19">
        <f>IFERROR(INDEX(tblNetflix[year_added],MATCH($A152,tblNetflix[show_id],0)),"")</f>
        <v/>
      </c>
      <c r="F152" s="19">
        <f>IF(AND(OR(YearFilter="All",$E152=YearFilter),OR(RatingFilter="All",$D152=RatingFilter),OR(TypeFilter="All",$C152=TypeFilter)),1,0)</f>
        <v/>
      </c>
    </row>
    <row r="153" ht="15" customHeight="1" s="20">
      <c r="A153" s="19" t="inlineStr">
        <is>
          <t>s975</t>
        </is>
      </c>
      <c r="B153" s="19" t="inlineStr">
        <is>
          <t>Dramas</t>
        </is>
      </c>
      <c r="C153" s="19">
        <f>IFERROR(INDEX(tblNetflix[type],MATCH($A153,tblNetflix[show_id],0)),"")</f>
        <v/>
      </c>
      <c r="D153" s="19">
        <f>IFERROR(INDEX(tblNetflix[rating],MATCH($A153,tblNetflix[show_id],0)),"")</f>
        <v/>
      </c>
      <c r="E153" s="19">
        <f>IFERROR(INDEX(tblNetflix[year_added],MATCH($A153,tblNetflix[show_id],0)),"")</f>
        <v/>
      </c>
      <c r="F153" s="19">
        <f>IF(AND(OR(YearFilter="All",$E153=YearFilter),OR(RatingFilter="All",$D153=RatingFilter),OR(TypeFilter="All",$C153=TypeFilter)),1,0)</f>
        <v/>
      </c>
    </row>
    <row r="154" ht="15" customHeight="1" s="20">
      <c r="A154" s="19" t="inlineStr">
        <is>
          <t>s975</t>
        </is>
      </c>
      <c r="B154" s="19" t="inlineStr">
        <is>
          <t>Independent Movies</t>
        </is>
      </c>
      <c r="C154" s="19">
        <f>IFERROR(INDEX(tblNetflix[type],MATCH($A154,tblNetflix[show_id],0)),"")</f>
        <v/>
      </c>
      <c r="D154" s="19">
        <f>IFERROR(INDEX(tblNetflix[rating],MATCH($A154,tblNetflix[show_id],0)),"")</f>
        <v/>
      </c>
      <c r="E154" s="19">
        <f>IFERROR(INDEX(tblNetflix[year_added],MATCH($A154,tblNetflix[show_id],0)),"")</f>
        <v/>
      </c>
      <c r="F154" s="19">
        <f>IF(AND(OR(YearFilter="All",$E154=YearFilter),OR(RatingFilter="All",$D154=RatingFilter),OR(TypeFilter="All",$C154=TypeFilter)),1,0)</f>
        <v/>
      </c>
    </row>
    <row r="155" ht="15" customHeight="1" s="20">
      <c r="A155" s="19" t="inlineStr">
        <is>
          <t>s975</t>
        </is>
      </c>
      <c r="B155" s="19" t="inlineStr">
        <is>
          <t>International Movies</t>
        </is>
      </c>
      <c r="C155" s="19">
        <f>IFERROR(INDEX(tblNetflix[type],MATCH($A155,tblNetflix[show_id],0)),"")</f>
        <v/>
      </c>
      <c r="D155" s="19">
        <f>IFERROR(INDEX(tblNetflix[rating],MATCH($A155,tblNetflix[show_id],0)),"")</f>
        <v/>
      </c>
      <c r="E155" s="19">
        <f>IFERROR(INDEX(tblNetflix[year_added],MATCH($A155,tblNetflix[show_id],0)),"")</f>
        <v/>
      </c>
      <c r="F155" s="19">
        <f>IF(AND(OR(YearFilter="All",$E155=YearFilter),OR(RatingFilter="All",$D155=RatingFilter),OR(TypeFilter="All",$C155=TypeFilter)),1,0)</f>
        <v/>
      </c>
    </row>
    <row r="156" ht="15" customHeight="1" s="20">
      <c r="A156" s="19" t="inlineStr">
        <is>
          <t>s999</t>
        </is>
      </c>
      <c r="B156" s="19" t="inlineStr">
        <is>
          <t>Documentaries</t>
        </is>
      </c>
      <c r="C156" s="19">
        <f>IFERROR(INDEX(tblNetflix[type],MATCH($A156,tblNetflix[show_id],0)),"")</f>
        <v/>
      </c>
      <c r="D156" s="19">
        <f>IFERROR(INDEX(tblNetflix[rating],MATCH($A156,tblNetflix[show_id],0)),"")</f>
        <v/>
      </c>
      <c r="E156" s="19">
        <f>IFERROR(INDEX(tblNetflix[year_added],MATCH($A156,tblNetflix[show_id],0)),"")</f>
        <v/>
      </c>
      <c r="F156" s="19">
        <f>IF(AND(OR(YearFilter="All",$E156=YearFilter),OR(RatingFilter="All",$D156=RatingFilter),OR(TypeFilter="All",$C156=TypeFilter)),1,0)</f>
        <v/>
      </c>
    </row>
    <row r="157" ht="15" customHeight="1" s="20">
      <c r="A157" s="19" t="inlineStr">
        <is>
          <t>s999</t>
        </is>
      </c>
      <c r="B157" s="19" t="inlineStr">
        <is>
          <t>International Movies</t>
        </is>
      </c>
      <c r="C157" s="19">
        <f>IFERROR(INDEX(tblNetflix[type],MATCH($A157,tblNetflix[show_id],0)),"")</f>
        <v/>
      </c>
      <c r="D157" s="19">
        <f>IFERROR(INDEX(tblNetflix[rating],MATCH($A157,tblNetflix[show_id],0)),"")</f>
        <v/>
      </c>
      <c r="E157" s="19">
        <f>IFERROR(INDEX(tblNetflix[year_added],MATCH($A157,tblNetflix[show_id],0)),"")</f>
        <v/>
      </c>
      <c r="F157" s="19">
        <f>IF(AND(OR(YearFilter="All",$E157=YearFilter),OR(RatingFilter="All",$D157=RatingFilter),OR(TypeFilter="All",$C157=TypeFilter)),1,0)</f>
        <v/>
      </c>
    </row>
    <row r="158" ht="15" customHeight="1" s="20">
      <c r="A158" s="19" t="inlineStr">
        <is>
          <t>s1017</t>
        </is>
      </c>
      <c r="B158" s="19" t="inlineStr">
        <is>
          <t>Action &amp; Adventure</t>
        </is>
      </c>
      <c r="C158" s="19">
        <f>IFERROR(INDEX(tblNetflix[type],MATCH($A158,tblNetflix[show_id],0)),"")</f>
        <v/>
      </c>
      <c r="D158" s="19">
        <f>IFERROR(INDEX(tblNetflix[rating],MATCH($A158,tblNetflix[show_id],0)),"")</f>
        <v/>
      </c>
      <c r="E158" s="19">
        <f>IFERROR(INDEX(tblNetflix[year_added],MATCH($A158,tblNetflix[show_id],0)),"")</f>
        <v/>
      </c>
      <c r="F158" s="19">
        <f>IF(AND(OR(YearFilter="All",$E158=YearFilter),OR(RatingFilter="All",$D158=RatingFilter),OR(TypeFilter="All",$C158=TypeFilter)),1,0)</f>
        <v/>
      </c>
    </row>
    <row r="159" ht="15" customHeight="1" s="20">
      <c r="A159" s="19" t="inlineStr">
        <is>
          <t>s1017</t>
        </is>
      </c>
      <c r="B159" s="19" t="inlineStr">
        <is>
          <t>Comedies</t>
        </is>
      </c>
      <c r="C159" s="19">
        <f>IFERROR(INDEX(tblNetflix[type],MATCH($A159,tblNetflix[show_id],0)),"")</f>
        <v/>
      </c>
      <c r="D159" s="19">
        <f>IFERROR(INDEX(tblNetflix[rating],MATCH($A159,tblNetflix[show_id],0)),"")</f>
        <v/>
      </c>
      <c r="E159" s="19">
        <f>IFERROR(INDEX(tblNetflix[year_added],MATCH($A159,tblNetflix[show_id],0)),"")</f>
        <v/>
      </c>
      <c r="F159" s="19">
        <f>IF(AND(OR(YearFilter="All",$E159=YearFilter),OR(RatingFilter="All",$D159=RatingFilter),OR(TypeFilter="All",$C159=TypeFilter)),1,0)</f>
        <v/>
      </c>
    </row>
    <row r="160" ht="15" customHeight="1" s="20">
      <c r="A160" s="19" t="inlineStr">
        <is>
          <t>s1017</t>
        </is>
      </c>
      <c r="B160" s="19" t="inlineStr">
        <is>
          <t>International Movies</t>
        </is>
      </c>
      <c r="C160" s="19">
        <f>IFERROR(INDEX(tblNetflix[type],MATCH($A160,tblNetflix[show_id],0)),"")</f>
        <v/>
      </c>
      <c r="D160" s="19">
        <f>IFERROR(INDEX(tblNetflix[rating],MATCH($A160,tblNetflix[show_id],0)),"")</f>
        <v/>
      </c>
      <c r="E160" s="19">
        <f>IFERROR(INDEX(tblNetflix[year_added],MATCH($A160,tblNetflix[show_id],0)),"")</f>
        <v/>
      </c>
      <c r="F160" s="19">
        <f>IF(AND(OR(YearFilter="All",$E160=YearFilter),OR(RatingFilter="All",$D160=RatingFilter),OR(TypeFilter="All",$C160=TypeFilter)),1,0)</f>
        <v/>
      </c>
    </row>
    <row r="161" ht="15" customHeight="1" s="20">
      <c r="A161" s="19" t="inlineStr">
        <is>
          <t>s1018</t>
        </is>
      </c>
      <c r="B161" s="19" t="inlineStr">
        <is>
          <t>Dramas</t>
        </is>
      </c>
      <c r="C161" s="19">
        <f>IFERROR(INDEX(tblNetflix[type],MATCH($A161,tblNetflix[show_id],0)),"")</f>
        <v/>
      </c>
      <c r="D161" s="19">
        <f>IFERROR(INDEX(tblNetflix[rating],MATCH($A161,tblNetflix[show_id],0)),"")</f>
        <v/>
      </c>
      <c r="E161" s="19">
        <f>IFERROR(INDEX(tblNetflix[year_added],MATCH($A161,tblNetflix[show_id],0)),"")</f>
        <v/>
      </c>
      <c r="F161" s="19">
        <f>IF(AND(OR(YearFilter="All",$E161=YearFilter),OR(RatingFilter="All",$D161=RatingFilter),OR(TypeFilter="All",$C161=TypeFilter)),1,0)</f>
        <v/>
      </c>
    </row>
    <row r="162" ht="15" customHeight="1" s="20">
      <c r="A162" s="19" t="inlineStr">
        <is>
          <t>s1018</t>
        </is>
      </c>
      <c r="B162" s="19" t="inlineStr">
        <is>
          <t>International Movies</t>
        </is>
      </c>
      <c r="C162" s="19">
        <f>IFERROR(INDEX(tblNetflix[type],MATCH($A162,tblNetflix[show_id],0)),"")</f>
        <v/>
      </c>
      <c r="D162" s="19">
        <f>IFERROR(INDEX(tblNetflix[rating],MATCH($A162,tblNetflix[show_id],0)),"")</f>
        <v/>
      </c>
      <c r="E162" s="19">
        <f>IFERROR(INDEX(tblNetflix[year_added],MATCH($A162,tblNetflix[show_id],0)),"")</f>
        <v/>
      </c>
      <c r="F162" s="19">
        <f>IF(AND(OR(YearFilter="All",$E162=YearFilter),OR(RatingFilter="All",$D162=RatingFilter),OR(TypeFilter="All",$C162=TypeFilter)),1,0)</f>
        <v/>
      </c>
    </row>
    <row r="163" ht="15" customHeight="1" s="20">
      <c r="A163" s="19" t="inlineStr">
        <is>
          <t>s1019</t>
        </is>
      </c>
      <c r="B163" s="19" t="inlineStr">
        <is>
          <t>Comedies</t>
        </is>
      </c>
      <c r="C163" s="19">
        <f>IFERROR(INDEX(tblNetflix[type],MATCH($A163,tblNetflix[show_id],0)),"")</f>
        <v/>
      </c>
      <c r="D163" s="19">
        <f>IFERROR(INDEX(tblNetflix[rating],MATCH($A163,tblNetflix[show_id],0)),"")</f>
        <v/>
      </c>
      <c r="E163" s="19">
        <f>IFERROR(INDEX(tblNetflix[year_added],MATCH($A163,tblNetflix[show_id],0)),"")</f>
        <v/>
      </c>
      <c r="F163" s="19">
        <f>IF(AND(OR(YearFilter="All",$E163=YearFilter),OR(RatingFilter="All",$D163=RatingFilter),OR(TypeFilter="All",$C163=TypeFilter)),1,0)</f>
        <v/>
      </c>
    </row>
    <row r="164" ht="15" customHeight="1" s="20">
      <c r="A164" s="19" t="inlineStr">
        <is>
          <t>s1019</t>
        </is>
      </c>
      <c r="B164" s="19" t="inlineStr">
        <is>
          <t>International Movies</t>
        </is>
      </c>
      <c r="C164" s="19">
        <f>IFERROR(INDEX(tblNetflix[type],MATCH($A164,tblNetflix[show_id],0)),"")</f>
        <v/>
      </c>
      <c r="D164" s="19">
        <f>IFERROR(INDEX(tblNetflix[rating],MATCH($A164,tblNetflix[show_id],0)),"")</f>
        <v/>
      </c>
      <c r="E164" s="19">
        <f>IFERROR(INDEX(tblNetflix[year_added],MATCH($A164,tblNetflix[show_id],0)),"")</f>
        <v/>
      </c>
      <c r="F164" s="19">
        <f>IF(AND(OR(YearFilter="All",$E164=YearFilter),OR(RatingFilter="All",$D164=RatingFilter),OR(TypeFilter="All",$C164=TypeFilter)),1,0)</f>
        <v/>
      </c>
    </row>
    <row r="165" ht="15" customHeight="1" s="20">
      <c r="A165" s="19" t="inlineStr">
        <is>
          <t>s1019</t>
        </is>
      </c>
      <c r="B165" s="19" t="inlineStr">
        <is>
          <t>Music &amp; Musicals</t>
        </is>
      </c>
      <c r="C165" s="19">
        <f>IFERROR(INDEX(tblNetflix[type],MATCH($A165,tblNetflix[show_id],0)),"")</f>
        <v/>
      </c>
      <c r="D165" s="19">
        <f>IFERROR(INDEX(tblNetflix[rating],MATCH($A165,tblNetflix[show_id],0)),"")</f>
        <v/>
      </c>
      <c r="E165" s="19">
        <f>IFERROR(INDEX(tblNetflix[year_added],MATCH($A165,tblNetflix[show_id],0)),"")</f>
        <v/>
      </c>
      <c r="F165" s="19">
        <f>IF(AND(OR(YearFilter="All",$E165=YearFilter),OR(RatingFilter="All",$D165=RatingFilter),OR(TypeFilter="All",$C165=TypeFilter)),1,0)</f>
        <v/>
      </c>
    </row>
    <row r="166" ht="15" customHeight="1" s="20">
      <c r="A166" s="19" t="inlineStr">
        <is>
          <t>s1020</t>
        </is>
      </c>
      <c r="B166" s="19" t="inlineStr">
        <is>
          <t>Dramas</t>
        </is>
      </c>
      <c r="C166" s="19">
        <f>IFERROR(INDEX(tblNetflix[type],MATCH($A166,tblNetflix[show_id],0)),"")</f>
        <v/>
      </c>
      <c r="D166" s="19">
        <f>IFERROR(INDEX(tblNetflix[rating],MATCH($A166,tblNetflix[show_id],0)),"")</f>
        <v/>
      </c>
      <c r="E166" s="19">
        <f>IFERROR(INDEX(tblNetflix[year_added],MATCH($A166,tblNetflix[show_id],0)),"")</f>
        <v/>
      </c>
      <c r="F166" s="19">
        <f>IF(AND(OR(YearFilter="All",$E166=YearFilter),OR(RatingFilter="All",$D166=RatingFilter),OR(TypeFilter="All",$C166=TypeFilter)),1,0)</f>
        <v/>
      </c>
    </row>
    <row r="167" ht="15" customHeight="1" s="20">
      <c r="A167" s="19" t="inlineStr">
        <is>
          <t>s1020</t>
        </is>
      </c>
      <c r="B167" s="19" t="inlineStr">
        <is>
          <t>International Movies</t>
        </is>
      </c>
      <c r="C167" s="19">
        <f>IFERROR(INDEX(tblNetflix[type],MATCH($A167,tblNetflix[show_id],0)),"")</f>
        <v/>
      </c>
      <c r="D167" s="19">
        <f>IFERROR(INDEX(tblNetflix[rating],MATCH($A167,tblNetflix[show_id],0)),"")</f>
        <v/>
      </c>
      <c r="E167" s="19">
        <f>IFERROR(INDEX(tblNetflix[year_added],MATCH($A167,tblNetflix[show_id],0)),"")</f>
        <v/>
      </c>
      <c r="F167" s="19">
        <f>IF(AND(OR(YearFilter="All",$E167=YearFilter),OR(RatingFilter="All",$D167=RatingFilter),OR(TypeFilter="All",$C167=TypeFilter)),1,0)</f>
        <v/>
      </c>
    </row>
    <row r="168" ht="15" customHeight="1" s="20">
      <c r="A168" s="19" t="inlineStr">
        <is>
          <t>s1020</t>
        </is>
      </c>
      <c r="B168" s="19" t="inlineStr">
        <is>
          <t>Music &amp; Musicals</t>
        </is>
      </c>
      <c r="C168" s="19">
        <f>IFERROR(INDEX(tblNetflix[type],MATCH($A168,tblNetflix[show_id],0)),"")</f>
        <v/>
      </c>
      <c r="D168" s="19">
        <f>IFERROR(INDEX(tblNetflix[rating],MATCH($A168,tblNetflix[show_id],0)),"")</f>
        <v/>
      </c>
      <c r="E168" s="19">
        <f>IFERROR(INDEX(tblNetflix[year_added],MATCH($A168,tblNetflix[show_id],0)),"")</f>
        <v/>
      </c>
      <c r="F168" s="19">
        <f>IF(AND(OR(YearFilter="All",$E168=YearFilter),OR(RatingFilter="All",$D168=RatingFilter),OR(TypeFilter="All",$C168=TypeFilter)),1,0)</f>
        <v/>
      </c>
    </row>
    <row r="169" ht="15" customHeight="1" s="20">
      <c r="A169" s="19" t="inlineStr">
        <is>
          <t>s1021</t>
        </is>
      </c>
      <c r="B169" s="19" t="inlineStr">
        <is>
          <t>Documentaries</t>
        </is>
      </c>
      <c r="C169" s="19">
        <f>IFERROR(INDEX(tblNetflix[type],MATCH($A169,tblNetflix[show_id],0)),"")</f>
        <v/>
      </c>
      <c r="D169" s="19">
        <f>IFERROR(INDEX(tblNetflix[rating],MATCH($A169,tblNetflix[show_id],0)),"")</f>
        <v/>
      </c>
      <c r="E169" s="19">
        <f>IFERROR(INDEX(tblNetflix[year_added],MATCH($A169,tblNetflix[show_id],0)),"")</f>
        <v/>
      </c>
      <c r="F169" s="19">
        <f>IF(AND(OR(YearFilter="All",$E169=YearFilter),OR(RatingFilter="All",$D169=RatingFilter),OR(TypeFilter="All",$C169=TypeFilter)),1,0)</f>
        <v/>
      </c>
    </row>
    <row r="170" ht="15" customHeight="1" s="20">
      <c r="A170" s="19" t="inlineStr">
        <is>
          <t>s1021</t>
        </is>
      </c>
      <c r="B170" s="19" t="inlineStr">
        <is>
          <t>International Movies</t>
        </is>
      </c>
      <c r="C170" s="19">
        <f>IFERROR(INDEX(tblNetflix[type],MATCH($A170,tblNetflix[show_id],0)),"")</f>
        <v/>
      </c>
      <c r="D170" s="19">
        <f>IFERROR(INDEX(tblNetflix[rating],MATCH($A170,tblNetflix[show_id],0)),"")</f>
        <v/>
      </c>
      <c r="E170" s="19">
        <f>IFERROR(INDEX(tblNetflix[year_added],MATCH($A170,tblNetflix[show_id],0)),"")</f>
        <v/>
      </c>
      <c r="F170" s="19">
        <f>IF(AND(OR(YearFilter="All",$E170=YearFilter),OR(RatingFilter="All",$D170=RatingFilter),OR(TypeFilter="All",$C170=TypeFilter)),1,0)</f>
        <v/>
      </c>
    </row>
    <row r="171" ht="15" customHeight="1" s="20">
      <c r="A171" s="19" t="inlineStr">
        <is>
          <t>s1022</t>
        </is>
      </c>
      <c r="B171" s="19" t="inlineStr">
        <is>
          <t>Comedies</t>
        </is>
      </c>
      <c r="C171" s="19">
        <f>IFERROR(INDEX(tblNetflix[type],MATCH($A171,tblNetflix[show_id],0)),"")</f>
        <v/>
      </c>
      <c r="D171" s="19">
        <f>IFERROR(INDEX(tblNetflix[rating],MATCH($A171,tblNetflix[show_id],0)),"")</f>
        <v/>
      </c>
      <c r="E171" s="19">
        <f>IFERROR(INDEX(tblNetflix[year_added],MATCH($A171,tblNetflix[show_id],0)),"")</f>
        <v/>
      </c>
      <c r="F171" s="19">
        <f>IF(AND(OR(YearFilter="All",$E171=YearFilter),OR(RatingFilter="All",$D171=RatingFilter),OR(TypeFilter="All",$C171=TypeFilter)),1,0)</f>
        <v/>
      </c>
    </row>
    <row r="172" ht="15" customHeight="1" s="20">
      <c r="A172" s="19" t="inlineStr">
        <is>
          <t>s1022</t>
        </is>
      </c>
      <c r="B172" s="19" t="inlineStr">
        <is>
          <t>Dramas</t>
        </is>
      </c>
      <c r="C172" s="19">
        <f>IFERROR(INDEX(tblNetflix[type],MATCH($A172,tblNetflix[show_id],0)),"")</f>
        <v/>
      </c>
      <c r="D172" s="19">
        <f>IFERROR(INDEX(tblNetflix[rating],MATCH($A172,tblNetflix[show_id],0)),"")</f>
        <v/>
      </c>
      <c r="E172" s="19">
        <f>IFERROR(INDEX(tblNetflix[year_added],MATCH($A172,tblNetflix[show_id],0)),"")</f>
        <v/>
      </c>
      <c r="F172" s="19">
        <f>IF(AND(OR(YearFilter="All",$E172=YearFilter),OR(RatingFilter="All",$D172=RatingFilter),OR(TypeFilter="All",$C172=TypeFilter)),1,0)</f>
        <v/>
      </c>
    </row>
    <row r="173" ht="15" customHeight="1" s="20">
      <c r="A173" s="19" t="inlineStr">
        <is>
          <t>s1022</t>
        </is>
      </c>
      <c r="B173" s="19" t="inlineStr">
        <is>
          <t>Independent Movies</t>
        </is>
      </c>
      <c r="C173" s="19">
        <f>IFERROR(INDEX(tblNetflix[type],MATCH($A173,tblNetflix[show_id],0)),"")</f>
        <v/>
      </c>
      <c r="D173" s="19">
        <f>IFERROR(INDEX(tblNetflix[rating],MATCH($A173,tblNetflix[show_id],0)),"")</f>
        <v/>
      </c>
      <c r="E173" s="19">
        <f>IFERROR(INDEX(tblNetflix[year_added],MATCH($A173,tblNetflix[show_id],0)),"")</f>
        <v/>
      </c>
      <c r="F173" s="19">
        <f>IF(AND(OR(YearFilter="All",$E173=YearFilter),OR(RatingFilter="All",$D173=RatingFilter),OR(TypeFilter="All",$C173=TypeFilter)),1,0)</f>
        <v/>
      </c>
    </row>
    <row r="174" ht="15" customHeight="1" s="20">
      <c r="A174" s="19" t="inlineStr">
        <is>
          <t>s1023</t>
        </is>
      </c>
      <c r="B174" s="19" t="inlineStr">
        <is>
          <t>Dramas</t>
        </is>
      </c>
      <c r="C174" s="19">
        <f>IFERROR(INDEX(tblNetflix[type],MATCH($A174,tblNetflix[show_id],0)),"")</f>
        <v/>
      </c>
      <c r="D174" s="19">
        <f>IFERROR(INDEX(tblNetflix[rating],MATCH($A174,tblNetflix[show_id],0)),"")</f>
        <v/>
      </c>
      <c r="E174" s="19">
        <f>IFERROR(INDEX(tblNetflix[year_added],MATCH($A174,tblNetflix[show_id],0)),"")</f>
        <v/>
      </c>
      <c r="F174" s="19">
        <f>IF(AND(OR(YearFilter="All",$E174=YearFilter),OR(RatingFilter="All",$D174=RatingFilter),OR(TypeFilter="All",$C174=TypeFilter)),1,0)</f>
        <v/>
      </c>
    </row>
    <row r="175" ht="15" customHeight="1" s="20">
      <c r="A175" s="19" t="inlineStr">
        <is>
          <t>s1023</t>
        </is>
      </c>
      <c r="B175" s="19" t="inlineStr">
        <is>
          <t>International Movies</t>
        </is>
      </c>
      <c r="C175" s="19">
        <f>IFERROR(INDEX(tblNetflix[type],MATCH($A175,tblNetflix[show_id],0)),"")</f>
        <v/>
      </c>
      <c r="D175" s="19">
        <f>IFERROR(INDEX(tblNetflix[rating],MATCH($A175,tblNetflix[show_id],0)),"")</f>
        <v/>
      </c>
      <c r="E175" s="19">
        <f>IFERROR(INDEX(tblNetflix[year_added],MATCH($A175,tblNetflix[show_id],0)),"")</f>
        <v/>
      </c>
      <c r="F175" s="19">
        <f>IF(AND(OR(YearFilter="All",$E175=YearFilter),OR(RatingFilter="All",$D175=RatingFilter),OR(TypeFilter="All",$C175=TypeFilter)),1,0)</f>
        <v/>
      </c>
    </row>
    <row r="176" ht="15" customHeight="1" s="20">
      <c r="A176" s="19" t="inlineStr">
        <is>
          <t>s1024</t>
        </is>
      </c>
      <c r="B176" s="19" t="inlineStr">
        <is>
          <t>Dramas</t>
        </is>
      </c>
      <c r="C176" s="19">
        <f>IFERROR(INDEX(tblNetflix[type],MATCH($A176,tblNetflix[show_id],0)),"")</f>
        <v/>
      </c>
      <c r="D176" s="19">
        <f>IFERROR(INDEX(tblNetflix[rating],MATCH($A176,tblNetflix[show_id],0)),"")</f>
        <v/>
      </c>
      <c r="E176" s="19">
        <f>IFERROR(INDEX(tblNetflix[year_added],MATCH($A176,tblNetflix[show_id],0)),"")</f>
        <v/>
      </c>
      <c r="F176" s="19">
        <f>IF(AND(OR(YearFilter="All",$E176=YearFilter),OR(RatingFilter="All",$D176=RatingFilter),OR(TypeFilter="All",$C176=TypeFilter)),1,0)</f>
        <v/>
      </c>
    </row>
    <row r="177" ht="15" customHeight="1" s="20">
      <c r="A177" s="19" t="inlineStr">
        <is>
          <t>s1024</t>
        </is>
      </c>
      <c r="B177" s="19" t="inlineStr">
        <is>
          <t>Independent Movies</t>
        </is>
      </c>
      <c r="C177" s="19">
        <f>IFERROR(INDEX(tblNetflix[type],MATCH($A177,tblNetflix[show_id],0)),"")</f>
        <v/>
      </c>
      <c r="D177" s="19">
        <f>IFERROR(INDEX(tblNetflix[rating],MATCH($A177,tblNetflix[show_id],0)),"")</f>
        <v/>
      </c>
      <c r="E177" s="19">
        <f>IFERROR(INDEX(tblNetflix[year_added],MATCH($A177,tblNetflix[show_id],0)),"")</f>
        <v/>
      </c>
      <c r="F177" s="19">
        <f>IF(AND(OR(YearFilter="All",$E177=YearFilter),OR(RatingFilter="All",$D177=RatingFilter),OR(TypeFilter="All",$C177=TypeFilter)),1,0)</f>
        <v/>
      </c>
    </row>
    <row r="178" ht="15" customHeight="1" s="20">
      <c r="A178" s="19" t="inlineStr">
        <is>
          <t>s1024</t>
        </is>
      </c>
      <c r="B178" s="19" t="inlineStr">
        <is>
          <t>International Movies</t>
        </is>
      </c>
      <c r="C178" s="19">
        <f>IFERROR(INDEX(tblNetflix[type],MATCH($A178,tblNetflix[show_id],0)),"")</f>
        <v/>
      </c>
      <c r="D178" s="19">
        <f>IFERROR(INDEX(tblNetflix[rating],MATCH($A178,tblNetflix[show_id],0)),"")</f>
        <v/>
      </c>
      <c r="E178" s="19">
        <f>IFERROR(INDEX(tblNetflix[year_added],MATCH($A178,tblNetflix[show_id],0)),"")</f>
        <v/>
      </c>
      <c r="F178" s="19">
        <f>IF(AND(OR(YearFilter="All",$E178=YearFilter),OR(RatingFilter="All",$D178=RatingFilter),OR(TypeFilter="All",$C178=TypeFilter)),1,0)</f>
        <v/>
      </c>
    </row>
    <row r="179" ht="15" customHeight="1" s="20">
      <c r="A179" s="19" t="inlineStr">
        <is>
          <t>s1038</t>
        </is>
      </c>
      <c r="B179" s="19" t="inlineStr">
        <is>
          <t>Comedies</t>
        </is>
      </c>
      <c r="C179" s="19">
        <f>IFERROR(INDEX(tblNetflix[type],MATCH($A179,tblNetflix[show_id],0)),"")</f>
        <v/>
      </c>
      <c r="D179" s="19">
        <f>IFERROR(INDEX(tblNetflix[rating],MATCH($A179,tblNetflix[show_id],0)),"")</f>
        <v/>
      </c>
      <c r="E179" s="19">
        <f>IFERROR(INDEX(tblNetflix[year_added],MATCH($A179,tblNetflix[show_id],0)),"")</f>
        <v/>
      </c>
      <c r="F179" s="19">
        <f>IF(AND(OR(YearFilter="All",$E179=YearFilter),OR(RatingFilter="All",$D179=RatingFilter),OR(TypeFilter="All",$C179=TypeFilter)),1,0)</f>
        <v/>
      </c>
    </row>
    <row r="180" ht="15" customHeight="1" s="20">
      <c r="A180" s="19" t="inlineStr">
        <is>
          <t>s1038</t>
        </is>
      </c>
      <c r="B180" s="19" t="inlineStr">
        <is>
          <t>Dramas</t>
        </is>
      </c>
      <c r="C180" s="19">
        <f>IFERROR(INDEX(tblNetflix[type],MATCH($A180,tblNetflix[show_id],0)),"")</f>
        <v/>
      </c>
      <c r="D180" s="19">
        <f>IFERROR(INDEX(tblNetflix[rating],MATCH($A180,tblNetflix[show_id],0)),"")</f>
        <v/>
      </c>
      <c r="E180" s="19">
        <f>IFERROR(INDEX(tblNetflix[year_added],MATCH($A180,tblNetflix[show_id],0)),"")</f>
        <v/>
      </c>
      <c r="F180" s="19">
        <f>IF(AND(OR(YearFilter="All",$E180=YearFilter),OR(RatingFilter="All",$D180=RatingFilter),OR(TypeFilter="All",$C180=TypeFilter)),1,0)</f>
        <v/>
      </c>
    </row>
    <row r="181" ht="15" customHeight="1" s="20">
      <c r="A181" s="19" t="inlineStr">
        <is>
          <t>s1038</t>
        </is>
      </c>
      <c r="B181" s="19" t="inlineStr">
        <is>
          <t>International Movies</t>
        </is>
      </c>
      <c r="C181" s="19">
        <f>IFERROR(INDEX(tblNetflix[type],MATCH($A181,tblNetflix[show_id],0)),"")</f>
        <v/>
      </c>
      <c r="D181" s="19">
        <f>IFERROR(INDEX(tblNetflix[rating],MATCH($A181,tblNetflix[show_id],0)),"")</f>
        <v/>
      </c>
      <c r="E181" s="19">
        <f>IFERROR(INDEX(tblNetflix[year_added],MATCH($A181,tblNetflix[show_id],0)),"")</f>
        <v/>
      </c>
      <c r="F181" s="19">
        <f>IF(AND(OR(YearFilter="All",$E181=YearFilter),OR(RatingFilter="All",$D181=RatingFilter),OR(TypeFilter="All",$C181=TypeFilter)),1,0)</f>
        <v/>
      </c>
    </row>
    <row r="182" ht="15" customHeight="1" s="20">
      <c r="A182" s="19" t="inlineStr">
        <is>
          <t>s1061</t>
        </is>
      </c>
      <c r="B182" s="19" t="inlineStr">
        <is>
          <t>Reality TV</t>
        </is>
      </c>
      <c r="C182" s="19">
        <f>IFERROR(INDEX(tblNetflix[type],MATCH($A182,tblNetflix[show_id],0)),"")</f>
        <v/>
      </c>
      <c r="D182" s="19">
        <f>IFERROR(INDEX(tblNetflix[rating],MATCH($A182,tblNetflix[show_id],0)),"")</f>
        <v/>
      </c>
      <c r="E182" s="19">
        <f>IFERROR(INDEX(tblNetflix[year_added],MATCH($A182,tblNetflix[show_id],0)),"")</f>
        <v/>
      </c>
      <c r="F182" s="19">
        <f>IF(AND(OR(YearFilter="All",$E182=YearFilter),OR(RatingFilter="All",$D182=RatingFilter),OR(TypeFilter="All",$C182=TypeFilter)),1,0)</f>
        <v/>
      </c>
    </row>
    <row r="183" ht="15" customHeight="1" s="20">
      <c r="A183" s="19" t="inlineStr">
        <is>
          <t>s1061</t>
        </is>
      </c>
      <c r="B183" s="19" t="inlineStr">
        <is>
          <t>Romantic TV Shows</t>
        </is>
      </c>
      <c r="C183" s="19">
        <f>IFERROR(INDEX(tblNetflix[type],MATCH($A183,tblNetflix[show_id],0)),"")</f>
        <v/>
      </c>
      <c r="D183" s="19">
        <f>IFERROR(INDEX(tblNetflix[rating],MATCH($A183,tblNetflix[show_id],0)),"")</f>
        <v/>
      </c>
      <c r="E183" s="19">
        <f>IFERROR(INDEX(tblNetflix[year_added],MATCH($A183,tblNetflix[show_id],0)),"")</f>
        <v/>
      </c>
      <c r="F183" s="19">
        <f>IF(AND(OR(YearFilter="All",$E183=YearFilter),OR(RatingFilter="All",$D183=RatingFilter),OR(TypeFilter="All",$C183=TypeFilter)),1,0)</f>
        <v/>
      </c>
    </row>
    <row r="184" ht="15" customHeight="1" s="20">
      <c r="A184" s="19" t="inlineStr">
        <is>
          <t>s1070</t>
        </is>
      </c>
      <c r="B184" s="19" t="inlineStr">
        <is>
          <t>Dramas</t>
        </is>
      </c>
      <c r="C184" s="19">
        <f>IFERROR(INDEX(tblNetflix[type],MATCH($A184,tblNetflix[show_id],0)),"")</f>
        <v/>
      </c>
      <c r="D184" s="19">
        <f>IFERROR(INDEX(tblNetflix[rating],MATCH($A184,tblNetflix[show_id],0)),"")</f>
        <v/>
      </c>
      <c r="E184" s="19">
        <f>IFERROR(INDEX(tblNetflix[year_added],MATCH($A184,tblNetflix[show_id],0)),"")</f>
        <v/>
      </c>
      <c r="F184" s="19">
        <f>IF(AND(OR(YearFilter="All",$E184=YearFilter),OR(RatingFilter="All",$D184=RatingFilter),OR(TypeFilter="All",$C184=TypeFilter)),1,0)</f>
        <v/>
      </c>
    </row>
    <row r="185" ht="15" customHeight="1" s="20">
      <c r="A185" s="19" t="inlineStr">
        <is>
          <t>s1070</t>
        </is>
      </c>
      <c r="B185" s="19" t="inlineStr">
        <is>
          <t>International Movies</t>
        </is>
      </c>
      <c r="C185" s="19">
        <f>IFERROR(INDEX(tblNetflix[type],MATCH($A185,tblNetflix[show_id],0)),"")</f>
        <v/>
      </c>
      <c r="D185" s="19">
        <f>IFERROR(INDEX(tblNetflix[rating],MATCH($A185,tblNetflix[show_id],0)),"")</f>
        <v/>
      </c>
      <c r="E185" s="19">
        <f>IFERROR(INDEX(tblNetflix[year_added],MATCH($A185,tblNetflix[show_id],0)),"")</f>
        <v/>
      </c>
      <c r="F185" s="19">
        <f>IF(AND(OR(YearFilter="All",$E185=YearFilter),OR(RatingFilter="All",$D185=RatingFilter),OR(TypeFilter="All",$C185=TypeFilter)),1,0)</f>
        <v/>
      </c>
    </row>
    <row r="186" ht="15" customHeight="1" s="20">
      <c r="A186" s="19" t="inlineStr">
        <is>
          <t>s1070</t>
        </is>
      </c>
      <c r="B186" s="19" t="inlineStr">
        <is>
          <t>Romantic Movies</t>
        </is>
      </c>
      <c r="C186" s="19">
        <f>IFERROR(INDEX(tblNetflix[type],MATCH($A186,tblNetflix[show_id],0)),"")</f>
        <v/>
      </c>
      <c r="D186" s="19">
        <f>IFERROR(INDEX(tblNetflix[rating],MATCH($A186,tblNetflix[show_id],0)),"")</f>
        <v/>
      </c>
      <c r="E186" s="19">
        <f>IFERROR(INDEX(tblNetflix[year_added],MATCH($A186,tblNetflix[show_id],0)),"")</f>
        <v/>
      </c>
      <c r="F186" s="19">
        <f>IF(AND(OR(YearFilter="All",$E186=YearFilter),OR(RatingFilter="All",$D186=RatingFilter),OR(TypeFilter="All",$C186=TypeFilter)),1,0)</f>
        <v/>
      </c>
    </row>
    <row r="187" ht="15" customHeight="1" s="20">
      <c r="A187" s="19" t="inlineStr">
        <is>
          <t>s1076</t>
        </is>
      </c>
      <c r="B187" s="19" t="inlineStr">
        <is>
          <t>Docuseries</t>
        </is>
      </c>
      <c r="C187" s="19">
        <f>IFERROR(INDEX(tblNetflix[type],MATCH($A187,tblNetflix[show_id],0)),"")</f>
        <v/>
      </c>
      <c r="D187" s="19">
        <f>IFERROR(INDEX(tblNetflix[rating],MATCH($A187,tblNetflix[show_id],0)),"")</f>
        <v/>
      </c>
      <c r="E187" s="19">
        <f>IFERROR(INDEX(tblNetflix[year_added],MATCH($A187,tblNetflix[show_id],0)),"")</f>
        <v/>
      </c>
      <c r="F187" s="19">
        <f>IF(AND(OR(YearFilter="All",$E187=YearFilter),OR(RatingFilter="All",$D187=RatingFilter),OR(TypeFilter="All",$C187=TypeFilter)),1,0)</f>
        <v/>
      </c>
    </row>
    <row r="188" ht="15" customHeight="1" s="20">
      <c r="A188" s="19" t="inlineStr">
        <is>
          <t>s1088</t>
        </is>
      </c>
      <c r="B188" s="19" t="inlineStr">
        <is>
          <t>Comedies</t>
        </is>
      </c>
      <c r="C188" s="19">
        <f>IFERROR(INDEX(tblNetflix[type],MATCH($A188,tblNetflix[show_id],0)),"")</f>
        <v/>
      </c>
      <c r="D188" s="19">
        <f>IFERROR(INDEX(tblNetflix[rating],MATCH($A188,tblNetflix[show_id],0)),"")</f>
        <v/>
      </c>
      <c r="E188" s="19">
        <f>IFERROR(INDEX(tblNetflix[year_added],MATCH($A188,tblNetflix[show_id],0)),"")</f>
        <v/>
      </c>
      <c r="F188" s="19">
        <f>IF(AND(OR(YearFilter="All",$E188=YearFilter),OR(RatingFilter="All",$D188=RatingFilter),OR(TypeFilter="All",$C188=TypeFilter)),1,0)</f>
        <v/>
      </c>
    </row>
    <row r="189" ht="15" customHeight="1" s="20">
      <c r="A189" s="19" t="inlineStr">
        <is>
          <t>s1088</t>
        </is>
      </c>
      <c r="B189" s="19" t="inlineStr">
        <is>
          <t>Horror Movies</t>
        </is>
      </c>
      <c r="C189" s="19">
        <f>IFERROR(INDEX(tblNetflix[type],MATCH($A189,tblNetflix[show_id],0)),"")</f>
        <v/>
      </c>
      <c r="D189" s="19">
        <f>IFERROR(INDEX(tblNetflix[rating],MATCH($A189,tblNetflix[show_id],0)),"")</f>
        <v/>
      </c>
      <c r="E189" s="19">
        <f>IFERROR(INDEX(tblNetflix[year_added],MATCH($A189,tblNetflix[show_id],0)),"")</f>
        <v/>
      </c>
      <c r="F189" s="19">
        <f>IF(AND(OR(YearFilter="All",$E189=YearFilter),OR(RatingFilter="All",$D189=RatingFilter),OR(TypeFilter="All",$C189=TypeFilter)),1,0)</f>
        <v/>
      </c>
    </row>
    <row r="190" ht="15" customHeight="1" s="20">
      <c r="A190" s="19" t="inlineStr">
        <is>
          <t>s1088</t>
        </is>
      </c>
      <c r="B190" s="19" t="inlineStr">
        <is>
          <t>International Movies</t>
        </is>
      </c>
      <c r="C190" s="19">
        <f>IFERROR(INDEX(tblNetflix[type],MATCH($A190,tblNetflix[show_id],0)),"")</f>
        <v/>
      </c>
      <c r="D190" s="19">
        <f>IFERROR(INDEX(tblNetflix[rating],MATCH($A190,tblNetflix[show_id],0)),"")</f>
        <v/>
      </c>
      <c r="E190" s="19">
        <f>IFERROR(INDEX(tblNetflix[year_added],MATCH($A190,tblNetflix[show_id],0)),"")</f>
        <v/>
      </c>
      <c r="F190" s="19">
        <f>IF(AND(OR(YearFilter="All",$E190=YearFilter),OR(RatingFilter="All",$D190=RatingFilter),OR(TypeFilter="All",$C190=TypeFilter)),1,0)</f>
        <v/>
      </c>
    </row>
    <row r="191" ht="15" customHeight="1" s="20">
      <c r="A191" s="19" t="inlineStr">
        <is>
          <t>s1094</t>
        </is>
      </c>
      <c r="B191" s="19" t="inlineStr">
        <is>
          <t>International TV Shows</t>
        </is>
      </c>
      <c r="C191" s="19">
        <f>IFERROR(INDEX(tblNetflix[type],MATCH($A191,tblNetflix[show_id],0)),"")</f>
        <v/>
      </c>
      <c r="D191" s="19">
        <f>IFERROR(INDEX(tblNetflix[rating],MATCH($A191,tblNetflix[show_id],0)),"")</f>
        <v/>
      </c>
      <c r="E191" s="19">
        <f>IFERROR(INDEX(tblNetflix[year_added],MATCH($A191,tblNetflix[show_id],0)),"")</f>
        <v/>
      </c>
      <c r="F191" s="19">
        <f>IF(AND(OR(YearFilter="All",$E191=YearFilter),OR(RatingFilter="All",$D191=RatingFilter),OR(TypeFilter="All",$C191=TypeFilter)),1,0)</f>
        <v/>
      </c>
    </row>
    <row r="192" ht="15" customHeight="1" s="20">
      <c r="A192" s="19" t="inlineStr">
        <is>
          <t>s1094</t>
        </is>
      </c>
      <c r="B192" s="19" t="inlineStr">
        <is>
          <t>Reality TV</t>
        </is>
      </c>
      <c r="C192" s="19">
        <f>IFERROR(INDEX(tblNetflix[type],MATCH($A192,tblNetflix[show_id],0)),"")</f>
        <v/>
      </c>
      <c r="D192" s="19">
        <f>IFERROR(INDEX(tblNetflix[rating],MATCH($A192,tblNetflix[show_id],0)),"")</f>
        <v/>
      </c>
      <c r="E192" s="19">
        <f>IFERROR(INDEX(tblNetflix[year_added],MATCH($A192,tblNetflix[show_id],0)),"")</f>
        <v/>
      </c>
      <c r="F192" s="19">
        <f>IF(AND(OR(YearFilter="All",$E192=YearFilter),OR(RatingFilter="All",$D192=RatingFilter),OR(TypeFilter="All",$C192=TypeFilter)),1,0)</f>
        <v/>
      </c>
    </row>
    <row r="193" ht="15" customHeight="1" s="20">
      <c r="A193" s="19" t="inlineStr">
        <is>
          <t>s1094</t>
        </is>
      </c>
      <c r="B193" s="19" t="inlineStr">
        <is>
          <t>Romantic TV Shows</t>
        </is>
      </c>
      <c r="C193" s="19">
        <f>IFERROR(INDEX(tblNetflix[type],MATCH($A193,tblNetflix[show_id],0)),"")</f>
        <v/>
      </c>
      <c r="D193" s="19">
        <f>IFERROR(INDEX(tblNetflix[rating],MATCH($A193,tblNetflix[show_id],0)),"")</f>
        <v/>
      </c>
      <c r="E193" s="19">
        <f>IFERROR(INDEX(tblNetflix[year_added],MATCH($A193,tblNetflix[show_id],0)),"")</f>
        <v/>
      </c>
      <c r="F193" s="19">
        <f>IF(AND(OR(YearFilter="All",$E193=YearFilter),OR(RatingFilter="All",$D193=RatingFilter),OR(TypeFilter="All",$C193=TypeFilter)),1,0)</f>
        <v/>
      </c>
    </row>
    <row r="194" ht="15" customHeight="1" s="20">
      <c r="A194" s="19" t="inlineStr">
        <is>
          <t>s1099</t>
        </is>
      </c>
      <c r="B194" s="19" t="inlineStr">
        <is>
          <t>Comedies</t>
        </is>
      </c>
      <c r="C194" s="19">
        <f>IFERROR(INDEX(tblNetflix[type],MATCH($A194,tblNetflix[show_id],0)),"")</f>
        <v/>
      </c>
      <c r="D194" s="19">
        <f>IFERROR(INDEX(tblNetflix[rating],MATCH($A194,tblNetflix[show_id],0)),"")</f>
        <v/>
      </c>
      <c r="E194" s="19">
        <f>IFERROR(INDEX(tblNetflix[year_added],MATCH($A194,tblNetflix[show_id],0)),"")</f>
        <v/>
      </c>
      <c r="F194" s="19">
        <f>IF(AND(OR(YearFilter="All",$E194=YearFilter),OR(RatingFilter="All",$D194=RatingFilter),OR(TypeFilter="All",$C194=TypeFilter)),1,0)</f>
        <v/>
      </c>
    </row>
    <row r="195" ht="15" customHeight="1" s="20">
      <c r="A195" s="19" t="inlineStr">
        <is>
          <t>s1099</t>
        </is>
      </c>
      <c r="B195" s="19" t="inlineStr">
        <is>
          <t>Dramas</t>
        </is>
      </c>
      <c r="C195" s="19">
        <f>IFERROR(INDEX(tblNetflix[type],MATCH($A195,tblNetflix[show_id],0)),"")</f>
        <v/>
      </c>
      <c r="D195" s="19">
        <f>IFERROR(INDEX(tblNetflix[rating],MATCH($A195,tblNetflix[show_id],0)),"")</f>
        <v/>
      </c>
      <c r="E195" s="19">
        <f>IFERROR(INDEX(tblNetflix[year_added],MATCH($A195,tblNetflix[show_id],0)),"")</f>
        <v/>
      </c>
      <c r="F195" s="19">
        <f>IF(AND(OR(YearFilter="All",$E195=YearFilter),OR(RatingFilter="All",$D195=RatingFilter),OR(TypeFilter="All",$C195=TypeFilter)),1,0)</f>
        <v/>
      </c>
    </row>
    <row r="196" ht="15" customHeight="1" s="20">
      <c r="A196" s="19" t="inlineStr">
        <is>
          <t>s1099</t>
        </is>
      </c>
      <c r="B196" s="19" t="inlineStr">
        <is>
          <t>International Movies</t>
        </is>
      </c>
      <c r="C196" s="19">
        <f>IFERROR(INDEX(tblNetflix[type],MATCH($A196,tblNetflix[show_id],0)),"")</f>
        <v/>
      </c>
      <c r="D196" s="19">
        <f>IFERROR(INDEX(tblNetflix[rating],MATCH($A196,tblNetflix[show_id],0)),"")</f>
        <v/>
      </c>
      <c r="E196" s="19">
        <f>IFERROR(INDEX(tblNetflix[year_added],MATCH($A196,tblNetflix[show_id],0)),"")</f>
        <v/>
      </c>
      <c r="F196" s="19">
        <f>IF(AND(OR(YearFilter="All",$E196=YearFilter),OR(RatingFilter="All",$D196=RatingFilter),OR(TypeFilter="All",$C196=TypeFilter)),1,0)</f>
        <v/>
      </c>
    </row>
    <row r="197" ht="15" customHeight="1" s="20">
      <c r="A197" s="19" t="inlineStr">
        <is>
          <t>s1109</t>
        </is>
      </c>
      <c r="B197" s="19" t="inlineStr">
        <is>
          <t>International Movies</t>
        </is>
      </c>
      <c r="C197" s="19">
        <f>IFERROR(INDEX(tblNetflix[type],MATCH($A197,tblNetflix[show_id],0)),"")</f>
        <v/>
      </c>
      <c r="D197" s="19">
        <f>IFERROR(INDEX(tblNetflix[rating],MATCH($A197,tblNetflix[show_id],0)),"")</f>
        <v/>
      </c>
      <c r="E197" s="19">
        <f>IFERROR(INDEX(tblNetflix[year_added],MATCH($A197,tblNetflix[show_id],0)),"")</f>
        <v/>
      </c>
      <c r="F197" s="19">
        <f>IF(AND(OR(YearFilter="All",$E197=YearFilter),OR(RatingFilter="All",$D197=RatingFilter),OR(TypeFilter="All",$C197=TypeFilter)),1,0)</f>
        <v/>
      </c>
    </row>
    <row r="198" ht="15" customHeight="1" s="20">
      <c r="A198" s="19" t="inlineStr">
        <is>
          <t>s1109</t>
        </is>
      </c>
      <c r="B198" s="19" t="inlineStr">
        <is>
          <t>Thrillers</t>
        </is>
      </c>
      <c r="C198" s="19">
        <f>IFERROR(INDEX(tblNetflix[type],MATCH($A198,tblNetflix[show_id],0)),"")</f>
        <v/>
      </c>
      <c r="D198" s="19">
        <f>IFERROR(INDEX(tblNetflix[rating],MATCH($A198,tblNetflix[show_id],0)),"")</f>
        <v/>
      </c>
      <c r="E198" s="19">
        <f>IFERROR(INDEX(tblNetflix[year_added],MATCH($A198,tblNetflix[show_id],0)),"")</f>
        <v/>
      </c>
      <c r="F198" s="19">
        <f>IF(AND(OR(YearFilter="All",$E198=YearFilter),OR(RatingFilter="All",$D198=RatingFilter),OR(TypeFilter="All",$C198=TypeFilter)),1,0)</f>
        <v/>
      </c>
    </row>
    <row r="199" ht="15" customHeight="1" s="20">
      <c r="A199" s="19" t="inlineStr">
        <is>
          <t>s1115</t>
        </is>
      </c>
      <c r="B199" s="19" t="inlineStr">
        <is>
          <t>Comedies</t>
        </is>
      </c>
      <c r="C199" s="19">
        <f>IFERROR(INDEX(tblNetflix[type],MATCH($A199,tblNetflix[show_id],0)),"")</f>
        <v/>
      </c>
      <c r="D199" s="19">
        <f>IFERROR(INDEX(tblNetflix[rating],MATCH($A199,tblNetflix[show_id],0)),"")</f>
        <v/>
      </c>
      <c r="E199" s="19">
        <f>IFERROR(INDEX(tblNetflix[year_added],MATCH($A199,tblNetflix[show_id],0)),"")</f>
        <v/>
      </c>
      <c r="F199" s="19">
        <f>IF(AND(OR(YearFilter="All",$E199=YearFilter),OR(RatingFilter="All",$D199=RatingFilter),OR(TypeFilter="All",$C199=TypeFilter)),1,0)</f>
        <v/>
      </c>
    </row>
    <row r="200" ht="15" customHeight="1" s="20">
      <c r="A200" s="19" t="inlineStr">
        <is>
          <t>s1115</t>
        </is>
      </c>
      <c r="B200" s="19" t="inlineStr">
        <is>
          <t>Dramas</t>
        </is>
      </c>
      <c r="C200" s="19">
        <f>IFERROR(INDEX(tblNetflix[type],MATCH($A200,tblNetflix[show_id],0)),"")</f>
        <v/>
      </c>
      <c r="D200" s="19">
        <f>IFERROR(INDEX(tblNetflix[rating],MATCH($A200,tblNetflix[show_id],0)),"")</f>
        <v/>
      </c>
      <c r="E200" s="19">
        <f>IFERROR(INDEX(tblNetflix[year_added],MATCH($A200,tblNetflix[show_id],0)),"")</f>
        <v/>
      </c>
      <c r="F200" s="19">
        <f>IF(AND(OR(YearFilter="All",$E200=YearFilter),OR(RatingFilter="All",$D200=RatingFilter),OR(TypeFilter="All",$C200=TypeFilter)),1,0)</f>
        <v/>
      </c>
    </row>
    <row r="201" ht="15" customHeight="1" s="20">
      <c r="A201" s="19" t="inlineStr">
        <is>
          <t>s1115</t>
        </is>
      </c>
      <c r="B201" s="19" t="inlineStr">
        <is>
          <t>International Movies</t>
        </is>
      </c>
      <c r="C201" s="19">
        <f>IFERROR(INDEX(tblNetflix[type],MATCH($A201,tblNetflix[show_id],0)),"")</f>
        <v/>
      </c>
      <c r="D201" s="19">
        <f>IFERROR(INDEX(tblNetflix[rating],MATCH($A201,tblNetflix[show_id],0)),"")</f>
        <v/>
      </c>
      <c r="E201" s="19">
        <f>IFERROR(INDEX(tblNetflix[year_added],MATCH($A201,tblNetflix[show_id],0)),"")</f>
        <v/>
      </c>
      <c r="F201" s="19">
        <f>IF(AND(OR(YearFilter="All",$E201=YearFilter),OR(RatingFilter="All",$D201=RatingFilter),OR(TypeFilter="All",$C201=TypeFilter)),1,0)</f>
        <v/>
      </c>
    </row>
    <row r="202" ht="15" customHeight="1" s="20">
      <c r="A202" s="19" t="inlineStr">
        <is>
          <t>s1116</t>
        </is>
      </c>
      <c r="B202" s="19" t="inlineStr">
        <is>
          <t>Comedies</t>
        </is>
      </c>
      <c r="C202" s="19">
        <f>IFERROR(INDEX(tblNetflix[type],MATCH($A202,tblNetflix[show_id],0)),"")</f>
        <v/>
      </c>
      <c r="D202" s="19">
        <f>IFERROR(INDEX(tblNetflix[rating],MATCH($A202,tblNetflix[show_id],0)),"")</f>
        <v/>
      </c>
      <c r="E202" s="19">
        <f>IFERROR(INDEX(tblNetflix[year_added],MATCH($A202,tblNetflix[show_id],0)),"")</f>
        <v/>
      </c>
      <c r="F202" s="19">
        <f>IF(AND(OR(YearFilter="All",$E202=YearFilter),OR(RatingFilter="All",$D202=RatingFilter),OR(TypeFilter="All",$C202=TypeFilter)),1,0)</f>
        <v/>
      </c>
    </row>
    <row r="203" ht="15" customHeight="1" s="20">
      <c r="A203" s="19" t="inlineStr">
        <is>
          <t>s1116</t>
        </is>
      </c>
      <c r="B203" s="19" t="inlineStr">
        <is>
          <t>International Movies</t>
        </is>
      </c>
      <c r="C203" s="19">
        <f>IFERROR(INDEX(tblNetflix[type],MATCH($A203,tblNetflix[show_id],0)),"")</f>
        <v/>
      </c>
      <c r="D203" s="19">
        <f>IFERROR(INDEX(tblNetflix[rating],MATCH($A203,tblNetflix[show_id],0)),"")</f>
        <v/>
      </c>
      <c r="E203" s="19">
        <f>IFERROR(INDEX(tblNetflix[year_added],MATCH($A203,tblNetflix[show_id],0)),"")</f>
        <v/>
      </c>
      <c r="F203" s="19">
        <f>IF(AND(OR(YearFilter="All",$E203=YearFilter),OR(RatingFilter="All",$D203=RatingFilter),OR(TypeFilter="All",$C203=TypeFilter)),1,0)</f>
        <v/>
      </c>
    </row>
    <row r="204" ht="15" customHeight="1" s="20">
      <c r="A204" s="19" t="inlineStr">
        <is>
          <t>s1116</t>
        </is>
      </c>
      <c r="B204" s="19" t="inlineStr">
        <is>
          <t>Sports Movies</t>
        </is>
      </c>
      <c r="C204" s="19">
        <f>IFERROR(INDEX(tblNetflix[type],MATCH($A204,tblNetflix[show_id],0)),"")</f>
        <v/>
      </c>
      <c r="D204" s="19">
        <f>IFERROR(INDEX(tblNetflix[rating],MATCH($A204,tblNetflix[show_id],0)),"")</f>
        <v/>
      </c>
      <c r="E204" s="19">
        <f>IFERROR(INDEX(tblNetflix[year_added],MATCH($A204,tblNetflix[show_id],0)),"")</f>
        <v/>
      </c>
      <c r="F204" s="19">
        <f>IF(AND(OR(YearFilter="All",$E204=YearFilter),OR(RatingFilter="All",$D204=RatingFilter),OR(TypeFilter="All",$C204=TypeFilter)),1,0)</f>
        <v/>
      </c>
    </row>
    <row r="205" ht="15" customHeight="1" s="20">
      <c r="A205" s="19" t="inlineStr">
        <is>
          <t>s1123</t>
        </is>
      </c>
      <c r="B205" s="19" t="inlineStr">
        <is>
          <t>Dramas</t>
        </is>
      </c>
      <c r="C205" s="19">
        <f>IFERROR(INDEX(tblNetflix[type],MATCH($A205,tblNetflix[show_id],0)),"")</f>
        <v/>
      </c>
      <c r="D205" s="19">
        <f>IFERROR(INDEX(tblNetflix[rating],MATCH($A205,tblNetflix[show_id],0)),"")</f>
        <v/>
      </c>
      <c r="E205" s="19">
        <f>IFERROR(INDEX(tblNetflix[year_added],MATCH($A205,tblNetflix[show_id],0)),"")</f>
        <v/>
      </c>
      <c r="F205" s="19">
        <f>IF(AND(OR(YearFilter="All",$E205=YearFilter),OR(RatingFilter="All",$D205=RatingFilter),OR(TypeFilter="All",$C205=TypeFilter)),1,0)</f>
        <v/>
      </c>
    </row>
    <row r="206" ht="15" customHeight="1" s="20">
      <c r="A206" s="19" t="inlineStr">
        <is>
          <t>s1123</t>
        </is>
      </c>
      <c r="B206" s="19" t="inlineStr">
        <is>
          <t>International Movies</t>
        </is>
      </c>
      <c r="C206" s="19">
        <f>IFERROR(INDEX(tblNetflix[type],MATCH($A206,tblNetflix[show_id],0)),"")</f>
        <v/>
      </c>
      <c r="D206" s="19">
        <f>IFERROR(INDEX(tblNetflix[rating],MATCH($A206,tblNetflix[show_id],0)),"")</f>
        <v/>
      </c>
      <c r="E206" s="19">
        <f>IFERROR(INDEX(tblNetflix[year_added],MATCH($A206,tblNetflix[show_id],0)),"")</f>
        <v/>
      </c>
      <c r="F206" s="19">
        <f>IF(AND(OR(YearFilter="All",$E206=YearFilter),OR(RatingFilter="All",$D206=RatingFilter),OR(TypeFilter="All",$C206=TypeFilter)),1,0)</f>
        <v/>
      </c>
    </row>
    <row r="207" ht="15" customHeight="1" s="20">
      <c r="A207" s="19" t="inlineStr">
        <is>
          <t>s1142</t>
        </is>
      </c>
      <c r="B207" s="19" t="inlineStr">
        <is>
          <t>Dramas</t>
        </is>
      </c>
      <c r="C207" s="19">
        <f>IFERROR(INDEX(tblNetflix[type],MATCH($A207,tblNetflix[show_id],0)),"")</f>
        <v/>
      </c>
      <c r="D207" s="19">
        <f>IFERROR(INDEX(tblNetflix[rating],MATCH($A207,tblNetflix[show_id],0)),"")</f>
        <v/>
      </c>
      <c r="E207" s="19">
        <f>IFERROR(INDEX(tblNetflix[year_added],MATCH($A207,tblNetflix[show_id],0)),"")</f>
        <v/>
      </c>
      <c r="F207" s="19">
        <f>IF(AND(OR(YearFilter="All",$E207=YearFilter),OR(RatingFilter="All",$D207=RatingFilter),OR(TypeFilter="All",$C207=TypeFilter)),1,0)</f>
        <v/>
      </c>
    </row>
    <row r="208" ht="15" customHeight="1" s="20">
      <c r="A208" s="19" t="inlineStr">
        <is>
          <t>s1142</t>
        </is>
      </c>
      <c r="B208" s="19" t="inlineStr">
        <is>
          <t>International Movies</t>
        </is>
      </c>
      <c r="C208" s="19">
        <f>IFERROR(INDEX(tblNetflix[type],MATCH($A208,tblNetflix[show_id],0)),"")</f>
        <v/>
      </c>
      <c r="D208" s="19">
        <f>IFERROR(INDEX(tblNetflix[rating],MATCH($A208,tblNetflix[show_id],0)),"")</f>
        <v/>
      </c>
      <c r="E208" s="19">
        <f>IFERROR(INDEX(tblNetflix[year_added],MATCH($A208,tblNetflix[show_id],0)),"")</f>
        <v/>
      </c>
      <c r="F208" s="19">
        <f>IF(AND(OR(YearFilter="All",$E208=YearFilter),OR(RatingFilter="All",$D208=RatingFilter),OR(TypeFilter="All",$C208=TypeFilter)),1,0)</f>
        <v/>
      </c>
    </row>
    <row r="209" ht="15" customHeight="1" s="20">
      <c r="A209" s="19" t="inlineStr">
        <is>
          <t>s1142</t>
        </is>
      </c>
      <c r="B209" s="19" t="inlineStr">
        <is>
          <t>Thrillers</t>
        </is>
      </c>
      <c r="C209" s="19">
        <f>IFERROR(INDEX(tblNetflix[type],MATCH($A209,tblNetflix[show_id],0)),"")</f>
        <v/>
      </c>
      <c r="D209" s="19">
        <f>IFERROR(INDEX(tblNetflix[rating],MATCH($A209,tblNetflix[show_id],0)),"")</f>
        <v/>
      </c>
      <c r="E209" s="19">
        <f>IFERROR(INDEX(tblNetflix[year_added],MATCH($A209,tblNetflix[show_id],0)),"")</f>
        <v/>
      </c>
      <c r="F209" s="19">
        <f>IF(AND(OR(YearFilter="All",$E209=YearFilter),OR(RatingFilter="All",$D209=RatingFilter),OR(TypeFilter="All",$C209=TypeFilter)),1,0)</f>
        <v/>
      </c>
    </row>
    <row r="210" ht="15" customHeight="1" s="20">
      <c r="A210" s="19" t="inlineStr">
        <is>
          <t>s1166</t>
        </is>
      </c>
      <c r="B210" s="19" t="inlineStr">
        <is>
          <t>Comedies</t>
        </is>
      </c>
      <c r="C210" s="19">
        <f>IFERROR(INDEX(tblNetflix[type],MATCH($A210,tblNetflix[show_id],0)),"")</f>
        <v/>
      </c>
      <c r="D210" s="19">
        <f>IFERROR(INDEX(tblNetflix[rating],MATCH($A210,tblNetflix[show_id],0)),"")</f>
        <v/>
      </c>
      <c r="E210" s="19">
        <f>IFERROR(INDEX(tblNetflix[year_added],MATCH($A210,tblNetflix[show_id],0)),"")</f>
        <v/>
      </c>
      <c r="F210" s="19">
        <f>IF(AND(OR(YearFilter="All",$E210=YearFilter),OR(RatingFilter="All",$D210=RatingFilter),OR(TypeFilter="All",$C210=TypeFilter)),1,0)</f>
        <v/>
      </c>
    </row>
    <row r="211" ht="15" customHeight="1" s="20">
      <c r="A211" s="19" t="inlineStr">
        <is>
          <t>s1166</t>
        </is>
      </c>
      <c r="B211" s="19" t="inlineStr">
        <is>
          <t>Dramas</t>
        </is>
      </c>
      <c r="C211" s="19">
        <f>IFERROR(INDEX(tblNetflix[type],MATCH($A211,tblNetflix[show_id],0)),"")</f>
        <v/>
      </c>
      <c r="D211" s="19">
        <f>IFERROR(INDEX(tblNetflix[rating],MATCH($A211,tblNetflix[show_id],0)),"")</f>
        <v/>
      </c>
      <c r="E211" s="19">
        <f>IFERROR(INDEX(tblNetflix[year_added],MATCH($A211,tblNetflix[show_id],0)),"")</f>
        <v/>
      </c>
      <c r="F211" s="19">
        <f>IF(AND(OR(YearFilter="All",$E211=YearFilter),OR(RatingFilter="All",$D211=RatingFilter),OR(TypeFilter="All",$C211=TypeFilter)),1,0)</f>
        <v/>
      </c>
    </row>
    <row r="212" ht="15" customHeight="1" s="20">
      <c r="A212" s="19" t="inlineStr">
        <is>
          <t>s1166</t>
        </is>
      </c>
      <c r="B212" s="19" t="inlineStr">
        <is>
          <t>International Movies</t>
        </is>
      </c>
      <c r="C212" s="19">
        <f>IFERROR(INDEX(tblNetflix[type],MATCH($A212,tblNetflix[show_id],0)),"")</f>
        <v/>
      </c>
      <c r="D212" s="19">
        <f>IFERROR(INDEX(tblNetflix[rating],MATCH($A212,tblNetflix[show_id],0)),"")</f>
        <v/>
      </c>
      <c r="E212" s="19">
        <f>IFERROR(INDEX(tblNetflix[year_added],MATCH($A212,tblNetflix[show_id],0)),"")</f>
        <v/>
      </c>
      <c r="F212" s="19">
        <f>IF(AND(OR(YearFilter="All",$E212=YearFilter),OR(RatingFilter="All",$D212=RatingFilter),OR(TypeFilter="All",$C212=TypeFilter)),1,0)</f>
        <v/>
      </c>
    </row>
    <row r="213" ht="15" customHeight="1" s="20">
      <c r="A213" s="19" t="inlineStr">
        <is>
          <t>s1203</t>
        </is>
      </c>
      <c r="B213" s="19" t="inlineStr">
        <is>
          <t>Dramas</t>
        </is>
      </c>
      <c r="C213" s="19">
        <f>IFERROR(INDEX(tblNetflix[type],MATCH($A213,tblNetflix[show_id],0)),"")</f>
        <v/>
      </c>
      <c r="D213" s="19">
        <f>IFERROR(INDEX(tblNetflix[rating],MATCH($A213,tblNetflix[show_id],0)),"")</f>
        <v/>
      </c>
      <c r="E213" s="19">
        <f>IFERROR(INDEX(tblNetflix[year_added],MATCH($A213,tblNetflix[show_id],0)),"")</f>
        <v/>
      </c>
      <c r="F213" s="19">
        <f>IF(AND(OR(YearFilter="All",$E213=YearFilter),OR(RatingFilter="All",$D213=RatingFilter),OR(TypeFilter="All",$C213=TypeFilter)),1,0)</f>
        <v/>
      </c>
    </row>
    <row r="214" ht="15" customHeight="1" s="20">
      <c r="A214" s="19" t="inlineStr">
        <is>
          <t>s1203</t>
        </is>
      </c>
      <c r="B214" s="19" t="inlineStr">
        <is>
          <t>International Movies</t>
        </is>
      </c>
      <c r="C214" s="19">
        <f>IFERROR(INDEX(tblNetflix[type],MATCH($A214,tblNetflix[show_id],0)),"")</f>
        <v/>
      </c>
      <c r="D214" s="19">
        <f>IFERROR(INDEX(tblNetflix[rating],MATCH($A214,tblNetflix[show_id],0)),"")</f>
        <v/>
      </c>
      <c r="E214" s="19">
        <f>IFERROR(INDEX(tblNetflix[year_added],MATCH($A214,tblNetflix[show_id],0)),"")</f>
        <v/>
      </c>
      <c r="F214" s="19">
        <f>IF(AND(OR(YearFilter="All",$E214=YearFilter),OR(RatingFilter="All",$D214=RatingFilter),OR(TypeFilter="All",$C214=TypeFilter)),1,0)</f>
        <v/>
      </c>
    </row>
    <row r="215" ht="15" customHeight="1" s="20">
      <c r="A215" s="19" t="inlineStr">
        <is>
          <t>s1203</t>
        </is>
      </c>
      <c r="B215" s="19" t="inlineStr">
        <is>
          <t>Romantic Movies</t>
        </is>
      </c>
      <c r="C215" s="19">
        <f>IFERROR(INDEX(tblNetflix[type],MATCH($A215,tblNetflix[show_id],0)),"")</f>
        <v/>
      </c>
      <c r="D215" s="19">
        <f>IFERROR(INDEX(tblNetflix[rating],MATCH($A215,tblNetflix[show_id],0)),"")</f>
        <v/>
      </c>
      <c r="E215" s="19">
        <f>IFERROR(INDEX(tblNetflix[year_added],MATCH($A215,tblNetflix[show_id],0)),"")</f>
        <v/>
      </c>
      <c r="F215" s="19">
        <f>IF(AND(OR(YearFilter="All",$E215=YearFilter),OR(RatingFilter="All",$D215=RatingFilter),OR(TypeFilter="All",$C215=TypeFilter)),1,0)</f>
        <v/>
      </c>
    </row>
    <row r="216" ht="15" customHeight="1" s="20">
      <c r="A216" s="19" t="inlineStr">
        <is>
          <t>s1204</t>
        </is>
      </c>
      <c r="B216" s="19" t="inlineStr">
        <is>
          <t>Children &amp; Family Movies</t>
        </is>
      </c>
      <c r="C216" s="19">
        <f>IFERROR(INDEX(tblNetflix[type],MATCH($A216,tblNetflix[show_id],0)),"")</f>
        <v/>
      </c>
      <c r="D216" s="19">
        <f>IFERROR(INDEX(tblNetflix[rating],MATCH($A216,tblNetflix[show_id],0)),"")</f>
        <v/>
      </c>
      <c r="E216" s="19">
        <f>IFERROR(INDEX(tblNetflix[year_added],MATCH($A216,tblNetflix[show_id],0)),"")</f>
        <v/>
      </c>
      <c r="F216" s="19">
        <f>IF(AND(OR(YearFilter="All",$E216=YearFilter),OR(RatingFilter="All",$D216=RatingFilter),OR(TypeFilter="All",$C216=TypeFilter)),1,0)</f>
        <v/>
      </c>
    </row>
    <row r="217" ht="15" customHeight="1" s="20">
      <c r="A217" s="19" t="inlineStr">
        <is>
          <t>s1204</t>
        </is>
      </c>
      <c r="B217" s="19" t="inlineStr">
        <is>
          <t>Dramas</t>
        </is>
      </c>
      <c r="C217" s="19">
        <f>IFERROR(INDEX(tblNetflix[type],MATCH($A217,tblNetflix[show_id],0)),"")</f>
        <v/>
      </c>
      <c r="D217" s="19">
        <f>IFERROR(INDEX(tblNetflix[rating],MATCH($A217,tblNetflix[show_id],0)),"")</f>
        <v/>
      </c>
      <c r="E217" s="19">
        <f>IFERROR(INDEX(tblNetflix[year_added],MATCH($A217,tblNetflix[show_id],0)),"")</f>
        <v/>
      </c>
      <c r="F217" s="19">
        <f>IF(AND(OR(YearFilter="All",$E217=YearFilter),OR(RatingFilter="All",$D217=RatingFilter),OR(TypeFilter="All",$C217=TypeFilter)),1,0)</f>
        <v/>
      </c>
    </row>
    <row r="218" ht="15" customHeight="1" s="20">
      <c r="A218" s="19" t="inlineStr">
        <is>
          <t>s1228</t>
        </is>
      </c>
      <c r="B218" s="19" t="inlineStr">
        <is>
          <t>International TV Shows</t>
        </is>
      </c>
      <c r="C218" s="19">
        <f>IFERROR(INDEX(tblNetflix[type],MATCH($A218,tblNetflix[show_id],0)),"")</f>
        <v/>
      </c>
      <c r="D218" s="19">
        <f>IFERROR(INDEX(tblNetflix[rating],MATCH($A218,tblNetflix[show_id],0)),"")</f>
        <v/>
      </c>
      <c r="E218" s="19">
        <f>IFERROR(INDEX(tblNetflix[year_added],MATCH($A218,tblNetflix[show_id],0)),"")</f>
        <v/>
      </c>
      <c r="F218" s="19">
        <f>IF(AND(OR(YearFilter="All",$E218=YearFilter),OR(RatingFilter="All",$D218=RatingFilter),OR(TypeFilter="All",$C218=TypeFilter)),1,0)</f>
        <v/>
      </c>
    </row>
    <row r="219" ht="15" customHeight="1" s="20">
      <c r="A219" s="19" t="inlineStr">
        <is>
          <t>s1228</t>
        </is>
      </c>
      <c r="B219" s="19" t="inlineStr">
        <is>
          <t>TV Dramas</t>
        </is>
      </c>
      <c r="C219" s="19">
        <f>IFERROR(INDEX(tblNetflix[type],MATCH($A219,tblNetflix[show_id],0)),"")</f>
        <v/>
      </c>
      <c r="D219" s="19">
        <f>IFERROR(INDEX(tblNetflix[rating],MATCH($A219,tblNetflix[show_id],0)),"")</f>
        <v/>
      </c>
      <c r="E219" s="19">
        <f>IFERROR(INDEX(tblNetflix[year_added],MATCH($A219,tblNetflix[show_id],0)),"")</f>
        <v/>
      </c>
      <c r="F219" s="19">
        <f>IF(AND(OR(YearFilter="All",$E219=YearFilter),OR(RatingFilter="All",$D219=RatingFilter),OR(TypeFilter="All",$C219=TypeFilter)),1,0)</f>
        <v/>
      </c>
    </row>
    <row r="220" ht="15" customHeight="1" s="20">
      <c r="A220" s="19" t="inlineStr">
        <is>
          <t>s1229</t>
        </is>
      </c>
      <c r="B220" s="19" t="inlineStr">
        <is>
          <t>Dramas</t>
        </is>
      </c>
      <c r="C220" s="19">
        <f>IFERROR(INDEX(tblNetflix[type],MATCH($A220,tblNetflix[show_id],0)),"")</f>
        <v/>
      </c>
      <c r="D220" s="19">
        <f>IFERROR(INDEX(tblNetflix[rating],MATCH($A220,tblNetflix[show_id],0)),"")</f>
        <v/>
      </c>
      <c r="E220" s="19">
        <f>IFERROR(INDEX(tblNetflix[year_added],MATCH($A220,tblNetflix[show_id],0)),"")</f>
        <v/>
      </c>
      <c r="F220" s="19">
        <f>IF(AND(OR(YearFilter="All",$E220=YearFilter),OR(RatingFilter="All",$D220=RatingFilter),OR(TypeFilter="All",$C220=TypeFilter)),1,0)</f>
        <v/>
      </c>
    </row>
    <row r="221" ht="15" customHeight="1" s="20">
      <c r="A221" s="19" t="inlineStr">
        <is>
          <t>s1229</t>
        </is>
      </c>
      <c r="B221" s="19" t="inlineStr">
        <is>
          <t>Independent Movies</t>
        </is>
      </c>
      <c r="C221" s="19">
        <f>IFERROR(INDEX(tblNetflix[type],MATCH($A221,tblNetflix[show_id],0)),"")</f>
        <v/>
      </c>
      <c r="D221" s="19">
        <f>IFERROR(INDEX(tblNetflix[rating],MATCH($A221,tblNetflix[show_id],0)),"")</f>
        <v/>
      </c>
      <c r="E221" s="19">
        <f>IFERROR(INDEX(tblNetflix[year_added],MATCH($A221,tblNetflix[show_id],0)),"")</f>
        <v/>
      </c>
      <c r="F221" s="19">
        <f>IF(AND(OR(YearFilter="All",$E221=YearFilter),OR(RatingFilter="All",$D221=RatingFilter),OR(TypeFilter="All",$C221=TypeFilter)),1,0)</f>
        <v/>
      </c>
    </row>
    <row r="222" ht="15" customHeight="1" s="20">
      <c r="A222" s="19" t="inlineStr">
        <is>
          <t>s1229</t>
        </is>
      </c>
      <c r="B222" s="19" t="inlineStr">
        <is>
          <t>International Movies</t>
        </is>
      </c>
      <c r="C222" s="19">
        <f>IFERROR(INDEX(tblNetflix[type],MATCH($A222,tblNetflix[show_id],0)),"")</f>
        <v/>
      </c>
      <c r="D222" s="19">
        <f>IFERROR(INDEX(tblNetflix[rating],MATCH($A222,tblNetflix[show_id],0)),"")</f>
        <v/>
      </c>
      <c r="E222" s="19">
        <f>IFERROR(INDEX(tblNetflix[year_added],MATCH($A222,tblNetflix[show_id],0)),"")</f>
        <v/>
      </c>
      <c r="F222" s="19">
        <f>IF(AND(OR(YearFilter="All",$E222=YearFilter),OR(RatingFilter="All",$D222=RatingFilter),OR(TypeFilter="All",$C222=TypeFilter)),1,0)</f>
        <v/>
      </c>
    </row>
    <row r="223" ht="15" customHeight="1" s="20">
      <c r="A223" s="19" t="inlineStr">
        <is>
          <t>s1231</t>
        </is>
      </c>
      <c r="B223" s="19" t="inlineStr">
        <is>
          <t>Comedies</t>
        </is>
      </c>
      <c r="C223" s="19">
        <f>IFERROR(INDEX(tblNetflix[type],MATCH($A223,tblNetflix[show_id],0)),"")</f>
        <v/>
      </c>
      <c r="D223" s="19">
        <f>IFERROR(INDEX(tblNetflix[rating],MATCH($A223,tblNetflix[show_id],0)),"")</f>
        <v/>
      </c>
      <c r="E223" s="19">
        <f>IFERROR(INDEX(tblNetflix[year_added],MATCH($A223,tblNetflix[show_id],0)),"")</f>
        <v/>
      </c>
      <c r="F223" s="19">
        <f>IF(AND(OR(YearFilter="All",$E223=YearFilter),OR(RatingFilter="All",$D223=RatingFilter),OR(TypeFilter="All",$C223=TypeFilter)),1,0)</f>
        <v/>
      </c>
    </row>
    <row r="224" ht="15" customHeight="1" s="20">
      <c r="A224" s="19" t="inlineStr">
        <is>
          <t>s1231</t>
        </is>
      </c>
      <c r="B224" s="19" t="inlineStr">
        <is>
          <t>Dramas</t>
        </is>
      </c>
      <c r="C224" s="19">
        <f>IFERROR(INDEX(tblNetflix[type],MATCH($A224,tblNetflix[show_id],0)),"")</f>
        <v/>
      </c>
      <c r="D224" s="19">
        <f>IFERROR(INDEX(tblNetflix[rating],MATCH($A224,tblNetflix[show_id],0)),"")</f>
        <v/>
      </c>
      <c r="E224" s="19">
        <f>IFERROR(INDEX(tblNetflix[year_added],MATCH($A224,tblNetflix[show_id],0)),"")</f>
        <v/>
      </c>
      <c r="F224" s="19">
        <f>IF(AND(OR(YearFilter="All",$E224=YearFilter),OR(RatingFilter="All",$D224=RatingFilter),OR(TypeFilter="All",$C224=TypeFilter)),1,0)</f>
        <v/>
      </c>
    </row>
    <row r="225" ht="15" customHeight="1" s="20">
      <c r="A225" s="19" t="inlineStr">
        <is>
          <t>s1231</t>
        </is>
      </c>
      <c r="B225" s="19" t="inlineStr">
        <is>
          <t>Independent Movies</t>
        </is>
      </c>
      <c r="C225" s="19">
        <f>IFERROR(INDEX(tblNetflix[type],MATCH($A225,tblNetflix[show_id],0)),"")</f>
        <v/>
      </c>
      <c r="D225" s="19">
        <f>IFERROR(INDEX(tblNetflix[rating],MATCH($A225,tblNetflix[show_id],0)),"")</f>
        <v/>
      </c>
      <c r="E225" s="19">
        <f>IFERROR(INDEX(tblNetflix[year_added],MATCH($A225,tblNetflix[show_id],0)),"")</f>
        <v/>
      </c>
      <c r="F225" s="19">
        <f>IF(AND(OR(YearFilter="All",$E225=YearFilter),OR(RatingFilter="All",$D225=RatingFilter),OR(TypeFilter="All",$C225=TypeFilter)),1,0)</f>
        <v/>
      </c>
    </row>
    <row r="226" ht="15" customHeight="1" s="20">
      <c r="A226" s="19" t="inlineStr">
        <is>
          <t>s1245</t>
        </is>
      </c>
      <c r="B226" s="19" t="inlineStr">
        <is>
          <t>Action &amp; Adventure</t>
        </is>
      </c>
      <c r="C226" s="19">
        <f>IFERROR(INDEX(tblNetflix[type],MATCH($A226,tblNetflix[show_id],0)),"")</f>
        <v/>
      </c>
      <c r="D226" s="19">
        <f>IFERROR(INDEX(tblNetflix[rating],MATCH($A226,tblNetflix[show_id],0)),"")</f>
        <v/>
      </c>
      <c r="E226" s="19">
        <f>IFERROR(INDEX(tblNetflix[year_added],MATCH($A226,tblNetflix[show_id],0)),"")</f>
        <v/>
      </c>
      <c r="F226" s="19">
        <f>IF(AND(OR(YearFilter="All",$E226=YearFilter),OR(RatingFilter="All",$D226=RatingFilter),OR(TypeFilter="All",$C226=TypeFilter)),1,0)</f>
        <v/>
      </c>
    </row>
    <row r="227" ht="15" customHeight="1" s="20">
      <c r="A227" s="19" t="inlineStr">
        <is>
          <t>s1245</t>
        </is>
      </c>
      <c r="B227" s="19" t="inlineStr">
        <is>
          <t>Comedies</t>
        </is>
      </c>
      <c r="C227" s="19">
        <f>IFERROR(INDEX(tblNetflix[type],MATCH($A227,tblNetflix[show_id],0)),"")</f>
        <v/>
      </c>
      <c r="D227" s="19">
        <f>IFERROR(INDEX(tblNetflix[rating],MATCH($A227,tblNetflix[show_id],0)),"")</f>
        <v/>
      </c>
      <c r="E227" s="19">
        <f>IFERROR(INDEX(tblNetflix[year_added],MATCH($A227,tblNetflix[show_id],0)),"")</f>
        <v/>
      </c>
      <c r="F227" s="19">
        <f>IF(AND(OR(YearFilter="All",$E227=YearFilter),OR(RatingFilter="All",$D227=RatingFilter),OR(TypeFilter="All",$C227=TypeFilter)),1,0)</f>
        <v/>
      </c>
    </row>
    <row r="228" ht="15" customHeight="1" s="20">
      <c r="A228" s="19" t="inlineStr">
        <is>
          <t>s1245</t>
        </is>
      </c>
      <c r="B228" s="19" t="inlineStr">
        <is>
          <t>International Movies</t>
        </is>
      </c>
      <c r="C228" s="19">
        <f>IFERROR(INDEX(tblNetflix[type],MATCH($A228,tblNetflix[show_id],0)),"")</f>
        <v/>
      </c>
      <c r="D228" s="19">
        <f>IFERROR(INDEX(tblNetflix[rating],MATCH($A228,tblNetflix[show_id],0)),"")</f>
        <v/>
      </c>
      <c r="E228" s="19">
        <f>IFERROR(INDEX(tblNetflix[year_added],MATCH($A228,tblNetflix[show_id],0)),"")</f>
        <v/>
      </c>
      <c r="F228" s="19">
        <f>IF(AND(OR(YearFilter="All",$E228=YearFilter),OR(RatingFilter="All",$D228=RatingFilter),OR(TypeFilter="All",$C228=TypeFilter)),1,0)</f>
        <v/>
      </c>
    </row>
    <row r="229" ht="15" customHeight="1" s="20">
      <c r="A229" s="19" t="inlineStr">
        <is>
          <t>s1266</t>
        </is>
      </c>
      <c r="B229" s="19" t="inlineStr">
        <is>
          <t>International Movies</t>
        </is>
      </c>
      <c r="C229" s="19">
        <f>IFERROR(INDEX(tblNetflix[type],MATCH($A229,tblNetflix[show_id],0)),"")</f>
        <v/>
      </c>
      <c r="D229" s="19">
        <f>IFERROR(INDEX(tblNetflix[rating],MATCH($A229,tblNetflix[show_id],0)),"")</f>
        <v/>
      </c>
      <c r="E229" s="19">
        <f>IFERROR(INDEX(tblNetflix[year_added],MATCH($A229,tblNetflix[show_id],0)),"")</f>
        <v/>
      </c>
      <c r="F229" s="19">
        <f>IF(AND(OR(YearFilter="All",$E229=YearFilter),OR(RatingFilter="All",$D229=RatingFilter),OR(TypeFilter="All",$C229=TypeFilter)),1,0)</f>
        <v/>
      </c>
    </row>
    <row r="230" ht="15" customHeight="1" s="20">
      <c r="A230" s="19" t="inlineStr">
        <is>
          <t>s1266</t>
        </is>
      </c>
      <c r="B230" s="19" t="inlineStr">
        <is>
          <t>Thrillers</t>
        </is>
      </c>
      <c r="C230" s="19">
        <f>IFERROR(INDEX(tblNetflix[type],MATCH($A230,tblNetflix[show_id],0)),"")</f>
        <v/>
      </c>
      <c r="D230" s="19">
        <f>IFERROR(INDEX(tblNetflix[rating],MATCH($A230,tblNetflix[show_id],0)),"")</f>
        <v/>
      </c>
      <c r="E230" s="19">
        <f>IFERROR(INDEX(tblNetflix[year_added],MATCH($A230,tblNetflix[show_id],0)),"")</f>
        <v/>
      </c>
      <c r="F230" s="19">
        <f>IF(AND(OR(YearFilter="All",$E230=YearFilter),OR(RatingFilter="All",$D230=RatingFilter),OR(TypeFilter="All",$C230=TypeFilter)),1,0)</f>
        <v/>
      </c>
    </row>
    <row r="231" ht="15" customHeight="1" s="20">
      <c r="A231" s="19" t="inlineStr">
        <is>
          <t>s1282</t>
        </is>
      </c>
      <c r="B231" s="19" t="inlineStr">
        <is>
          <t>Dramas</t>
        </is>
      </c>
      <c r="C231" s="19">
        <f>IFERROR(INDEX(tblNetflix[type],MATCH($A231,tblNetflix[show_id],0)),"")</f>
        <v/>
      </c>
      <c r="D231" s="19">
        <f>IFERROR(INDEX(tblNetflix[rating],MATCH($A231,tblNetflix[show_id],0)),"")</f>
        <v/>
      </c>
      <c r="E231" s="19">
        <f>IFERROR(INDEX(tblNetflix[year_added],MATCH($A231,tblNetflix[show_id],0)),"")</f>
        <v/>
      </c>
      <c r="F231" s="19">
        <f>IF(AND(OR(YearFilter="All",$E231=YearFilter),OR(RatingFilter="All",$D231=RatingFilter),OR(TypeFilter="All",$C231=TypeFilter)),1,0)</f>
        <v/>
      </c>
    </row>
    <row r="232" ht="15" customHeight="1" s="20">
      <c r="A232" s="19" t="inlineStr">
        <is>
          <t>s1282</t>
        </is>
      </c>
      <c r="B232" s="19" t="inlineStr">
        <is>
          <t>International Movies</t>
        </is>
      </c>
      <c r="C232" s="19">
        <f>IFERROR(INDEX(tblNetflix[type],MATCH($A232,tblNetflix[show_id],0)),"")</f>
        <v/>
      </c>
      <c r="D232" s="19">
        <f>IFERROR(INDEX(tblNetflix[rating],MATCH($A232,tblNetflix[show_id],0)),"")</f>
        <v/>
      </c>
      <c r="E232" s="19">
        <f>IFERROR(INDEX(tblNetflix[year_added],MATCH($A232,tblNetflix[show_id],0)),"")</f>
        <v/>
      </c>
      <c r="F232" s="19">
        <f>IF(AND(OR(YearFilter="All",$E232=YearFilter),OR(RatingFilter="All",$D232=RatingFilter),OR(TypeFilter="All",$C232=TypeFilter)),1,0)</f>
        <v/>
      </c>
    </row>
    <row r="233" ht="15" customHeight="1" s="20">
      <c r="A233" s="19" t="inlineStr">
        <is>
          <t>s1283</t>
        </is>
      </c>
      <c r="B233" s="19" t="inlineStr">
        <is>
          <t>International TV Shows</t>
        </is>
      </c>
      <c r="C233" s="19">
        <f>IFERROR(INDEX(tblNetflix[type],MATCH($A233,tblNetflix[show_id],0)),"")</f>
        <v/>
      </c>
      <c r="D233" s="19">
        <f>IFERROR(INDEX(tblNetflix[rating],MATCH($A233,tblNetflix[show_id],0)),"")</f>
        <v/>
      </c>
      <c r="E233" s="19">
        <f>IFERROR(INDEX(tblNetflix[year_added],MATCH($A233,tblNetflix[show_id],0)),"")</f>
        <v/>
      </c>
      <c r="F233" s="19">
        <f>IF(AND(OR(YearFilter="All",$E233=YearFilter),OR(RatingFilter="All",$D233=RatingFilter),OR(TypeFilter="All",$C233=TypeFilter)),1,0)</f>
        <v/>
      </c>
    </row>
    <row r="234" ht="15" customHeight="1" s="20">
      <c r="A234" s="19" t="inlineStr">
        <is>
          <t>s1283</t>
        </is>
      </c>
      <c r="B234" s="19" t="inlineStr">
        <is>
          <t>TV Dramas</t>
        </is>
      </c>
      <c r="C234" s="19">
        <f>IFERROR(INDEX(tblNetflix[type],MATCH($A234,tblNetflix[show_id],0)),"")</f>
        <v/>
      </c>
      <c r="D234" s="19">
        <f>IFERROR(INDEX(tblNetflix[rating],MATCH($A234,tblNetflix[show_id],0)),"")</f>
        <v/>
      </c>
      <c r="E234" s="19">
        <f>IFERROR(INDEX(tblNetflix[year_added],MATCH($A234,tblNetflix[show_id],0)),"")</f>
        <v/>
      </c>
      <c r="F234" s="19">
        <f>IF(AND(OR(YearFilter="All",$E234=YearFilter),OR(RatingFilter="All",$D234=RatingFilter),OR(TypeFilter="All",$C234=TypeFilter)),1,0)</f>
        <v/>
      </c>
    </row>
    <row r="235" ht="15" customHeight="1" s="20">
      <c r="A235" s="19" t="inlineStr">
        <is>
          <t>s1292</t>
        </is>
      </c>
      <c r="B235" s="19" t="inlineStr">
        <is>
          <t>Dramas</t>
        </is>
      </c>
      <c r="C235" s="19">
        <f>IFERROR(INDEX(tblNetflix[type],MATCH($A235,tblNetflix[show_id],0)),"")</f>
        <v/>
      </c>
      <c r="D235" s="19">
        <f>IFERROR(INDEX(tblNetflix[rating],MATCH($A235,tblNetflix[show_id],0)),"")</f>
        <v/>
      </c>
      <c r="E235" s="19">
        <f>IFERROR(INDEX(tblNetflix[year_added],MATCH($A235,tblNetflix[show_id],0)),"")</f>
        <v/>
      </c>
      <c r="F235" s="19">
        <f>IF(AND(OR(YearFilter="All",$E235=YearFilter),OR(RatingFilter="All",$D235=RatingFilter),OR(TypeFilter="All",$C235=TypeFilter)),1,0)</f>
        <v/>
      </c>
    </row>
    <row r="236" ht="15" customHeight="1" s="20">
      <c r="A236" s="19" t="inlineStr">
        <is>
          <t>s1292</t>
        </is>
      </c>
      <c r="B236" s="19" t="inlineStr">
        <is>
          <t>Independent Movies</t>
        </is>
      </c>
      <c r="C236" s="19">
        <f>IFERROR(INDEX(tblNetflix[type],MATCH($A236,tblNetflix[show_id],0)),"")</f>
        <v/>
      </c>
      <c r="D236" s="19">
        <f>IFERROR(INDEX(tblNetflix[rating],MATCH($A236,tblNetflix[show_id],0)),"")</f>
        <v/>
      </c>
      <c r="E236" s="19">
        <f>IFERROR(INDEX(tblNetflix[year_added],MATCH($A236,tblNetflix[show_id],0)),"")</f>
        <v/>
      </c>
      <c r="F236" s="19">
        <f>IF(AND(OR(YearFilter="All",$E236=YearFilter),OR(RatingFilter="All",$D236=RatingFilter),OR(TypeFilter="All",$C236=TypeFilter)),1,0)</f>
        <v/>
      </c>
    </row>
    <row r="237" ht="15" customHeight="1" s="20">
      <c r="A237" s="19" t="inlineStr">
        <is>
          <t>s1292</t>
        </is>
      </c>
      <c r="B237" s="19" t="inlineStr">
        <is>
          <t>International Movies</t>
        </is>
      </c>
      <c r="C237" s="19">
        <f>IFERROR(INDEX(tblNetflix[type],MATCH($A237,tblNetflix[show_id],0)),"")</f>
        <v/>
      </c>
      <c r="D237" s="19">
        <f>IFERROR(INDEX(tblNetflix[rating],MATCH($A237,tblNetflix[show_id],0)),"")</f>
        <v/>
      </c>
      <c r="E237" s="19">
        <f>IFERROR(INDEX(tblNetflix[year_added],MATCH($A237,tblNetflix[show_id],0)),"")</f>
        <v/>
      </c>
      <c r="F237" s="19">
        <f>IF(AND(OR(YearFilter="All",$E237=YearFilter),OR(RatingFilter="All",$D237=RatingFilter),OR(TypeFilter="All",$C237=TypeFilter)),1,0)</f>
        <v/>
      </c>
    </row>
    <row r="238" ht="15" customHeight="1" s="20">
      <c r="A238" s="19" t="inlineStr">
        <is>
          <t>s1294</t>
        </is>
      </c>
      <c r="B238" s="19" t="inlineStr">
        <is>
          <t>International TV Shows</t>
        </is>
      </c>
      <c r="C238" s="19">
        <f>IFERROR(INDEX(tblNetflix[type],MATCH($A238,tblNetflix[show_id],0)),"")</f>
        <v/>
      </c>
      <c r="D238" s="19">
        <f>IFERROR(INDEX(tblNetflix[rating],MATCH($A238,tblNetflix[show_id],0)),"")</f>
        <v/>
      </c>
      <c r="E238" s="19">
        <f>IFERROR(INDEX(tblNetflix[year_added],MATCH($A238,tblNetflix[show_id],0)),"")</f>
        <v/>
      </c>
      <c r="F238" s="19">
        <f>IF(AND(OR(YearFilter="All",$E238=YearFilter),OR(RatingFilter="All",$D238=RatingFilter),OR(TypeFilter="All",$C238=TypeFilter)),1,0)</f>
        <v/>
      </c>
    </row>
    <row r="239" ht="15" customHeight="1" s="20">
      <c r="A239" s="19" t="inlineStr">
        <is>
          <t>s1294</t>
        </is>
      </c>
      <c r="B239" s="19" t="inlineStr">
        <is>
          <t>TV Dramas</t>
        </is>
      </c>
      <c r="C239" s="19">
        <f>IFERROR(INDEX(tblNetflix[type],MATCH($A239,tblNetflix[show_id],0)),"")</f>
        <v/>
      </c>
      <c r="D239" s="19">
        <f>IFERROR(INDEX(tblNetflix[rating],MATCH($A239,tblNetflix[show_id],0)),"")</f>
        <v/>
      </c>
      <c r="E239" s="19">
        <f>IFERROR(INDEX(tblNetflix[year_added],MATCH($A239,tblNetflix[show_id],0)),"")</f>
        <v/>
      </c>
      <c r="F239" s="19">
        <f>IF(AND(OR(YearFilter="All",$E239=YearFilter),OR(RatingFilter="All",$D239=RatingFilter),OR(TypeFilter="All",$C239=TypeFilter)),1,0)</f>
        <v/>
      </c>
    </row>
    <row r="240" ht="15" customHeight="1" s="20">
      <c r="A240" s="19" t="inlineStr">
        <is>
          <t>s1296</t>
        </is>
      </c>
      <c r="B240" s="19" t="inlineStr">
        <is>
          <t>Comedies</t>
        </is>
      </c>
      <c r="C240" s="19">
        <f>IFERROR(INDEX(tblNetflix[type],MATCH($A240,tblNetflix[show_id],0)),"")</f>
        <v/>
      </c>
      <c r="D240" s="19">
        <f>IFERROR(INDEX(tblNetflix[rating],MATCH($A240,tblNetflix[show_id],0)),"")</f>
        <v/>
      </c>
      <c r="E240" s="19">
        <f>IFERROR(INDEX(tblNetflix[year_added],MATCH($A240,tblNetflix[show_id],0)),"")</f>
        <v/>
      </c>
      <c r="F240" s="19">
        <f>IF(AND(OR(YearFilter="All",$E240=YearFilter),OR(RatingFilter="All",$D240=RatingFilter),OR(TypeFilter="All",$C240=TypeFilter)),1,0)</f>
        <v/>
      </c>
    </row>
    <row r="241" ht="15" customHeight="1" s="20">
      <c r="A241" s="19" t="inlineStr">
        <is>
          <t>s1296</t>
        </is>
      </c>
      <c r="B241" s="19" t="inlineStr">
        <is>
          <t>Dramas</t>
        </is>
      </c>
      <c r="C241" s="19">
        <f>IFERROR(INDEX(tblNetflix[type],MATCH($A241,tblNetflix[show_id],0)),"")</f>
        <v/>
      </c>
      <c r="D241" s="19">
        <f>IFERROR(INDEX(tblNetflix[rating],MATCH($A241,tblNetflix[show_id],0)),"")</f>
        <v/>
      </c>
      <c r="E241" s="19">
        <f>IFERROR(INDEX(tblNetflix[year_added],MATCH($A241,tblNetflix[show_id],0)),"")</f>
        <v/>
      </c>
      <c r="F241" s="19">
        <f>IF(AND(OR(YearFilter="All",$E241=YearFilter),OR(RatingFilter="All",$D241=RatingFilter),OR(TypeFilter="All",$C241=TypeFilter)),1,0)</f>
        <v/>
      </c>
    </row>
    <row r="242" ht="15" customHeight="1" s="20">
      <c r="A242" s="19" t="inlineStr">
        <is>
          <t>s1296</t>
        </is>
      </c>
      <c r="B242" s="19" t="inlineStr">
        <is>
          <t>Independent Movies</t>
        </is>
      </c>
      <c r="C242" s="19">
        <f>IFERROR(INDEX(tblNetflix[type],MATCH($A242,tblNetflix[show_id],0)),"")</f>
        <v/>
      </c>
      <c r="D242" s="19">
        <f>IFERROR(INDEX(tblNetflix[rating],MATCH($A242,tblNetflix[show_id],0)),"")</f>
        <v/>
      </c>
      <c r="E242" s="19">
        <f>IFERROR(INDEX(tblNetflix[year_added],MATCH($A242,tblNetflix[show_id],0)),"")</f>
        <v/>
      </c>
      <c r="F242" s="19">
        <f>IF(AND(OR(YearFilter="All",$E242=YearFilter),OR(RatingFilter="All",$D242=RatingFilter),OR(TypeFilter="All",$C242=TypeFilter)),1,0)</f>
        <v/>
      </c>
    </row>
    <row r="243" ht="15" customHeight="1" s="20">
      <c r="A243" s="19" t="inlineStr">
        <is>
          <t>s1306</t>
        </is>
      </c>
      <c r="B243" s="19" t="inlineStr">
        <is>
          <t>Action &amp; Adventure</t>
        </is>
      </c>
      <c r="C243" s="19">
        <f>IFERROR(INDEX(tblNetflix[type],MATCH($A243,tblNetflix[show_id],0)),"")</f>
        <v/>
      </c>
      <c r="D243" s="19">
        <f>IFERROR(INDEX(tblNetflix[rating],MATCH($A243,tblNetflix[show_id],0)),"")</f>
        <v/>
      </c>
      <c r="E243" s="19">
        <f>IFERROR(INDEX(tblNetflix[year_added],MATCH($A243,tblNetflix[show_id],0)),"")</f>
        <v/>
      </c>
      <c r="F243" s="19">
        <f>IF(AND(OR(YearFilter="All",$E243=YearFilter),OR(RatingFilter="All",$D243=RatingFilter),OR(TypeFilter="All",$C243=TypeFilter)),1,0)</f>
        <v/>
      </c>
    </row>
    <row r="244" ht="15" customHeight="1" s="20">
      <c r="A244" s="19" t="inlineStr">
        <is>
          <t>s1306</t>
        </is>
      </c>
      <c r="B244" s="19" t="inlineStr">
        <is>
          <t>Comedies</t>
        </is>
      </c>
      <c r="C244" s="19">
        <f>IFERROR(INDEX(tblNetflix[type],MATCH($A244,tblNetflix[show_id],0)),"")</f>
        <v/>
      </c>
      <c r="D244" s="19">
        <f>IFERROR(INDEX(tblNetflix[rating],MATCH($A244,tblNetflix[show_id],0)),"")</f>
        <v/>
      </c>
      <c r="E244" s="19">
        <f>IFERROR(INDEX(tblNetflix[year_added],MATCH($A244,tblNetflix[show_id],0)),"")</f>
        <v/>
      </c>
      <c r="F244" s="19">
        <f>IF(AND(OR(YearFilter="All",$E244=YearFilter),OR(RatingFilter="All",$D244=RatingFilter),OR(TypeFilter="All",$C244=TypeFilter)),1,0)</f>
        <v/>
      </c>
    </row>
    <row r="245" ht="15" customHeight="1" s="20">
      <c r="A245" s="19" t="inlineStr">
        <is>
          <t>s1306</t>
        </is>
      </c>
      <c r="B245" s="19" t="inlineStr">
        <is>
          <t>Dramas</t>
        </is>
      </c>
      <c r="C245" s="19">
        <f>IFERROR(INDEX(tblNetflix[type],MATCH($A245,tblNetflix[show_id],0)),"")</f>
        <v/>
      </c>
      <c r="D245" s="19">
        <f>IFERROR(INDEX(tblNetflix[rating],MATCH($A245,tblNetflix[show_id],0)),"")</f>
        <v/>
      </c>
      <c r="E245" s="19">
        <f>IFERROR(INDEX(tblNetflix[year_added],MATCH($A245,tblNetflix[show_id],0)),"")</f>
        <v/>
      </c>
      <c r="F245" s="19">
        <f>IF(AND(OR(YearFilter="All",$E245=YearFilter),OR(RatingFilter="All",$D245=RatingFilter),OR(TypeFilter="All",$C245=TypeFilter)),1,0)</f>
        <v/>
      </c>
    </row>
    <row r="246" ht="15" customHeight="1" s="20">
      <c r="A246" s="19" t="inlineStr">
        <is>
          <t>s1317</t>
        </is>
      </c>
      <c r="B246" s="19" t="inlineStr">
        <is>
          <t>Dramas</t>
        </is>
      </c>
      <c r="C246" s="19">
        <f>IFERROR(INDEX(tblNetflix[type],MATCH($A246,tblNetflix[show_id],0)),"")</f>
        <v/>
      </c>
      <c r="D246" s="19">
        <f>IFERROR(INDEX(tblNetflix[rating],MATCH($A246,tblNetflix[show_id],0)),"")</f>
        <v/>
      </c>
      <c r="E246" s="19">
        <f>IFERROR(INDEX(tblNetflix[year_added],MATCH($A246,tblNetflix[show_id],0)),"")</f>
        <v/>
      </c>
      <c r="F246" s="19">
        <f>IF(AND(OR(YearFilter="All",$E246=YearFilter),OR(RatingFilter="All",$D246=RatingFilter),OR(TypeFilter="All",$C246=TypeFilter)),1,0)</f>
        <v/>
      </c>
    </row>
    <row r="247" ht="15" customHeight="1" s="20">
      <c r="A247" s="19" t="inlineStr">
        <is>
          <t>s1317</t>
        </is>
      </c>
      <c r="B247" s="19" t="inlineStr">
        <is>
          <t>International Movies</t>
        </is>
      </c>
      <c r="C247" s="19">
        <f>IFERROR(INDEX(tblNetflix[type],MATCH($A247,tblNetflix[show_id],0)),"")</f>
        <v/>
      </c>
      <c r="D247" s="19">
        <f>IFERROR(INDEX(tblNetflix[rating],MATCH($A247,tblNetflix[show_id],0)),"")</f>
        <v/>
      </c>
      <c r="E247" s="19">
        <f>IFERROR(INDEX(tblNetflix[year_added],MATCH($A247,tblNetflix[show_id],0)),"")</f>
        <v/>
      </c>
      <c r="F247" s="19">
        <f>IF(AND(OR(YearFilter="All",$E247=YearFilter),OR(RatingFilter="All",$D247=RatingFilter),OR(TypeFilter="All",$C247=TypeFilter)),1,0)</f>
        <v/>
      </c>
    </row>
    <row r="248" ht="15" customHeight="1" s="20">
      <c r="A248" s="19" t="inlineStr">
        <is>
          <t>s1317</t>
        </is>
      </c>
      <c r="B248" s="19" t="inlineStr">
        <is>
          <t>Romantic Movies</t>
        </is>
      </c>
      <c r="C248" s="19">
        <f>IFERROR(INDEX(tblNetflix[type],MATCH($A248,tblNetflix[show_id],0)),"")</f>
        <v/>
      </c>
      <c r="D248" s="19">
        <f>IFERROR(INDEX(tblNetflix[rating],MATCH($A248,tblNetflix[show_id],0)),"")</f>
        <v/>
      </c>
      <c r="E248" s="19">
        <f>IFERROR(INDEX(tblNetflix[year_added],MATCH($A248,tblNetflix[show_id],0)),"")</f>
        <v/>
      </c>
      <c r="F248" s="19">
        <f>IF(AND(OR(YearFilter="All",$E248=YearFilter),OR(RatingFilter="All",$D248=RatingFilter),OR(TypeFilter="All",$C248=TypeFilter)),1,0)</f>
        <v/>
      </c>
    </row>
    <row r="249" ht="15" customHeight="1" s="20">
      <c r="A249" s="19" t="inlineStr">
        <is>
          <t>s1377</t>
        </is>
      </c>
      <c r="B249" s="19" t="inlineStr">
        <is>
          <t>Comedies</t>
        </is>
      </c>
      <c r="C249" s="19">
        <f>IFERROR(INDEX(tblNetflix[type],MATCH($A249,tblNetflix[show_id],0)),"")</f>
        <v/>
      </c>
      <c r="D249" s="19">
        <f>IFERROR(INDEX(tblNetflix[rating],MATCH($A249,tblNetflix[show_id],0)),"")</f>
        <v/>
      </c>
      <c r="E249" s="19">
        <f>IFERROR(INDEX(tblNetflix[year_added],MATCH($A249,tblNetflix[show_id],0)),"")</f>
        <v/>
      </c>
      <c r="F249" s="19">
        <f>IF(AND(OR(YearFilter="All",$E249=YearFilter),OR(RatingFilter="All",$D249=RatingFilter),OR(TypeFilter="All",$C249=TypeFilter)),1,0)</f>
        <v/>
      </c>
    </row>
    <row r="250" ht="15" customHeight="1" s="20">
      <c r="A250" s="19" t="inlineStr">
        <is>
          <t>s1377</t>
        </is>
      </c>
      <c r="B250" s="19" t="inlineStr">
        <is>
          <t>Dramas</t>
        </is>
      </c>
      <c r="C250" s="19">
        <f>IFERROR(INDEX(tblNetflix[type],MATCH($A250,tblNetflix[show_id],0)),"")</f>
        <v/>
      </c>
      <c r="D250" s="19">
        <f>IFERROR(INDEX(tblNetflix[rating],MATCH($A250,tblNetflix[show_id],0)),"")</f>
        <v/>
      </c>
      <c r="E250" s="19">
        <f>IFERROR(INDEX(tblNetflix[year_added],MATCH($A250,tblNetflix[show_id],0)),"")</f>
        <v/>
      </c>
      <c r="F250" s="19">
        <f>IF(AND(OR(YearFilter="All",$E250=YearFilter),OR(RatingFilter="All",$D250=RatingFilter),OR(TypeFilter="All",$C250=TypeFilter)),1,0)</f>
        <v/>
      </c>
    </row>
    <row r="251" ht="15" customHeight="1" s="20">
      <c r="A251" s="19" t="inlineStr">
        <is>
          <t>s1377</t>
        </is>
      </c>
      <c r="B251" s="19" t="inlineStr">
        <is>
          <t>Independent Movies</t>
        </is>
      </c>
      <c r="C251" s="19">
        <f>IFERROR(INDEX(tblNetflix[type],MATCH($A251,tblNetflix[show_id],0)),"")</f>
        <v/>
      </c>
      <c r="D251" s="19">
        <f>IFERROR(INDEX(tblNetflix[rating],MATCH($A251,tblNetflix[show_id],0)),"")</f>
        <v/>
      </c>
      <c r="E251" s="19">
        <f>IFERROR(INDEX(tblNetflix[year_added],MATCH($A251,tblNetflix[show_id],0)),"")</f>
        <v/>
      </c>
      <c r="F251" s="19">
        <f>IF(AND(OR(YearFilter="All",$E251=YearFilter),OR(RatingFilter="All",$D251=RatingFilter),OR(TypeFilter="All",$C251=TypeFilter)),1,0)</f>
        <v/>
      </c>
    </row>
    <row r="252" ht="15" customHeight="1" s="20">
      <c r="A252" s="19" t="inlineStr">
        <is>
          <t>s1389</t>
        </is>
      </c>
      <c r="B252" s="19" t="inlineStr">
        <is>
          <t>Dramas</t>
        </is>
      </c>
      <c r="C252" s="19">
        <f>IFERROR(INDEX(tblNetflix[type],MATCH($A252,tblNetflix[show_id],0)),"")</f>
        <v/>
      </c>
      <c r="D252" s="19">
        <f>IFERROR(INDEX(tblNetflix[rating],MATCH($A252,tblNetflix[show_id],0)),"")</f>
        <v/>
      </c>
      <c r="E252" s="19">
        <f>IFERROR(INDEX(tblNetflix[year_added],MATCH($A252,tblNetflix[show_id],0)),"")</f>
        <v/>
      </c>
      <c r="F252" s="19">
        <f>IF(AND(OR(YearFilter="All",$E252=YearFilter),OR(RatingFilter="All",$D252=RatingFilter),OR(TypeFilter="All",$C252=TypeFilter)),1,0)</f>
        <v/>
      </c>
    </row>
    <row r="253" ht="15" customHeight="1" s="20">
      <c r="A253" s="19" t="inlineStr">
        <is>
          <t>s1411</t>
        </is>
      </c>
      <c r="B253" s="19" t="inlineStr">
        <is>
          <t>Dramas</t>
        </is>
      </c>
      <c r="C253" s="19">
        <f>IFERROR(INDEX(tblNetflix[type],MATCH($A253,tblNetflix[show_id],0)),"")</f>
        <v/>
      </c>
      <c r="D253" s="19">
        <f>IFERROR(INDEX(tblNetflix[rating],MATCH($A253,tblNetflix[show_id],0)),"")</f>
        <v/>
      </c>
      <c r="E253" s="19">
        <f>IFERROR(INDEX(tblNetflix[year_added],MATCH($A253,tblNetflix[show_id],0)),"")</f>
        <v/>
      </c>
      <c r="F253" s="19">
        <f>IF(AND(OR(YearFilter="All",$E253=YearFilter),OR(RatingFilter="All",$D253=RatingFilter),OR(TypeFilter="All",$C253=TypeFilter)),1,0)</f>
        <v/>
      </c>
    </row>
    <row r="254" ht="15" customHeight="1" s="20">
      <c r="A254" s="19" t="inlineStr">
        <is>
          <t>s1411</t>
        </is>
      </c>
      <c r="B254" s="19" t="inlineStr">
        <is>
          <t>International Movies</t>
        </is>
      </c>
      <c r="C254" s="19">
        <f>IFERROR(INDEX(tblNetflix[type],MATCH($A254,tblNetflix[show_id],0)),"")</f>
        <v/>
      </c>
      <c r="D254" s="19">
        <f>IFERROR(INDEX(tblNetflix[rating],MATCH($A254,tblNetflix[show_id],0)),"")</f>
        <v/>
      </c>
      <c r="E254" s="19">
        <f>IFERROR(INDEX(tblNetflix[year_added],MATCH($A254,tblNetflix[show_id],0)),"")</f>
        <v/>
      </c>
      <c r="F254" s="19">
        <f>IF(AND(OR(YearFilter="All",$E254=YearFilter),OR(RatingFilter="All",$D254=RatingFilter),OR(TypeFilter="All",$C254=TypeFilter)),1,0)</f>
        <v/>
      </c>
    </row>
    <row r="255" ht="15" customHeight="1" s="20">
      <c r="A255" s="19" t="inlineStr">
        <is>
          <t>s1423</t>
        </is>
      </c>
      <c r="B255" s="19" t="inlineStr">
        <is>
          <t>Dramas</t>
        </is>
      </c>
      <c r="C255" s="19">
        <f>IFERROR(INDEX(tblNetflix[type],MATCH($A255,tblNetflix[show_id],0)),"")</f>
        <v/>
      </c>
      <c r="D255" s="19">
        <f>IFERROR(INDEX(tblNetflix[rating],MATCH($A255,tblNetflix[show_id],0)),"")</f>
        <v/>
      </c>
      <c r="E255" s="19">
        <f>IFERROR(INDEX(tblNetflix[year_added],MATCH($A255,tblNetflix[show_id],0)),"")</f>
        <v/>
      </c>
      <c r="F255" s="19">
        <f>IF(AND(OR(YearFilter="All",$E255=YearFilter),OR(RatingFilter="All",$D255=RatingFilter),OR(TypeFilter="All",$C255=TypeFilter)),1,0)</f>
        <v/>
      </c>
    </row>
    <row r="256" ht="15" customHeight="1" s="20">
      <c r="A256" s="19" t="inlineStr">
        <is>
          <t>s1423</t>
        </is>
      </c>
      <c r="B256" s="19" t="inlineStr">
        <is>
          <t>International Movies</t>
        </is>
      </c>
      <c r="C256" s="19">
        <f>IFERROR(INDEX(tblNetflix[type],MATCH($A256,tblNetflix[show_id],0)),"")</f>
        <v/>
      </c>
      <c r="D256" s="19">
        <f>IFERROR(INDEX(tblNetflix[rating],MATCH($A256,tblNetflix[show_id],0)),"")</f>
        <v/>
      </c>
      <c r="E256" s="19">
        <f>IFERROR(INDEX(tblNetflix[year_added],MATCH($A256,tblNetflix[show_id],0)),"")</f>
        <v/>
      </c>
      <c r="F256" s="19">
        <f>IF(AND(OR(YearFilter="All",$E256=YearFilter),OR(RatingFilter="All",$D256=RatingFilter),OR(TypeFilter="All",$C256=TypeFilter)),1,0)</f>
        <v/>
      </c>
    </row>
    <row r="257" ht="15" customHeight="1" s="20">
      <c r="A257" s="19" t="inlineStr">
        <is>
          <t>s1424</t>
        </is>
      </c>
      <c r="B257" s="19" t="inlineStr">
        <is>
          <t>Comedies</t>
        </is>
      </c>
      <c r="C257" s="19">
        <f>IFERROR(INDEX(tblNetflix[type],MATCH($A257,tblNetflix[show_id],0)),"")</f>
        <v/>
      </c>
      <c r="D257" s="19">
        <f>IFERROR(INDEX(tblNetflix[rating],MATCH($A257,tblNetflix[show_id],0)),"")</f>
        <v/>
      </c>
      <c r="E257" s="19">
        <f>IFERROR(INDEX(tblNetflix[year_added],MATCH($A257,tblNetflix[show_id],0)),"")</f>
        <v/>
      </c>
      <c r="F257" s="19">
        <f>IF(AND(OR(YearFilter="All",$E257=YearFilter),OR(RatingFilter="All",$D257=RatingFilter),OR(TypeFilter="All",$C257=TypeFilter)),1,0)</f>
        <v/>
      </c>
    </row>
    <row r="258" ht="15" customHeight="1" s="20">
      <c r="A258" s="19" t="inlineStr">
        <is>
          <t>s1424</t>
        </is>
      </c>
      <c r="B258" s="19" t="inlineStr">
        <is>
          <t>International Movies</t>
        </is>
      </c>
      <c r="C258" s="19">
        <f>IFERROR(INDEX(tblNetflix[type],MATCH($A258,tblNetflix[show_id],0)),"")</f>
        <v/>
      </c>
      <c r="D258" s="19">
        <f>IFERROR(INDEX(tblNetflix[rating],MATCH($A258,tblNetflix[show_id],0)),"")</f>
        <v/>
      </c>
      <c r="E258" s="19">
        <f>IFERROR(INDEX(tblNetflix[year_added],MATCH($A258,tblNetflix[show_id],0)),"")</f>
        <v/>
      </c>
      <c r="F258" s="19">
        <f>IF(AND(OR(YearFilter="All",$E258=YearFilter),OR(RatingFilter="All",$D258=RatingFilter),OR(TypeFilter="All",$C258=TypeFilter)),1,0)</f>
        <v/>
      </c>
    </row>
    <row r="259" ht="15" customHeight="1" s="20">
      <c r="A259" s="19" t="inlineStr">
        <is>
          <t>s1424</t>
        </is>
      </c>
      <c r="B259" s="19" t="inlineStr">
        <is>
          <t>Romantic Movies</t>
        </is>
      </c>
      <c r="C259" s="19">
        <f>IFERROR(INDEX(tblNetflix[type],MATCH($A259,tblNetflix[show_id],0)),"")</f>
        <v/>
      </c>
      <c r="D259" s="19">
        <f>IFERROR(INDEX(tblNetflix[rating],MATCH($A259,tblNetflix[show_id],0)),"")</f>
        <v/>
      </c>
      <c r="E259" s="19">
        <f>IFERROR(INDEX(tblNetflix[year_added],MATCH($A259,tblNetflix[show_id],0)),"")</f>
        <v/>
      </c>
      <c r="F259" s="19">
        <f>IF(AND(OR(YearFilter="All",$E259=YearFilter),OR(RatingFilter="All",$D259=RatingFilter),OR(TypeFilter="All",$C259=TypeFilter)),1,0)</f>
        <v/>
      </c>
    </row>
    <row r="260" ht="15" customHeight="1" s="20">
      <c r="A260" s="19" t="inlineStr">
        <is>
          <t>s1427</t>
        </is>
      </c>
      <c r="B260" s="19" t="inlineStr">
        <is>
          <t>Dramas</t>
        </is>
      </c>
      <c r="C260" s="19">
        <f>IFERROR(INDEX(tblNetflix[type],MATCH($A260,tblNetflix[show_id],0)),"")</f>
        <v/>
      </c>
      <c r="D260" s="19">
        <f>IFERROR(INDEX(tblNetflix[rating],MATCH($A260,tblNetflix[show_id],0)),"")</f>
        <v/>
      </c>
      <c r="E260" s="19">
        <f>IFERROR(INDEX(tblNetflix[year_added],MATCH($A260,tblNetflix[show_id],0)),"")</f>
        <v/>
      </c>
      <c r="F260" s="19">
        <f>IF(AND(OR(YearFilter="All",$E260=YearFilter),OR(RatingFilter="All",$D260=RatingFilter),OR(TypeFilter="All",$C260=TypeFilter)),1,0)</f>
        <v/>
      </c>
    </row>
    <row r="261" ht="15" customHeight="1" s="20">
      <c r="A261" s="19" t="inlineStr">
        <is>
          <t>s1427</t>
        </is>
      </c>
      <c r="B261" s="19" t="inlineStr">
        <is>
          <t>International Movies</t>
        </is>
      </c>
      <c r="C261" s="19">
        <f>IFERROR(INDEX(tblNetflix[type],MATCH($A261,tblNetflix[show_id],0)),"")</f>
        <v/>
      </c>
      <c r="D261" s="19">
        <f>IFERROR(INDEX(tblNetflix[rating],MATCH($A261,tblNetflix[show_id],0)),"")</f>
        <v/>
      </c>
      <c r="E261" s="19">
        <f>IFERROR(INDEX(tblNetflix[year_added],MATCH($A261,tblNetflix[show_id],0)),"")</f>
        <v/>
      </c>
      <c r="F261" s="19">
        <f>IF(AND(OR(YearFilter="All",$E261=YearFilter),OR(RatingFilter="All",$D261=RatingFilter),OR(TypeFilter="All",$C261=TypeFilter)),1,0)</f>
        <v/>
      </c>
    </row>
    <row r="262" ht="15" customHeight="1" s="20">
      <c r="A262" s="19" t="inlineStr">
        <is>
          <t>s1429</t>
        </is>
      </c>
      <c r="B262" s="19" t="inlineStr">
        <is>
          <t>Dramas</t>
        </is>
      </c>
      <c r="C262" s="19">
        <f>IFERROR(INDEX(tblNetflix[type],MATCH($A262,tblNetflix[show_id],0)),"")</f>
        <v/>
      </c>
      <c r="D262" s="19">
        <f>IFERROR(INDEX(tblNetflix[rating],MATCH($A262,tblNetflix[show_id],0)),"")</f>
        <v/>
      </c>
      <c r="E262" s="19">
        <f>IFERROR(INDEX(tblNetflix[year_added],MATCH($A262,tblNetflix[show_id],0)),"")</f>
        <v/>
      </c>
      <c r="F262" s="19">
        <f>IF(AND(OR(YearFilter="All",$E262=YearFilter),OR(RatingFilter="All",$D262=RatingFilter),OR(TypeFilter="All",$C262=TypeFilter)),1,0)</f>
        <v/>
      </c>
    </row>
    <row r="263" ht="15" customHeight="1" s="20">
      <c r="A263" s="19" t="inlineStr">
        <is>
          <t>s1429</t>
        </is>
      </c>
      <c r="B263" s="19" t="inlineStr">
        <is>
          <t>Independent Movies</t>
        </is>
      </c>
      <c r="C263" s="19">
        <f>IFERROR(INDEX(tblNetflix[type],MATCH($A263,tblNetflix[show_id],0)),"")</f>
        <v/>
      </c>
      <c r="D263" s="19">
        <f>IFERROR(INDEX(tblNetflix[rating],MATCH($A263,tblNetflix[show_id],0)),"")</f>
        <v/>
      </c>
      <c r="E263" s="19">
        <f>IFERROR(INDEX(tblNetflix[year_added],MATCH($A263,tblNetflix[show_id],0)),"")</f>
        <v/>
      </c>
      <c r="F263" s="19">
        <f>IF(AND(OR(YearFilter="All",$E263=YearFilter),OR(RatingFilter="All",$D263=RatingFilter),OR(TypeFilter="All",$C263=TypeFilter)),1,0)</f>
        <v/>
      </c>
    </row>
    <row r="264" ht="15" customHeight="1" s="20">
      <c r="A264" s="19" t="inlineStr">
        <is>
          <t>s1429</t>
        </is>
      </c>
      <c r="B264" s="19" t="inlineStr">
        <is>
          <t>International Movies</t>
        </is>
      </c>
      <c r="C264" s="19">
        <f>IFERROR(INDEX(tblNetflix[type],MATCH($A264,tblNetflix[show_id],0)),"")</f>
        <v/>
      </c>
      <c r="D264" s="19">
        <f>IFERROR(INDEX(tblNetflix[rating],MATCH($A264,tblNetflix[show_id],0)),"")</f>
        <v/>
      </c>
      <c r="E264" s="19">
        <f>IFERROR(INDEX(tblNetflix[year_added],MATCH($A264,tblNetflix[show_id],0)),"")</f>
        <v/>
      </c>
      <c r="F264" s="19">
        <f>IF(AND(OR(YearFilter="All",$E264=YearFilter),OR(RatingFilter="All",$D264=RatingFilter),OR(TypeFilter="All",$C264=TypeFilter)),1,0)</f>
        <v/>
      </c>
    </row>
    <row r="265" ht="15" customHeight="1" s="20">
      <c r="A265" s="19" t="inlineStr">
        <is>
          <t>s1430</t>
        </is>
      </c>
      <c r="B265" s="19" t="inlineStr">
        <is>
          <t>Kids' TV</t>
        </is>
      </c>
      <c r="C265" s="19">
        <f>IFERROR(INDEX(tblNetflix[type],MATCH($A265,tblNetflix[show_id],0)),"")</f>
        <v/>
      </c>
      <c r="D265" s="19">
        <f>IFERROR(INDEX(tblNetflix[rating],MATCH($A265,tblNetflix[show_id],0)),"")</f>
        <v/>
      </c>
      <c r="E265" s="19">
        <f>IFERROR(INDEX(tblNetflix[year_added],MATCH($A265,tblNetflix[show_id],0)),"")</f>
        <v/>
      </c>
      <c r="F265" s="19">
        <f>IF(AND(OR(YearFilter="All",$E265=YearFilter),OR(RatingFilter="All",$D265=RatingFilter),OR(TypeFilter="All",$C265=TypeFilter)),1,0)</f>
        <v/>
      </c>
    </row>
    <row r="266" ht="15" customHeight="1" s="20">
      <c r="A266" s="19" t="inlineStr">
        <is>
          <t>s1430</t>
        </is>
      </c>
      <c r="B266" s="19" t="inlineStr">
        <is>
          <t>TV Comedies</t>
        </is>
      </c>
      <c r="C266" s="19">
        <f>IFERROR(INDEX(tblNetflix[type],MATCH($A266,tblNetflix[show_id],0)),"")</f>
        <v/>
      </c>
      <c r="D266" s="19">
        <f>IFERROR(INDEX(tblNetflix[rating],MATCH($A266,tblNetflix[show_id],0)),"")</f>
        <v/>
      </c>
      <c r="E266" s="19">
        <f>IFERROR(INDEX(tblNetflix[year_added],MATCH($A266,tblNetflix[show_id],0)),"")</f>
        <v/>
      </c>
      <c r="F266" s="19">
        <f>IF(AND(OR(YearFilter="All",$E266=YearFilter),OR(RatingFilter="All",$D266=RatingFilter),OR(TypeFilter="All",$C266=TypeFilter)),1,0)</f>
        <v/>
      </c>
    </row>
    <row r="267" ht="15" customHeight="1" s="20">
      <c r="A267" s="19" t="inlineStr">
        <is>
          <t>s1442</t>
        </is>
      </c>
      <c r="B267" s="19" t="inlineStr">
        <is>
          <t>Action &amp; Adventure</t>
        </is>
      </c>
      <c r="C267" s="19">
        <f>IFERROR(INDEX(tblNetflix[type],MATCH($A267,tblNetflix[show_id],0)),"")</f>
        <v/>
      </c>
      <c r="D267" s="19">
        <f>IFERROR(INDEX(tblNetflix[rating],MATCH($A267,tblNetflix[show_id],0)),"")</f>
        <v/>
      </c>
      <c r="E267" s="19">
        <f>IFERROR(INDEX(tblNetflix[year_added],MATCH($A267,tblNetflix[show_id],0)),"")</f>
        <v/>
      </c>
      <c r="F267" s="19">
        <f>IF(AND(OR(YearFilter="All",$E267=YearFilter),OR(RatingFilter="All",$D267=RatingFilter),OR(TypeFilter="All",$C267=TypeFilter)),1,0)</f>
        <v/>
      </c>
    </row>
    <row r="268" ht="15" customHeight="1" s="20">
      <c r="A268" s="19" t="inlineStr">
        <is>
          <t>s1442</t>
        </is>
      </c>
      <c r="B268" s="19" t="inlineStr">
        <is>
          <t>Comedies</t>
        </is>
      </c>
      <c r="C268" s="19">
        <f>IFERROR(INDEX(tblNetflix[type],MATCH($A268,tblNetflix[show_id],0)),"")</f>
        <v/>
      </c>
      <c r="D268" s="19">
        <f>IFERROR(INDEX(tblNetflix[rating],MATCH($A268,tblNetflix[show_id],0)),"")</f>
        <v/>
      </c>
      <c r="E268" s="19">
        <f>IFERROR(INDEX(tblNetflix[year_added],MATCH($A268,tblNetflix[show_id],0)),"")</f>
        <v/>
      </c>
      <c r="F268" s="19">
        <f>IF(AND(OR(YearFilter="All",$E268=YearFilter),OR(RatingFilter="All",$D268=RatingFilter),OR(TypeFilter="All",$C268=TypeFilter)),1,0)</f>
        <v/>
      </c>
    </row>
    <row r="269" ht="15" customHeight="1" s="20">
      <c r="A269" s="19" t="inlineStr">
        <is>
          <t>s1442</t>
        </is>
      </c>
      <c r="B269" s="19" t="inlineStr">
        <is>
          <t>International Movies</t>
        </is>
      </c>
      <c r="C269" s="19">
        <f>IFERROR(INDEX(tblNetflix[type],MATCH($A269,tblNetflix[show_id],0)),"")</f>
        <v/>
      </c>
      <c r="D269" s="19">
        <f>IFERROR(INDEX(tblNetflix[rating],MATCH($A269,tblNetflix[show_id],0)),"")</f>
        <v/>
      </c>
      <c r="E269" s="19">
        <f>IFERROR(INDEX(tblNetflix[year_added],MATCH($A269,tblNetflix[show_id],0)),"")</f>
        <v/>
      </c>
      <c r="F269" s="19">
        <f>IF(AND(OR(YearFilter="All",$E269=YearFilter),OR(RatingFilter="All",$D269=RatingFilter),OR(TypeFilter="All",$C269=TypeFilter)),1,0)</f>
        <v/>
      </c>
    </row>
    <row r="270" ht="15" customHeight="1" s="20">
      <c r="A270" s="19" t="inlineStr">
        <is>
          <t>s1473</t>
        </is>
      </c>
      <c r="B270" s="19" t="inlineStr">
        <is>
          <t>Comedies</t>
        </is>
      </c>
      <c r="C270" s="19">
        <f>IFERROR(INDEX(tblNetflix[type],MATCH($A270,tblNetflix[show_id],0)),"")</f>
        <v/>
      </c>
      <c r="D270" s="19">
        <f>IFERROR(INDEX(tblNetflix[rating],MATCH($A270,tblNetflix[show_id],0)),"")</f>
        <v/>
      </c>
      <c r="E270" s="19">
        <f>IFERROR(INDEX(tblNetflix[year_added],MATCH($A270,tblNetflix[show_id],0)),"")</f>
        <v/>
      </c>
      <c r="F270" s="19">
        <f>IF(AND(OR(YearFilter="All",$E270=YearFilter),OR(RatingFilter="All",$D270=RatingFilter),OR(TypeFilter="All",$C270=TypeFilter)),1,0)</f>
        <v/>
      </c>
    </row>
    <row r="271" ht="15" customHeight="1" s="20">
      <c r="A271" s="19" t="inlineStr">
        <is>
          <t>s1473</t>
        </is>
      </c>
      <c r="B271" s="19" t="inlineStr">
        <is>
          <t>Dramas</t>
        </is>
      </c>
      <c r="C271" s="19">
        <f>IFERROR(INDEX(tblNetflix[type],MATCH($A271,tblNetflix[show_id],0)),"")</f>
        <v/>
      </c>
      <c r="D271" s="19">
        <f>IFERROR(INDEX(tblNetflix[rating],MATCH($A271,tblNetflix[show_id],0)),"")</f>
        <v/>
      </c>
      <c r="E271" s="19">
        <f>IFERROR(INDEX(tblNetflix[year_added],MATCH($A271,tblNetflix[show_id],0)),"")</f>
        <v/>
      </c>
      <c r="F271" s="19">
        <f>IF(AND(OR(YearFilter="All",$E271=YearFilter),OR(RatingFilter="All",$D271=RatingFilter),OR(TypeFilter="All",$C271=TypeFilter)),1,0)</f>
        <v/>
      </c>
    </row>
    <row r="272" ht="15" customHeight="1" s="20">
      <c r="A272" s="19" t="inlineStr">
        <is>
          <t>s1473</t>
        </is>
      </c>
      <c r="B272" s="19" t="inlineStr">
        <is>
          <t>International Movies</t>
        </is>
      </c>
      <c r="C272" s="19">
        <f>IFERROR(INDEX(tblNetflix[type],MATCH($A272,tblNetflix[show_id],0)),"")</f>
        <v/>
      </c>
      <c r="D272" s="19">
        <f>IFERROR(INDEX(tblNetflix[rating],MATCH($A272,tblNetflix[show_id],0)),"")</f>
        <v/>
      </c>
      <c r="E272" s="19">
        <f>IFERROR(INDEX(tblNetflix[year_added],MATCH($A272,tblNetflix[show_id],0)),"")</f>
        <v/>
      </c>
      <c r="F272" s="19">
        <f>IF(AND(OR(YearFilter="All",$E272=YearFilter),OR(RatingFilter="All",$D272=RatingFilter),OR(TypeFilter="All",$C272=TypeFilter)),1,0)</f>
        <v/>
      </c>
    </row>
    <row r="273" ht="15" customHeight="1" s="20">
      <c r="A273" s="19" t="inlineStr">
        <is>
          <t>s1490</t>
        </is>
      </c>
      <c r="B273" s="19" t="inlineStr">
        <is>
          <t>Docuseries</t>
        </is>
      </c>
      <c r="C273" s="19">
        <f>IFERROR(INDEX(tblNetflix[type],MATCH($A273,tblNetflix[show_id],0)),"")</f>
        <v/>
      </c>
      <c r="D273" s="19">
        <f>IFERROR(INDEX(tblNetflix[rating],MATCH($A273,tblNetflix[show_id],0)),"")</f>
        <v/>
      </c>
      <c r="E273" s="19">
        <f>IFERROR(INDEX(tblNetflix[year_added],MATCH($A273,tblNetflix[show_id],0)),"")</f>
        <v/>
      </c>
      <c r="F273" s="19">
        <f>IF(AND(OR(YearFilter="All",$E273=YearFilter),OR(RatingFilter="All",$D273=RatingFilter),OR(TypeFilter="All",$C273=TypeFilter)),1,0)</f>
        <v/>
      </c>
    </row>
    <row r="274" ht="15" customHeight="1" s="20">
      <c r="A274" s="19" t="inlineStr">
        <is>
          <t>s1490</t>
        </is>
      </c>
      <c r="B274" s="19" t="inlineStr">
        <is>
          <t>International TV Shows</t>
        </is>
      </c>
      <c r="C274" s="19">
        <f>IFERROR(INDEX(tblNetflix[type],MATCH($A274,tblNetflix[show_id],0)),"")</f>
        <v/>
      </c>
      <c r="D274" s="19">
        <f>IFERROR(INDEX(tblNetflix[rating],MATCH($A274,tblNetflix[show_id],0)),"")</f>
        <v/>
      </c>
      <c r="E274" s="19">
        <f>IFERROR(INDEX(tblNetflix[year_added],MATCH($A274,tblNetflix[show_id],0)),"")</f>
        <v/>
      </c>
      <c r="F274" s="19">
        <f>IF(AND(OR(YearFilter="All",$E274=YearFilter),OR(RatingFilter="All",$D274=RatingFilter),OR(TypeFilter="All",$C274=TypeFilter)),1,0)</f>
        <v/>
      </c>
    </row>
    <row r="275" ht="15" customHeight="1" s="20">
      <c r="A275" s="19" t="inlineStr">
        <is>
          <t>s1492</t>
        </is>
      </c>
      <c r="B275" s="19" t="inlineStr">
        <is>
          <t>Comedies</t>
        </is>
      </c>
      <c r="C275" s="19">
        <f>IFERROR(INDEX(tblNetflix[type],MATCH($A275,tblNetflix[show_id],0)),"")</f>
        <v/>
      </c>
      <c r="D275" s="19">
        <f>IFERROR(INDEX(tblNetflix[rating],MATCH($A275,tblNetflix[show_id],0)),"")</f>
        <v/>
      </c>
      <c r="E275" s="19">
        <f>IFERROR(INDEX(tblNetflix[year_added],MATCH($A275,tblNetflix[show_id],0)),"")</f>
        <v/>
      </c>
      <c r="F275" s="19">
        <f>IF(AND(OR(YearFilter="All",$E275=YearFilter),OR(RatingFilter="All",$D275=RatingFilter),OR(TypeFilter="All",$C275=TypeFilter)),1,0)</f>
        <v/>
      </c>
    </row>
    <row r="276" ht="15" customHeight="1" s="20">
      <c r="A276" s="19" t="inlineStr">
        <is>
          <t>s1492</t>
        </is>
      </c>
      <c r="B276" s="19" t="inlineStr">
        <is>
          <t>Dramas</t>
        </is>
      </c>
      <c r="C276" s="19">
        <f>IFERROR(INDEX(tblNetflix[type],MATCH($A276,tblNetflix[show_id],0)),"")</f>
        <v/>
      </c>
      <c r="D276" s="19">
        <f>IFERROR(INDEX(tblNetflix[rating],MATCH($A276,tblNetflix[show_id],0)),"")</f>
        <v/>
      </c>
      <c r="E276" s="19">
        <f>IFERROR(INDEX(tblNetflix[year_added],MATCH($A276,tblNetflix[show_id],0)),"")</f>
        <v/>
      </c>
      <c r="F276" s="19">
        <f>IF(AND(OR(YearFilter="All",$E276=YearFilter),OR(RatingFilter="All",$D276=RatingFilter),OR(TypeFilter="All",$C276=TypeFilter)),1,0)</f>
        <v/>
      </c>
    </row>
    <row r="277" ht="15" customHeight="1" s="20">
      <c r="A277" s="19" t="inlineStr">
        <is>
          <t>s1492</t>
        </is>
      </c>
      <c r="B277" s="19" t="inlineStr">
        <is>
          <t>International Movies</t>
        </is>
      </c>
      <c r="C277" s="19">
        <f>IFERROR(INDEX(tblNetflix[type],MATCH($A277,tblNetflix[show_id],0)),"")</f>
        <v/>
      </c>
      <c r="D277" s="19">
        <f>IFERROR(INDEX(tblNetflix[rating],MATCH($A277,tblNetflix[show_id],0)),"")</f>
        <v/>
      </c>
      <c r="E277" s="19">
        <f>IFERROR(INDEX(tblNetflix[year_added],MATCH($A277,tblNetflix[show_id],0)),"")</f>
        <v/>
      </c>
      <c r="F277" s="19">
        <f>IF(AND(OR(YearFilter="All",$E277=YearFilter),OR(RatingFilter="All",$D277=RatingFilter),OR(TypeFilter="All",$C277=TypeFilter)),1,0)</f>
        <v/>
      </c>
    </row>
    <row r="278" ht="15" customHeight="1" s="20">
      <c r="A278" s="19" t="inlineStr">
        <is>
          <t>s1521</t>
        </is>
      </c>
      <c r="B278" s="19" t="inlineStr">
        <is>
          <t>International TV Shows</t>
        </is>
      </c>
      <c r="C278" s="19">
        <f>IFERROR(INDEX(tblNetflix[type],MATCH($A278,tblNetflix[show_id],0)),"")</f>
        <v/>
      </c>
      <c r="D278" s="19">
        <f>IFERROR(INDEX(tblNetflix[rating],MATCH($A278,tblNetflix[show_id],0)),"")</f>
        <v/>
      </c>
      <c r="E278" s="19">
        <f>IFERROR(INDEX(tblNetflix[year_added],MATCH($A278,tblNetflix[show_id],0)),"")</f>
        <v/>
      </c>
      <c r="F278" s="19">
        <f>IF(AND(OR(YearFilter="All",$E278=YearFilter),OR(RatingFilter="All",$D278=RatingFilter),OR(TypeFilter="All",$C278=TypeFilter)),1,0)</f>
        <v/>
      </c>
    </row>
    <row r="279" ht="15" customHeight="1" s="20">
      <c r="A279" s="19" t="inlineStr">
        <is>
          <t>s1521</t>
        </is>
      </c>
      <c r="B279" s="19" t="inlineStr">
        <is>
          <t>TV Dramas</t>
        </is>
      </c>
      <c r="C279" s="19">
        <f>IFERROR(INDEX(tblNetflix[type],MATCH($A279,tblNetflix[show_id],0)),"")</f>
        <v/>
      </c>
      <c r="D279" s="19">
        <f>IFERROR(INDEX(tblNetflix[rating],MATCH($A279,tblNetflix[show_id],0)),"")</f>
        <v/>
      </c>
      <c r="E279" s="19">
        <f>IFERROR(INDEX(tblNetflix[year_added],MATCH($A279,tblNetflix[show_id],0)),"")</f>
        <v/>
      </c>
      <c r="F279" s="19">
        <f>IF(AND(OR(YearFilter="All",$E279=YearFilter),OR(RatingFilter="All",$D279=RatingFilter),OR(TypeFilter="All",$C279=TypeFilter)),1,0)</f>
        <v/>
      </c>
    </row>
    <row r="280" ht="15" customHeight="1" s="20">
      <c r="A280" s="19" t="inlineStr">
        <is>
          <t>s1543</t>
        </is>
      </c>
      <c r="B280" s="19" t="inlineStr">
        <is>
          <t>Stand-Up Comedy</t>
        </is>
      </c>
      <c r="C280" s="19">
        <f>IFERROR(INDEX(tblNetflix[type],MATCH($A280,tblNetflix[show_id],0)),"")</f>
        <v/>
      </c>
      <c r="D280" s="19">
        <f>IFERROR(INDEX(tblNetflix[rating],MATCH($A280,tblNetflix[show_id],0)),"")</f>
        <v/>
      </c>
      <c r="E280" s="19">
        <f>IFERROR(INDEX(tblNetflix[year_added],MATCH($A280,tblNetflix[show_id],0)),"")</f>
        <v/>
      </c>
      <c r="F280" s="19">
        <f>IF(AND(OR(YearFilter="All",$E280=YearFilter),OR(RatingFilter="All",$D280=RatingFilter),OR(TypeFilter="All",$C280=TypeFilter)),1,0)</f>
        <v/>
      </c>
    </row>
    <row r="281" ht="15" customHeight="1" s="20">
      <c r="A281" s="19" t="inlineStr">
        <is>
          <t>s1562</t>
        </is>
      </c>
      <c r="B281" s="19" t="inlineStr">
        <is>
          <t>Dramas</t>
        </is>
      </c>
      <c r="C281" s="19">
        <f>IFERROR(INDEX(tblNetflix[type],MATCH($A281,tblNetflix[show_id],0)),"")</f>
        <v/>
      </c>
      <c r="D281" s="19">
        <f>IFERROR(INDEX(tblNetflix[rating],MATCH($A281,tblNetflix[show_id],0)),"")</f>
        <v/>
      </c>
      <c r="E281" s="19">
        <f>IFERROR(INDEX(tblNetflix[year_added],MATCH($A281,tblNetflix[show_id],0)),"")</f>
        <v/>
      </c>
      <c r="F281" s="19">
        <f>IF(AND(OR(YearFilter="All",$E281=YearFilter),OR(RatingFilter="All",$D281=RatingFilter),OR(TypeFilter="All",$C281=TypeFilter)),1,0)</f>
        <v/>
      </c>
    </row>
    <row r="282" ht="15" customHeight="1" s="20">
      <c r="A282" s="19" t="inlineStr">
        <is>
          <t>s1562</t>
        </is>
      </c>
      <c r="B282" s="19" t="inlineStr">
        <is>
          <t>International Movies</t>
        </is>
      </c>
      <c r="C282" s="19">
        <f>IFERROR(INDEX(tblNetflix[type],MATCH($A282,tblNetflix[show_id],0)),"")</f>
        <v/>
      </c>
      <c r="D282" s="19">
        <f>IFERROR(INDEX(tblNetflix[rating],MATCH($A282,tblNetflix[show_id],0)),"")</f>
        <v/>
      </c>
      <c r="E282" s="19">
        <f>IFERROR(INDEX(tblNetflix[year_added],MATCH($A282,tblNetflix[show_id],0)),"")</f>
        <v/>
      </c>
      <c r="F282" s="19">
        <f>IF(AND(OR(YearFilter="All",$E282=YearFilter),OR(RatingFilter="All",$D282=RatingFilter),OR(TypeFilter="All",$C282=TypeFilter)),1,0)</f>
        <v/>
      </c>
    </row>
    <row r="283" ht="15" customHeight="1" s="20">
      <c r="A283" s="19" t="inlineStr">
        <is>
          <t>s1562</t>
        </is>
      </c>
      <c r="B283" s="19" t="inlineStr">
        <is>
          <t>Sports Movies</t>
        </is>
      </c>
      <c r="C283" s="19">
        <f>IFERROR(INDEX(tblNetflix[type],MATCH($A283,tblNetflix[show_id],0)),"")</f>
        <v/>
      </c>
      <c r="D283" s="19">
        <f>IFERROR(INDEX(tblNetflix[rating],MATCH($A283,tblNetflix[show_id],0)),"")</f>
        <v/>
      </c>
      <c r="E283" s="19">
        <f>IFERROR(INDEX(tblNetflix[year_added],MATCH($A283,tblNetflix[show_id],0)),"")</f>
        <v/>
      </c>
      <c r="F283" s="19">
        <f>IF(AND(OR(YearFilter="All",$E283=YearFilter),OR(RatingFilter="All",$D283=RatingFilter),OR(TypeFilter="All",$C283=TypeFilter)),1,0)</f>
        <v/>
      </c>
    </row>
    <row r="284" ht="15" customHeight="1" s="20">
      <c r="A284" s="19" t="inlineStr">
        <is>
          <t>s1590</t>
        </is>
      </c>
      <c r="B284" s="19" t="inlineStr">
        <is>
          <t>International TV Shows</t>
        </is>
      </c>
      <c r="C284" s="19">
        <f>IFERROR(INDEX(tblNetflix[type],MATCH($A284,tblNetflix[show_id],0)),"")</f>
        <v/>
      </c>
      <c r="D284" s="19">
        <f>IFERROR(INDEX(tblNetflix[rating],MATCH($A284,tblNetflix[show_id],0)),"")</f>
        <v/>
      </c>
      <c r="E284" s="19">
        <f>IFERROR(INDEX(tblNetflix[year_added],MATCH($A284,tblNetflix[show_id],0)),"")</f>
        <v/>
      </c>
      <c r="F284" s="19">
        <f>IF(AND(OR(YearFilter="All",$E284=YearFilter),OR(RatingFilter="All",$D284=RatingFilter),OR(TypeFilter="All",$C284=TypeFilter)),1,0)</f>
        <v/>
      </c>
    </row>
    <row r="285" ht="15" customHeight="1" s="20">
      <c r="A285" s="19" t="inlineStr">
        <is>
          <t>s1590</t>
        </is>
      </c>
      <c r="B285" s="19" t="inlineStr">
        <is>
          <t>Romantic TV Shows</t>
        </is>
      </c>
      <c r="C285" s="19">
        <f>IFERROR(INDEX(tblNetflix[type],MATCH($A285,tblNetflix[show_id],0)),"")</f>
        <v/>
      </c>
      <c r="D285" s="19">
        <f>IFERROR(INDEX(tblNetflix[rating],MATCH($A285,tblNetflix[show_id],0)),"")</f>
        <v/>
      </c>
      <c r="E285" s="19">
        <f>IFERROR(INDEX(tblNetflix[year_added],MATCH($A285,tblNetflix[show_id],0)),"")</f>
        <v/>
      </c>
      <c r="F285" s="19">
        <f>IF(AND(OR(YearFilter="All",$E285=YearFilter),OR(RatingFilter="All",$D285=RatingFilter),OR(TypeFilter="All",$C285=TypeFilter)),1,0)</f>
        <v/>
      </c>
    </row>
    <row r="286" ht="15" customHeight="1" s="20">
      <c r="A286" s="19" t="inlineStr">
        <is>
          <t>s1590</t>
        </is>
      </c>
      <c r="B286" s="19" t="inlineStr">
        <is>
          <t>TV Comedies</t>
        </is>
      </c>
      <c r="C286" s="19">
        <f>IFERROR(INDEX(tblNetflix[type],MATCH($A286,tblNetflix[show_id],0)),"")</f>
        <v/>
      </c>
      <c r="D286" s="19">
        <f>IFERROR(INDEX(tblNetflix[rating],MATCH($A286,tblNetflix[show_id],0)),"")</f>
        <v/>
      </c>
      <c r="E286" s="19">
        <f>IFERROR(INDEX(tblNetflix[year_added],MATCH($A286,tblNetflix[show_id],0)),"")</f>
        <v/>
      </c>
      <c r="F286" s="19">
        <f>IF(AND(OR(YearFilter="All",$E286=YearFilter),OR(RatingFilter="All",$D286=RatingFilter),OR(TypeFilter="All",$C286=TypeFilter)),1,0)</f>
        <v/>
      </c>
    </row>
    <row r="287" ht="15" customHeight="1" s="20">
      <c r="A287" s="19" t="inlineStr">
        <is>
          <t>s1619</t>
        </is>
      </c>
      <c r="B287" s="19" t="inlineStr">
        <is>
          <t>British TV Shows</t>
        </is>
      </c>
      <c r="C287" s="19">
        <f>IFERROR(INDEX(tblNetflix[type],MATCH($A287,tblNetflix[show_id],0)),"")</f>
        <v/>
      </c>
      <c r="D287" s="19">
        <f>IFERROR(INDEX(tblNetflix[rating],MATCH($A287,tblNetflix[show_id],0)),"")</f>
        <v/>
      </c>
      <c r="E287" s="19">
        <f>IFERROR(INDEX(tblNetflix[year_added],MATCH($A287,tblNetflix[show_id],0)),"")</f>
        <v/>
      </c>
      <c r="F287" s="19">
        <f>IF(AND(OR(YearFilter="All",$E287=YearFilter),OR(RatingFilter="All",$D287=RatingFilter),OR(TypeFilter="All",$C287=TypeFilter)),1,0)</f>
        <v/>
      </c>
    </row>
    <row r="288" ht="15" customHeight="1" s="20">
      <c r="A288" s="19" t="inlineStr">
        <is>
          <t>s1619</t>
        </is>
      </c>
      <c r="B288" s="19" t="inlineStr">
        <is>
          <t>Kids' TV</t>
        </is>
      </c>
      <c r="C288" s="19">
        <f>IFERROR(INDEX(tblNetflix[type],MATCH($A288,tblNetflix[show_id],0)),"")</f>
        <v/>
      </c>
      <c r="D288" s="19">
        <f>IFERROR(INDEX(tblNetflix[rating],MATCH($A288,tblNetflix[show_id],0)),"")</f>
        <v/>
      </c>
      <c r="E288" s="19">
        <f>IFERROR(INDEX(tblNetflix[year_added],MATCH($A288,tblNetflix[show_id],0)),"")</f>
        <v/>
      </c>
      <c r="F288" s="19">
        <f>IF(AND(OR(YearFilter="All",$E288=YearFilter),OR(RatingFilter="All",$D288=RatingFilter),OR(TypeFilter="All",$C288=TypeFilter)),1,0)</f>
        <v/>
      </c>
    </row>
    <row r="289" ht="15" customHeight="1" s="20">
      <c r="A289" s="19" t="inlineStr">
        <is>
          <t>s1639</t>
        </is>
      </c>
      <c r="B289" s="19" t="inlineStr">
        <is>
          <t>International TV Shows</t>
        </is>
      </c>
      <c r="C289" s="19">
        <f>IFERROR(INDEX(tblNetflix[type],MATCH($A289,tblNetflix[show_id],0)),"")</f>
        <v/>
      </c>
      <c r="D289" s="19">
        <f>IFERROR(INDEX(tblNetflix[rating],MATCH($A289,tblNetflix[show_id],0)),"")</f>
        <v/>
      </c>
      <c r="E289" s="19">
        <f>IFERROR(INDEX(tblNetflix[year_added],MATCH($A289,tblNetflix[show_id],0)),"")</f>
        <v/>
      </c>
      <c r="F289" s="19">
        <f>IF(AND(OR(YearFilter="All",$E289=YearFilter),OR(RatingFilter="All",$D289=RatingFilter),OR(TypeFilter="All",$C289=TypeFilter)),1,0)</f>
        <v/>
      </c>
    </row>
    <row r="290" ht="15" customHeight="1" s="20">
      <c r="A290" s="19" t="inlineStr">
        <is>
          <t>s1639</t>
        </is>
      </c>
      <c r="B290" s="19" t="inlineStr">
        <is>
          <t>Reality TV</t>
        </is>
      </c>
      <c r="C290" s="19">
        <f>IFERROR(INDEX(tblNetflix[type],MATCH($A290,tblNetflix[show_id],0)),"")</f>
        <v/>
      </c>
      <c r="D290" s="19">
        <f>IFERROR(INDEX(tblNetflix[rating],MATCH($A290,tblNetflix[show_id],0)),"")</f>
        <v/>
      </c>
      <c r="E290" s="19">
        <f>IFERROR(INDEX(tblNetflix[year_added],MATCH($A290,tblNetflix[show_id],0)),"")</f>
        <v/>
      </c>
      <c r="F290" s="19">
        <f>IF(AND(OR(YearFilter="All",$E290=YearFilter),OR(RatingFilter="All",$D290=RatingFilter),OR(TypeFilter="All",$C290=TypeFilter)),1,0)</f>
        <v/>
      </c>
    </row>
    <row r="291" ht="15" customHeight="1" s="20">
      <c r="A291" s="19" t="inlineStr">
        <is>
          <t>s1654</t>
        </is>
      </c>
      <c r="B291" s="19" t="inlineStr">
        <is>
          <t>Horror Movies</t>
        </is>
      </c>
      <c r="C291" s="19">
        <f>IFERROR(INDEX(tblNetflix[type],MATCH($A291,tblNetflix[show_id],0)),"")</f>
        <v/>
      </c>
      <c r="D291" s="19">
        <f>IFERROR(INDEX(tblNetflix[rating],MATCH($A291,tblNetflix[show_id],0)),"")</f>
        <v/>
      </c>
      <c r="E291" s="19">
        <f>IFERROR(INDEX(tblNetflix[year_added],MATCH($A291,tblNetflix[show_id],0)),"")</f>
        <v/>
      </c>
      <c r="F291" s="19">
        <f>IF(AND(OR(YearFilter="All",$E291=YearFilter),OR(RatingFilter="All",$D291=RatingFilter),OR(TypeFilter="All",$C291=TypeFilter)),1,0)</f>
        <v/>
      </c>
    </row>
    <row r="292" ht="15" customHeight="1" s="20">
      <c r="A292" s="19" t="inlineStr">
        <is>
          <t>s1654</t>
        </is>
      </c>
      <c r="B292" s="19" t="inlineStr">
        <is>
          <t>International Movies</t>
        </is>
      </c>
      <c r="C292" s="19">
        <f>IFERROR(INDEX(tblNetflix[type],MATCH($A292,tblNetflix[show_id],0)),"")</f>
        <v/>
      </c>
      <c r="D292" s="19">
        <f>IFERROR(INDEX(tblNetflix[rating],MATCH($A292,tblNetflix[show_id],0)),"")</f>
        <v/>
      </c>
      <c r="E292" s="19">
        <f>IFERROR(INDEX(tblNetflix[year_added],MATCH($A292,tblNetflix[show_id],0)),"")</f>
        <v/>
      </c>
      <c r="F292" s="19">
        <f>IF(AND(OR(YearFilter="All",$E292=YearFilter),OR(RatingFilter="All",$D292=RatingFilter),OR(TypeFilter="All",$C292=TypeFilter)),1,0)</f>
        <v/>
      </c>
    </row>
    <row r="293" ht="15" customHeight="1" s="20">
      <c r="A293" s="19" t="inlineStr">
        <is>
          <t>s1654</t>
        </is>
      </c>
      <c r="B293" s="19" t="inlineStr">
        <is>
          <t>Thrillers</t>
        </is>
      </c>
      <c r="C293" s="19">
        <f>IFERROR(INDEX(tblNetflix[type],MATCH($A293,tblNetflix[show_id],0)),"")</f>
        <v/>
      </c>
      <c r="D293" s="19">
        <f>IFERROR(INDEX(tblNetflix[rating],MATCH($A293,tblNetflix[show_id],0)),"")</f>
        <v/>
      </c>
      <c r="E293" s="19">
        <f>IFERROR(INDEX(tblNetflix[year_added],MATCH($A293,tblNetflix[show_id],0)),"")</f>
        <v/>
      </c>
      <c r="F293" s="19">
        <f>IF(AND(OR(YearFilter="All",$E293=YearFilter),OR(RatingFilter="All",$D293=RatingFilter),OR(TypeFilter="All",$C293=TypeFilter)),1,0)</f>
        <v/>
      </c>
    </row>
    <row r="294" ht="15" customHeight="1" s="20">
      <c r="A294" s="19" t="inlineStr">
        <is>
          <t>s1671</t>
        </is>
      </c>
      <c r="B294" s="19" t="inlineStr">
        <is>
          <t>International TV Shows</t>
        </is>
      </c>
      <c r="C294" s="19">
        <f>IFERROR(INDEX(tblNetflix[type],MATCH($A294,tblNetflix[show_id],0)),"")</f>
        <v/>
      </c>
      <c r="D294" s="19">
        <f>IFERROR(INDEX(tblNetflix[rating],MATCH($A294,tblNetflix[show_id],0)),"")</f>
        <v/>
      </c>
      <c r="E294" s="19">
        <f>IFERROR(INDEX(tblNetflix[year_added],MATCH($A294,tblNetflix[show_id],0)),"")</f>
        <v/>
      </c>
      <c r="F294" s="19">
        <f>IF(AND(OR(YearFilter="All",$E294=YearFilter),OR(RatingFilter="All",$D294=RatingFilter),OR(TypeFilter="All",$C294=TypeFilter)),1,0)</f>
        <v/>
      </c>
    </row>
    <row r="295" ht="15" customHeight="1" s="20">
      <c r="A295" s="19" t="inlineStr">
        <is>
          <t>s1671</t>
        </is>
      </c>
      <c r="B295" s="19" t="inlineStr">
        <is>
          <t>Romantic TV Shows</t>
        </is>
      </c>
      <c r="C295" s="19">
        <f>IFERROR(INDEX(tblNetflix[type],MATCH($A295,tblNetflix[show_id],0)),"")</f>
        <v/>
      </c>
      <c r="D295" s="19">
        <f>IFERROR(INDEX(tblNetflix[rating],MATCH($A295,tblNetflix[show_id],0)),"")</f>
        <v/>
      </c>
      <c r="E295" s="19">
        <f>IFERROR(INDEX(tblNetflix[year_added],MATCH($A295,tblNetflix[show_id],0)),"")</f>
        <v/>
      </c>
      <c r="F295" s="19">
        <f>IF(AND(OR(YearFilter="All",$E295=YearFilter),OR(RatingFilter="All",$D295=RatingFilter),OR(TypeFilter="All",$C295=TypeFilter)),1,0)</f>
        <v/>
      </c>
    </row>
    <row r="296" ht="15" customHeight="1" s="20">
      <c r="A296" s="19" t="inlineStr">
        <is>
          <t>s1671</t>
        </is>
      </c>
      <c r="B296" s="19" t="inlineStr">
        <is>
          <t>TV Comedies</t>
        </is>
      </c>
      <c r="C296" s="19">
        <f>IFERROR(INDEX(tblNetflix[type],MATCH($A296,tblNetflix[show_id],0)),"")</f>
        <v/>
      </c>
      <c r="D296" s="19">
        <f>IFERROR(INDEX(tblNetflix[rating],MATCH($A296,tblNetflix[show_id],0)),"")</f>
        <v/>
      </c>
      <c r="E296" s="19">
        <f>IFERROR(INDEX(tblNetflix[year_added],MATCH($A296,tblNetflix[show_id],0)),"")</f>
        <v/>
      </c>
      <c r="F296" s="19">
        <f>IF(AND(OR(YearFilter="All",$E296=YearFilter),OR(RatingFilter="All",$D296=RatingFilter),OR(TypeFilter="All",$C296=TypeFilter)),1,0)</f>
        <v/>
      </c>
    </row>
    <row r="297" ht="15" customHeight="1" s="20">
      <c r="A297" s="19" t="inlineStr">
        <is>
          <t>s1674</t>
        </is>
      </c>
      <c r="B297" s="19" t="inlineStr">
        <is>
          <t>Dramas</t>
        </is>
      </c>
      <c r="C297" s="19">
        <f>IFERROR(INDEX(tblNetflix[type],MATCH($A297,tblNetflix[show_id],0)),"")</f>
        <v/>
      </c>
      <c r="D297" s="19">
        <f>IFERROR(INDEX(tblNetflix[rating],MATCH($A297,tblNetflix[show_id],0)),"")</f>
        <v/>
      </c>
      <c r="E297" s="19">
        <f>IFERROR(INDEX(tblNetflix[year_added],MATCH($A297,tblNetflix[show_id],0)),"")</f>
        <v/>
      </c>
      <c r="F297" s="19">
        <f>IF(AND(OR(YearFilter="All",$E297=YearFilter),OR(RatingFilter="All",$D297=RatingFilter),OR(TypeFilter="All",$C297=TypeFilter)),1,0)</f>
        <v/>
      </c>
    </row>
    <row r="298" ht="15" customHeight="1" s="20">
      <c r="A298" s="19" t="inlineStr">
        <is>
          <t>s1674</t>
        </is>
      </c>
      <c r="B298" s="19" t="inlineStr">
        <is>
          <t>International Movies</t>
        </is>
      </c>
      <c r="C298" s="19">
        <f>IFERROR(INDEX(tblNetflix[type],MATCH($A298,tblNetflix[show_id],0)),"")</f>
        <v/>
      </c>
      <c r="D298" s="19">
        <f>IFERROR(INDEX(tblNetflix[rating],MATCH($A298,tblNetflix[show_id],0)),"")</f>
        <v/>
      </c>
      <c r="E298" s="19">
        <f>IFERROR(INDEX(tblNetflix[year_added],MATCH($A298,tblNetflix[show_id],0)),"")</f>
        <v/>
      </c>
      <c r="F298" s="19">
        <f>IF(AND(OR(YearFilter="All",$E298=YearFilter),OR(RatingFilter="All",$D298=RatingFilter),OR(TypeFilter="All",$C298=TypeFilter)),1,0)</f>
        <v/>
      </c>
    </row>
    <row r="299" ht="15" customHeight="1" s="20">
      <c r="A299" s="19" t="inlineStr">
        <is>
          <t>s1675</t>
        </is>
      </c>
      <c r="B299" s="19" t="inlineStr">
        <is>
          <t>Action &amp; Adventure</t>
        </is>
      </c>
      <c r="C299" s="19">
        <f>IFERROR(INDEX(tblNetflix[type],MATCH($A299,tblNetflix[show_id],0)),"")</f>
        <v/>
      </c>
      <c r="D299" s="19">
        <f>IFERROR(INDEX(tblNetflix[rating],MATCH($A299,tblNetflix[show_id],0)),"")</f>
        <v/>
      </c>
      <c r="E299" s="19">
        <f>IFERROR(INDEX(tblNetflix[year_added],MATCH($A299,tblNetflix[show_id],0)),"")</f>
        <v/>
      </c>
      <c r="F299" s="19">
        <f>IF(AND(OR(YearFilter="All",$E299=YearFilter),OR(RatingFilter="All",$D299=RatingFilter),OR(TypeFilter="All",$C299=TypeFilter)),1,0)</f>
        <v/>
      </c>
    </row>
    <row r="300" ht="15" customHeight="1" s="20">
      <c r="A300" s="19" t="inlineStr">
        <is>
          <t>s1675</t>
        </is>
      </c>
      <c r="B300" s="19" t="inlineStr">
        <is>
          <t>Comedies</t>
        </is>
      </c>
      <c r="C300" s="19">
        <f>IFERROR(INDEX(tblNetflix[type],MATCH($A300,tblNetflix[show_id],0)),"")</f>
        <v/>
      </c>
      <c r="D300" s="19">
        <f>IFERROR(INDEX(tblNetflix[rating],MATCH($A300,tblNetflix[show_id],0)),"")</f>
        <v/>
      </c>
      <c r="E300" s="19">
        <f>IFERROR(INDEX(tblNetflix[year_added],MATCH($A300,tblNetflix[show_id],0)),"")</f>
        <v/>
      </c>
      <c r="F300" s="19">
        <f>IF(AND(OR(YearFilter="All",$E300=YearFilter),OR(RatingFilter="All",$D300=RatingFilter),OR(TypeFilter="All",$C300=TypeFilter)),1,0)</f>
        <v/>
      </c>
    </row>
    <row r="301" ht="15" customHeight="1" s="20">
      <c r="A301" s="19" t="inlineStr">
        <is>
          <t>s1675</t>
        </is>
      </c>
      <c r="B301" s="19" t="inlineStr">
        <is>
          <t>International Movies</t>
        </is>
      </c>
      <c r="C301" s="19">
        <f>IFERROR(INDEX(tblNetflix[type],MATCH($A301,tblNetflix[show_id],0)),"")</f>
        <v/>
      </c>
      <c r="D301" s="19">
        <f>IFERROR(INDEX(tblNetflix[rating],MATCH($A301,tblNetflix[show_id],0)),"")</f>
        <v/>
      </c>
      <c r="E301" s="19">
        <f>IFERROR(INDEX(tblNetflix[year_added],MATCH($A301,tblNetflix[show_id],0)),"")</f>
        <v/>
      </c>
      <c r="F301" s="19">
        <f>IF(AND(OR(YearFilter="All",$E301=YearFilter),OR(RatingFilter="All",$D301=RatingFilter),OR(TypeFilter="All",$C301=TypeFilter)),1,0)</f>
        <v/>
      </c>
    </row>
    <row r="302" ht="15" customHeight="1" s="20">
      <c r="A302" s="19" t="inlineStr">
        <is>
          <t>s1676</t>
        </is>
      </c>
      <c r="B302" s="19" t="inlineStr">
        <is>
          <t>Comedies</t>
        </is>
      </c>
      <c r="C302" s="19">
        <f>IFERROR(INDEX(tblNetflix[type],MATCH($A302,tblNetflix[show_id],0)),"")</f>
        <v/>
      </c>
      <c r="D302" s="19">
        <f>IFERROR(INDEX(tblNetflix[rating],MATCH($A302,tblNetflix[show_id],0)),"")</f>
        <v/>
      </c>
      <c r="E302" s="19">
        <f>IFERROR(INDEX(tblNetflix[year_added],MATCH($A302,tblNetflix[show_id],0)),"")</f>
        <v/>
      </c>
      <c r="F302" s="19">
        <f>IF(AND(OR(YearFilter="All",$E302=YearFilter),OR(RatingFilter="All",$D302=RatingFilter),OR(TypeFilter="All",$C302=TypeFilter)),1,0)</f>
        <v/>
      </c>
    </row>
    <row r="303" ht="15" customHeight="1" s="20">
      <c r="A303" s="19" t="inlineStr">
        <is>
          <t>s1676</t>
        </is>
      </c>
      <c r="B303" s="19" t="inlineStr">
        <is>
          <t>International Movies</t>
        </is>
      </c>
      <c r="C303" s="19">
        <f>IFERROR(INDEX(tblNetflix[type],MATCH($A303,tblNetflix[show_id],0)),"")</f>
        <v/>
      </c>
      <c r="D303" s="19">
        <f>IFERROR(INDEX(tblNetflix[rating],MATCH($A303,tblNetflix[show_id],0)),"")</f>
        <v/>
      </c>
      <c r="E303" s="19">
        <f>IFERROR(INDEX(tblNetflix[year_added],MATCH($A303,tblNetflix[show_id],0)),"")</f>
        <v/>
      </c>
      <c r="F303" s="19">
        <f>IF(AND(OR(YearFilter="All",$E303=YearFilter),OR(RatingFilter="All",$D303=RatingFilter),OR(TypeFilter="All",$C303=TypeFilter)),1,0)</f>
        <v/>
      </c>
    </row>
    <row r="304" ht="15" customHeight="1" s="20">
      <c r="A304" s="19" t="inlineStr">
        <is>
          <t>s1676</t>
        </is>
      </c>
      <c r="B304" s="19" t="inlineStr">
        <is>
          <t>Music &amp; Musicals</t>
        </is>
      </c>
      <c r="C304" s="19">
        <f>IFERROR(INDEX(tblNetflix[type],MATCH($A304,tblNetflix[show_id],0)),"")</f>
        <v/>
      </c>
      <c r="D304" s="19">
        <f>IFERROR(INDEX(tblNetflix[rating],MATCH($A304,tblNetflix[show_id],0)),"")</f>
        <v/>
      </c>
      <c r="E304" s="19">
        <f>IFERROR(INDEX(tblNetflix[year_added],MATCH($A304,tblNetflix[show_id],0)),"")</f>
        <v/>
      </c>
      <c r="F304" s="19">
        <f>IF(AND(OR(YearFilter="All",$E304=YearFilter),OR(RatingFilter="All",$D304=RatingFilter),OR(TypeFilter="All",$C304=TypeFilter)),1,0)</f>
        <v/>
      </c>
    </row>
    <row r="305" ht="15" customHeight="1" s="20">
      <c r="A305" s="19" t="inlineStr">
        <is>
          <t>s1677</t>
        </is>
      </c>
      <c r="B305" s="19" t="inlineStr">
        <is>
          <t>Dramas</t>
        </is>
      </c>
      <c r="C305" s="19">
        <f>IFERROR(INDEX(tblNetflix[type],MATCH($A305,tblNetflix[show_id],0)),"")</f>
        <v/>
      </c>
      <c r="D305" s="19">
        <f>IFERROR(INDEX(tblNetflix[rating],MATCH($A305,tblNetflix[show_id],0)),"")</f>
        <v/>
      </c>
      <c r="E305" s="19">
        <f>IFERROR(INDEX(tblNetflix[year_added],MATCH($A305,tblNetflix[show_id],0)),"")</f>
        <v/>
      </c>
      <c r="F305" s="19">
        <f>IF(AND(OR(YearFilter="All",$E305=YearFilter),OR(RatingFilter="All",$D305=RatingFilter),OR(TypeFilter="All",$C305=TypeFilter)),1,0)</f>
        <v/>
      </c>
    </row>
    <row r="306" ht="15" customHeight="1" s="20">
      <c r="A306" s="19" t="inlineStr">
        <is>
          <t>s1677</t>
        </is>
      </c>
      <c r="B306" s="19" t="inlineStr">
        <is>
          <t>International Movies</t>
        </is>
      </c>
      <c r="C306" s="19">
        <f>IFERROR(INDEX(tblNetflix[type],MATCH($A306,tblNetflix[show_id],0)),"")</f>
        <v/>
      </c>
      <c r="D306" s="19">
        <f>IFERROR(INDEX(tblNetflix[rating],MATCH($A306,tblNetflix[show_id],0)),"")</f>
        <v/>
      </c>
      <c r="E306" s="19">
        <f>IFERROR(INDEX(tblNetflix[year_added],MATCH($A306,tblNetflix[show_id],0)),"")</f>
        <v/>
      </c>
      <c r="F306" s="19">
        <f>IF(AND(OR(YearFilter="All",$E306=YearFilter),OR(RatingFilter="All",$D306=RatingFilter),OR(TypeFilter="All",$C306=TypeFilter)),1,0)</f>
        <v/>
      </c>
    </row>
    <row r="307" ht="15" customHeight="1" s="20">
      <c r="A307" s="19" t="inlineStr">
        <is>
          <t>s1677</t>
        </is>
      </c>
      <c r="B307" s="19" t="inlineStr">
        <is>
          <t>Romantic Movies</t>
        </is>
      </c>
      <c r="C307" s="19">
        <f>IFERROR(INDEX(tblNetflix[type],MATCH($A307,tblNetflix[show_id],0)),"")</f>
        <v/>
      </c>
      <c r="D307" s="19">
        <f>IFERROR(INDEX(tblNetflix[rating],MATCH($A307,tblNetflix[show_id],0)),"")</f>
        <v/>
      </c>
      <c r="E307" s="19">
        <f>IFERROR(INDEX(tblNetflix[year_added],MATCH($A307,tblNetflix[show_id],0)),"")</f>
        <v/>
      </c>
      <c r="F307" s="19">
        <f>IF(AND(OR(YearFilter="All",$E307=YearFilter),OR(RatingFilter="All",$D307=RatingFilter),OR(TypeFilter="All",$C307=TypeFilter)),1,0)</f>
        <v/>
      </c>
    </row>
    <row r="308" ht="15" customHeight="1" s="20">
      <c r="A308" s="19" t="inlineStr">
        <is>
          <t>s1679</t>
        </is>
      </c>
      <c r="B308" s="19" t="inlineStr">
        <is>
          <t>International Movies</t>
        </is>
      </c>
      <c r="C308" s="19">
        <f>IFERROR(INDEX(tblNetflix[type],MATCH($A308,tblNetflix[show_id],0)),"")</f>
        <v/>
      </c>
      <c r="D308" s="19">
        <f>IFERROR(INDEX(tblNetflix[rating],MATCH($A308,tblNetflix[show_id],0)),"")</f>
        <v/>
      </c>
      <c r="E308" s="19">
        <f>IFERROR(INDEX(tblNetflix[year_added],MATCH($A308,tblNetflix[show_id],0)),"")</f>
        <v/>
      </c>
      <c r="F308" s="19">
        <f>IF(AND(OR(YearFilter="All",$E308=YearFilter),OR(RatingFilter="All",$D308=RatingFilter),OR(TypeFilter="All",$C308=TypeFilter)),1,0)</f>
        <v/>
      </c>
    </row>
    <row r="309" ht="15" customHeight="1" s="20">
      <c r="A309" s="19" t="inlineStr">
        <is>
          <t>s1679</t>
        </is>
      </c>
      <c r="B309" s="19" t="inlineStr">
        <is>
          <t>Thrillers</t>
        </is>
      </c>
      <c r="C309" s="19">
        <f>IFERROR(INDEX(tblNetflix[type],MATCH($A309,tblNetflix[show_id],0)),"")</f>
        <v/>
      </c>
      <c r="D309" s="19">
        <f>IFERROR(INDEX(tblNetflix[rating],MATCH($A309,tblNetflix[show_id],0)),"")</f>
        <v/>
      </c>
      <c r="E309" s="19">
        <f>IFERROR(INDEX(tblNetflix[year_added],MATCH($A309,tblNetflix[show_id],0)),"")</f>
        <v/>
      </c>
      <c r="F309" s="19">
        <f>IF(AND(OR(YearFilter="All",$E309=YearFilter),OR(RatingFilter="All",$D309=RatingFilter),OR(TypeFilter="All",$C309=TypeFilter)),1,0)</f>
        <v/>
      </c>
    </row>
    <row r="310" ht="15" customHeight="1" s="20">
      <c r="A310" s="19" t="inlineStr">
        <is>
          <t>s1680</t>
        </is>
      </c>
      <c r="B310" s="19" t="inlineStr">
        <is>
          <t>Action &amp; Adventure</t>
        </is>
      </c>
      <c r="C310" s="19">
        <f>IFERROR(INDEX(tblNetflix[type],MATCH($A310,tblNetflix[show_id],0)),"")</f>
        <v/>
      </c>
      <c r="D310" s="19">
        <f>IFERROR(INDEX(tblNetflix[rating],MATCH($A310,tblNetflix[show_id],0)),"")</f>
        <v/>
      </c>
      <c r="E310" s="19">
        <f>IFERROR(INDEX(tblNetflix[year_added],MATCH($A310,tblNetflix[show_id],0)),"")</f>
        <v/>
      </c>
      <c r="F310" s="19">
        <f>IF(AND(OR(YearFilter="All",$E310=YearFilter),OR(RatingFilter="All",$D310=RatingFilter),OR(TypeFilter="All",$C310=TypeFilter)),1,0)</f>
        <v/>
      </c>
    </row>
    <row r="311" ht="15" customHeight="1" s="20">
      <c r="A311" s="19" t="inlineStr">
        <is>
          <t>s1680</t>
        </is>
      </c>
      <c r="B311" s="19" t="inlineStr">
        <is>
          <t>Dramas</t>
        </is>
      </c>
      <c r="C311" s="19">
        <f>IFERROR(INDEX(tblNetflix[type],MATCH($A311,tblNetflix[show_id],0)),"")</f>
        <v/>
      </c>
      <c r="D311" s="19">
        <f>IFERROR(INDEX(tblNetflix[rating],MATCH($A311,tblNetflix[show_id],0)),"")</f>
        <v/>
      </c>
      <c r="E311" s="19">
        <f>IFERROR(INDEX(tblNetflix[year_added],MATCH($A311,tblNetflix[show_id],0)),"")</f>
        <v/>
      </c>
      <c r="F311" s="19">
        <f>IF(AND(OR(YearFilter="All",$E311=YearFilter),OR(RatingFilter="All",$D311=RatingFilter),OR(TypeFilter="All",$C311=TypeFilter)),1,0)</f>
        <v/>
      </c>
    </row>
    <row r="312" ht="15" customHeight="1" s="20">
      <c r="A312" s="19" t="inlineStr">
        <is>
          <t>s1680</t>
        </is>
      </c>
      <c r="B312" s="19" t="inlineStr">
        <is>
          <t>International Movies</t>
        </is>
      </c>
      <c r="C312" s="19">
        <f>IFERROR(INDEX(tblNetflix[type],MATCH($A312,tblNetflix[show_id],0)),"")</f>
        <v/>
      </c>
      <c r="D312" s="19">
        <f>IFERROR(INDEX(tblNetflix[rating],MATCH($A312,tblNetflix[show_id],0)),"")</f>
        <v/>
      </c>
      <c r="E312" s="19">
        <f>IFERROR(INDEX(tblNetflix[year_added],MATCH($A312,tblNetflix[show_id],0)),"")</f>
        <v/>
      </c>
      <c r="F312" s="19">
        <f>IF(AND(OR(YearFilter="All",$E312=YearFilter),OR(RatingFilter="All",$D312=RatingFilter),OR(TypeFilter="All",$C312=TypeFilter)),1,0)</f>
        <v/>
      </c>
    </row>
    <row r="313" ht="15" customHeight="1" s="20">
      <c r="A313" s="19" t="inlineStr">
        <is>
          <t>s1681</t>
        </is>
      </c>
      <c r="B313" s="19" t="inlineStr">
        <is>
          <t>Dramas</t>
        </is>
      </c>
      <c r="C313" s="19">
        <f>IFERROR(INDEX(tblNetflix[type],MATCH($A313,tblNetflix[show_id],0)),"")</f>
        <v/>
      </c>
      <c r="D313" s="19">
        <f>IFERROR(INDEX(tblNetflix[rating],MATCH($A313,tblNetflix[show_id],0)),"")</f>
        <v/>
      </c>
      <c r="E313" s="19">
        <f>IFERROR(INDEX(tblNetflix[year_added],MATCH($A313,tblNetflix[show_id],0)),"")</f>
        <v/>
      </c>
      <c r="F313" s="19">
        <f>IF(AND(OR(YearFilter="All",$E313=YearFilter),OR(RatingFilter="All",$D313=RatingFilter),OR(TypeFilter="All",$C313=TypeFilter)),1,0)</f>
        <v/>
      </c>
    </row>
    <row r="314" ht="15" customHeight="1" s="20">
      <c r="A314" s="19" t="inlineStr">
        <is>
          <t>s1681</t>
        </is>
      </c>
      <c r="B314" s="19" t="inlineStr">
        <is>
          <t>International Movies</t>
        </is>
      </c>
      <c r="C314" s="19">
        <f>IFERROR(INDEX(tblNetflix[type],MATCH($A314,tblNetflix[show_id],0)),"")</f>
        <v/>
      </c>
      <c r="D314" s="19">
        <f>IFERROR(INDEX(tblNetflix[rating],MATCH($A314,tblNetflix[show_id],0)),"")</f>
        <v/>
      </c>
      <c r="E314" s="19">
        <f>IFERROR(INDEX(tblNetflix[year_added],MATCH($A314,tblNetflix[show_id],0)),"")</f>
        <v/>
      </c>
      <c r="F314" s="19">
        <f>IF(AND(OR(YearFilter="All",$E314=YearFilter),OR(RatingFilter="All",$D314=RatingFilter),OR(TypeFilter="All",$C314=TypeFilter)),1,0)</f>
        <v/>
      </c>
    </row>
    <row r="315" ht="15" customHeight="1" s="20">
      <c r="A315" s="19" t="inlineStr">
        <is>
          <t>s1681</t>
        </is>
      </c>
      <c r="B315" s="19" t="inlineStr">
        <is>
          <t>Thrillers</t>
        </is>
      </c>
      <c r="C315" s="19">
        <f>IFERROR(INDEX(tblNetflix[type],MATCH($A315,tblNetflix[show_id],0)),"")</f>
        <v/>
      </c>
      <c r="D315" s="19">
        <f>IFERROR(INDEX(tblNetflix[rating],MATCH($A315,tblNetflix[show_id],0)),"")</f>
        <v/>
      </c>
      <c r="E315" s="19">
        <f>IFERROR(INDEX(tblNetflix[year_added],MATCH($A315,tblNetflix[show_id],0)),"")</f>
        <v/>
      </c>
      <c r="F315" s="19">
        <f>IF(AND(OR(YearFilter="All",$E315=YearFilter),OR(RatingFilter="All",$D315=RatingFilter),OR(TypeFilter="All",$C315=TypeFilter)),1,0)</f>
        <v/>
      </c>
    </row>
    <row r="316" ht="15" customHeight="1" s="20">
      <c r="A316" s="19" t="inlineStr">
        <is>
          <t>s1684</t>
        </is>
      </c>
      <c r="B316" s="19" t="inlineStr">
        <is>
          <t>Comedies</t>
        </is>
      </c>
      <c r="C316" s="19">
        <f>IFERROR(INDEX(tblNetflix[type],MATCH($A316,tblNetflix[show_id],0)),"")</f>
        <v/>
      </c>
      <c r="D316" s="19">
        <f>IFERROR(INDEX(tblNetflix[rating],MATCH($A316,tblNetflix[show_id],0)),"")</f>
        <v/>
      </c>
      <c r="E316" s="19">
        <f>IFERROR(INDEX(tblNetflix[year_added],MATCH($A316,tblNetflix[show_id],0)),"")</f>
        <v/>
      </c>
      <c r="F316" s="19">
        <f>IF(AND(OR(YearFilter="All",$E316=YearFilter),OR(RatingFilter="All",$D316=RatingFilter),OR(TypeFilter="All",$C316=TypeFilter)),1,0)</f>
        <v/>
      </c>
    </row>
    <row r="317" ht="15" customHeight="1" s="20">
      <c r="A317" s="19" t="inlineStr">
        <is>
          <t>s1684</t>
        </is>
      </c>
      <c r="B317" s="19" t="inlineStr">
        <is>
          <t>International Movies</t>
        </is>
      </c>
      <c r="C317" s="19">
        <f>IFERROR(INDEX(tblNetflix[type],MATCH($A317,tblNetflix[show_id],0)),"")</f>
        <v/>
      </c>
      <c r="D317" s="19">
        <f>IFERROR(INDEX(tblNetflix[rating],MATCH($A317,tblNetflix[show_id],0)),"")</f>
        <v/>
      </c>
      <c r="E317" s="19">
        <f>IFERROR(INDEX(tblNetflix[year_added],MATCH($A317,tblNetflix[show_id],0)),"")</f>
        <v/>
      </c>
      <c r="F317" s="19">
        <f>IF(AND(OR(YearFilter="All",$E317=YearFilter),OR(RatingFilter="All",$D317=RatingFilter),OR(TypeFilter="All",$C317=TypeFilter)),1,0)</f>
        <v/>
      </c>
    </row>
    <row r="318" ht="15" customHeight="1" s="20">
      <c r="A318" s="19" t="inlineStr">
        <is>
          <t>s1703</t>
        </is>
      </c>
      <c r="B318" s="19" t="inlineStr">
        <is>
          <t>Children &amp; Family Movies</t>
        </is>
      </c>
      <c r="C318" s="19">
        <f>IFERROR(INDEX(tblNetflix[type],MATCH($A318,tblNetflix[show_id],0)),"")</f>
        <v/>
      </c>
      <c r="D318" s="19">
        <f>IFERROR(INDEX(tblNetflix[rating],MATCH($A318,tblNetflix[show_id],0)),"")</f>
        <v/>
      </c>
      <c r="E318" s="19">
        <f>IFERROR(INDEX(tblNetflix[year_added],MATCH($A318,tblNetflix[show_id],0)),"")</f>
        <v/>
      </c>
      <c r="F318" s="19">
        <f>IF(AND(OR(YearFilter="All",$E318=YearFilter),OR(RatingFilter="All",$D318=RatingFilter),OR(TypeFilter="All",$C318=TypeFilter)),1,0)</f>
        <v/>
      </c>
    </row>
    <row r="319" ht="15" customHeight="1" s="20">
      <c r="A319" s="19" t="inlineStr">
        <is>
          <t>s1703</t>
        </is>
      </c>
      <c r="B319" s="19" t="inlineStr">
        <is>
          <t>Comedies</t>
        </is>
      </c>
      <c r="C319" s="19">
        <f>IFERROR(INDEX(tblNetflix[type],MATCH($A319,tblNetflix[show_id],0)),"")</f>
        <v/>
      </c>
      <c r="D319" s="19">
        <f>IFERROR(INDEX(tblNetflix[rating],MATCH($A319,tblNetflix[show_id],0)),"")</f>
        <v/>
      </c>
      <c r="E319" s="19">
        <f>IFERROR(INDEX(tblNetflix[year_added],MATCH($A319,tblNetflix[show_id],0)),"")</f>
        <v/>
      </c>
      <c r="F319" s="19">
        <f>IF(AND(OR(YearFilter="All",$E319=YearFilter),OR(RatingFilter="All",$D319=RatingFilter),OR(TypeFilter="All",$C319=TypeFilter)),1,0)</f>
        <v/>
      </c>
    </row>
    <row r="320" ht="15" customHeight="1" s="20">
      <c r="A320" s="19" t="inlineStr">
        <is>
          <t>s1713</t>
        </is>
      </c>
      <c r="B320" s="19" t="inlineStr">
        <is>
          <t>Comedies</t>
        </is>
      </c>
      <c r="C320" s="19">
        <f>IFERROR(INDEX(tblNetflix[type],MATCH($A320,tblNetflix[show_id],0)),"")</f>
        <v/>
      </c>
      <c r="D320" s="19">
        <f>IFERROR(INDEX(tblNetflix[rating],MATCH($A320,tblNetflix[show_id],0)),"")</f>
        <v/>
      </c>
      <c r="E320" s="19">
        <f>IFERROR(INDEX(tblNetflix[year_added],MATCH($A320,tblNetflix[show_id],0)),"")</f>
        <v/>
      </c>
      <c r="F320" s="19">
        <f>IF(AND(OR(YearFilter="All",$E320=YearFilter),OR(RatingFilter="All",$D320=RatingFilter),OR(TypeFilter="All",$C320=TypeFilter)),1,0)</f>
        <v/>
      </c>
    </row>
    <row r="321" ht="15" customHeight="1" s="20">
      <c r="A321" s="19" t="inlineStr">
        <is>
          <t>s1713</t>
        </is>
      </c>
      <c r="B321" s="19" t="inlineStr">
        <is>
          <t>Dramas</t>
        </is>
      </c>
      <c r="C321" s="19">
        <f>IFERROR(INDEX(tblNetflix[type],MATCH($A321,tblNetflix[show_id],0)),"")</f>
        <v/>
      </c>
      <c r="D321" s="19">
        <f>IFERROR(INDEX(tblNetflix[rating],MATCH($A321,tblNetflix[show_id],0)),"")</f>
        <v/>
      </c>
      <c r="E321" s="19">
        <f>IFERROR(INDEX(tblNetflix[year_added],MATCH($A321,tblNetflix[show_id],0)),"")</f>
        <v/>
      </c>
      <c r="F321" s="19">
        <f>IF(AND(OR(YearFilter="All",$E321=YearFilter),OR(RatingFilter="All",$D321=RatingFilter),OR(TypeFilter="All",$C321=TypeFilter)),1,0)</f>
        <v/>
      </c>
    </row>
    <row r="322" ht="15" customHeight="1" s="20">
      <c r="A322" s="19" t="inlineStr">
        <is>
          <t>s1713</t>
        </is>
      </c>
      <c r="B322" s="19" t="inlineStr">
        <is>
          <t>International Movies</t>
        </is>
      </c>
      <c r="C322" s="19">
        <f>IFERROR(INDEX(tblNetflix[type],MATCH($A322,tblNetflix[show_id],0)),"")</f>
        <v/>
      </c>
      <c r="D322" s="19">
        <f>IFERROR(INDEX(tblNetflix[rating],MATCH($A322,tblNetflix[show_id],0)),"")</f>
        <v/>
      </c>
      <c r="E322" s="19">
        <f>IFERROR(INDEX(tblNetflix[year_added],MATCH($A322,tblNetflix[show_id],0)),"")</f>
        <v/>
      </c>
      <c r="F322" s="19">
        <f>IF(AND(OR(YearFilter="All",$E322=YearFilter),OR(RatingFilter="All",$D322=RatingFilter),OR(TypeFilter="All",$C322=TypeFilter)),1,0)</f>
        <v/>
      </c>
    </row>
    <row r="323" ht="15" customHeight="1" s="20">
      <c r="A323" s="19" t="inlineStr">
        <is>
          <t>s1742</t>
        </is>
      </c>
      <c r="B323" s="19" t="inlineStr">
        <is>
          <t>Dramas</t>
        </is>
      </c>
      <c r="C323" s="19">
        <f>IFERROR(INDEX(tblNetflix[type],MATCH($A323,tblNetflix[show_id],0)),"")</f>
        <v/>
      </c>
      <c r="D323" s="19">
        <f>IFERROR(INDEX(tblNetflix[rating],MATCH($A323,tblNetflix[show_id],0)),"")</f>
        <v/>
      </c>
      <c r="E323" s="19">
        <f>IFERROR(INDEX(tblNetflix[year_added],MATCH($A323,tblNetflix[show_id],0)),"")</f>
        <v/>
      </c>
      <c r="F323" s="19">
        <f>IF(AND(OR(YearFilter="All",$E323=YearFilter),OR(RatingFilter="All",$D323=RatingFilter),OR(TypeFilter="All",$C323=TypeFilter)),1,0)</f>
        <v/>
      </c>
    </row>
    <row r="324" ht="15" customHeight="1" s="20">
      <c r="A324" s="19" t="inlineStr">
        <is>
          <t>s1742</t>
        </is>
      </c>
      <c r="B324" s="19" t="inlineStr">
        <is>
          <t>International Movies</t>
        </is>
      </c>
      <c r="C324" s="19">
        <f>IFERROR(INDEX(tblNetflix[type],MATCH($A324,tblNetflix[show_id],0)),"")</f>
        <v/>
      </c>
      <c r="D324" s="19">
        <f>IFERROR(INDEX(tblNetflix[rating],MATCH($A324,tblNetflix[show_id],0)),"")</f>
        <v/>
      </c>
      <c r="E324" s="19">
        <f>IFERROR(INDEX(tblNetflix[year_added],MATCH($A324,tblNetflix[show_id],0)),"")</f>
        <v/>
      </c>
      <c r="F324" s="19">
        <f>IF(AND(OR(YearFilter="All",$E324=YearFilter),OR(RatingFilter="All",$D324=RatingFilter),OR(TypeFilter="All",$C324=TypeFilter)),1,0)</f>
        <v/>
      </c>
    </row>
    <row r="325" ht="15" customHeight="1" s="20">
      <c r="A325" s="19" t="inlineStr">
        <is>
          <t>s1778</t>
        </is>
      </c>
      <c r="B325" s="19" t="inlineStr">
        <is>
          <t>Horror Movies</t>
        </is>
      </c>
      <c r="C325" s="19">
        <f>IFERROR(INDEX(tblNetflix[type],MATCH($A325,tblNetflix[show_id],0)),"")</f>
        <v/>
      </c>
      <c r="D325" s="19">
        <f>IFERROR(INDEX(tblNetflix[rating],MATCH($A325,tblNetflix[show_id],0)),"")</f>
        <v/>
      </c>
      <c r="E325" s="19">
        <f>IFERROR(INDEX(tblNetflix[year_added],MATCH($A325,tblNetflix[show_id],0)),"")</f>
        <v/>
      </c>
      <c r="F325" s="19">
        <f>IF(AND(OR(YearFilter="All",$E325=YearFilter),OR(RatingFilter="All",$D325=RatingFilter),OR(TypeFilter="All",$C325=TypeFilter)),1,0)</f>
        <v/>
      </c>
    </row>
    <row r="326" ht="15" customHeight="1" s="20">
      <c r="A326" s="19" t="inlineStr">
        <is>
          <t>s1778</t>
        </is>
      </c>
      <c r="B326" s="19" t="inlineStr">
        <is>
          <t>International Movies</t>
        </is>
      </c>
      <c r="C326" s="19">
        <f>IFERROR(INDEX(tblNetflix[type],MATCH($A326,tblNetflix[show_id],0)),"")</f>
        <v/>
      </c>
      <c r="D326" s="19">
        <f>IFERROR(INDEX(tblNetflix[rating],MATCH($A326,tblNetflix[show_id],0)),"")</f>
        <v/>
      </c>
      <c r="E326" s="19">
        <f>IFERROR(INDEX(tblNetflix[year_added],MATCH($A326,tblNetflix[show_id],0)),"")</f>
        <v/>
      </c>
      <c r="F326" s="19">
        <f>IF(AND(OR(YearFilter="All",$E326=YearFilter),OR(RatingFilter="All",$D326=RatingFilter),OR(TypeFilter="All",$C326=TypeFilter)),1,0)</f>
        <v/>
      </c>
    </row>
    <row r="327" ht="15" customHeight="1" s="20">
      <c r="A327" s="19" t="inlineStr">
        <is>
          <t>s1796</t>
        </is>
      </c>
      <c r="B327" s="19" t="inlineStr">
        <is>
          <t>Comedies</t>
        </is>
      </c>
      <c r="C327" s="19">
        <f>IFERROR(INDEX(tblNetflix[type],MATCH($A327,tblNetflix[show_id],0)),"")</f>
        <v/>
      </c>
      <c r="D327" s="19">
        <f>IFERROR(INDEX(tblNetflix[rating],MATCH($A327,tblNetflix[show_id],0)),"")</f>
        <v/>
      </c>
      <c r="E327" s="19">
        <f>IFERROR(INDEX(tblNetflix[year_added],MATCH($A327,tblNetflix[show_id],0)),"")</f>
        <v/>
      </c>
      <c r="F327" s="19">
        <f>IF(AND(OR(YearFilter="All",$E327=YearFilter),OR(RatingFilter="All",$D327=RatingFilter),OR(TypeFilter="All",$C327=TypeFilter)),1,0)</f>
        <v/>
      </c>
    </row>
    <row r="328" ht="15" customHeight="1" s="20">
      <c r="A328" s="19" t="inlineStr">
        <is>
          <t>s1796</t>
        </is>
      </c>
      <c r="B328" s="19" t="inlineStr">
        <is>
          <t>International Movies</t>
        </is>
      </c>
      <c r="C328" s="19">
        <f>IFERROR(INDEX(tblNetflix[type],MATCH($A328,tblNetflix[show_id],0)),"")</f>
        <v/>
      </c>
      <c r="D328" s="19">
        <f>IFERROR(INDEX(tblNetflix[rating],MATCH($A328,tblNetflix[show_id],0)),"")</f>
        <v/>
      </c>
      <c r="E328" s="19">
        <f>IFERROR(INDEX(tblNetflix[year_added],MATCH($A328,tblNetflix[show_id],0)),"")</f>
        <v/>
      </c>
      <c r="F328" s="19">
        <f>IF(AND(OR(YearFilter="All",$E328=YearFilter),OR(RatingFilter="All",$D328=RatingFilter),OR(TypeFilter="All",$C328=TypeFilter)),1,0)</f>
        <v/>
      </c>
    </row>
    <row r="329" ht="15" customHeight="1" s="20">
      <c r="A329" s="19" t="inlineStr">
        <is>
          <t>s1796</t>
        </is>
      </c>
      <c r="B329" s="19" t="inlineStr">
        <is>
          <t>Music &amp; Musicals</t>
        </is>
      </c>
      <c r="C329" s="19">
        <f>IFERROR(INDEX(tblNetflix[type],MATCH($A329,tblNetflix[show_id],0)),"")</f>
        <v/>
      </c>
      <c r="D329" s="19">
        <f>IFERROR(INDEX(tblNetflix[rating],MATCH($A329,tblNetflix[show_id],0)),"")</f>
        <v/>
      </c>
      <c r="E329" s="19">
        <f>IFERROR(INDEX(tblNetflix[year_added],MATCH($A329,tblNetflix[show_id],0)),"")</f>
        <v/>
      </c>
      <c r="F329" s="19">
        <f>IF(AND(OR(YearFilter="All",$E329=YearFilter),OR(RatingFilter="All",$D329=RatingFilter),OR(TypeFilter="All",$C329=TypeFilter)),1,0)</f>
        <v/>
      </c>
    </row>
    <row r="330" ht="15" customHeight="1" s="20">
      <c r="A330" s="19" t="inlineStr">
        <is>
          <t>s1843</t>
        </is>
      </c>
      <c r="B330" s="19" t="inlineStr">
        <is>
          <t>Dramas</t>
        </is>
      </c>
      <c r="C330" s="19">
        <f>IFERROR(INDEX(tblNetflix[type],MATCH($A330,tblNetflix[show_id],0)),"")</f>
        <v/>
      </c>
      <c r="D330" s="19">
        <f>IFERROR(INDEX(tblNetflix[rating],MATCH($A330,tblNetflix[show_id],0)),"")</f>
        <v/>
      </c>
      <c r="E330" s="19">
        <f>IFERROR(INDEX(tblNetflix[year_added],MATCH($A330,tblNetflix[show_id],0)),"")</f>
        <v/>
      </c>
      <c r="F330" s="19">
        <f>IF(AND(OR(YearFilter="All",$E330=YearFilter),OR(RatingFilter="All",$D330=RatingFilter),OR(TypeFilter="All",$C330=TypeFilter)),1,0)</f>
        <v/>
      </c>
    </row>
    <row r="331" ht="15" customHeight="1" s="20">
      <c r="A331" s="19" t="inlineStr">
        <is>
          <t>s1854</t>
        </is>
      </c>
      <c r="B331" s="19" t="inlineStr">
        <is>
          <t>Documentaries</t>
        </is>
      </c>
      <c r="C331" s="19">
        <f>IFERROR(INDEX(tblNetflix[type],MATCH($A331,tblNetflix[show_id],0)),"")</f>
        <v/>
      </c>
      <c r="D331" s="19">
        <f>IFERROR(INDEX(tblNetflix[rating],MATCH($A331,tblNetflix[show_id],0)),"")</f>
        <v/>
      </c>
      <c r="E331" s="19">
        <f>IFERROR(INDEX(tblNetflix[year_added],MATCH($A331,tblNetflix[show_id],0)),"")</f>
        <v/>
      </c>
      <c r="F331" s="19">
        <f>IF(AND(OR(YearFilter="All",$E331=YearFilter),OR(RatingFilter="All",$D331=RatingFilter),OR(TypeFilter="All",$C331=TypeFilter)),1,0)</f>
        <v/>
      </c>
    </row>
    <row r="332" ht="15" customHeight="1" s="20">
      <c r="A332" s="19" t="inlineStr">
        <is>
          <t>s1854</t>
        </is>
      </c>
      <c r="B332" s="19" t="inlineStr">
        <is>
          <t>International Movies</t>
        </is>
      </c>
      <c r="C332" s="19">
        <f>IFERROR(INDEX(tblNetflix[type],MATCH($A332,tblNetflix[show_id],0)),"")</f>
        <v/>
      </c>
      <c r="D332" s="19">
        <f>IFERROR(INDEX(tblNetflix[rating],MATCH($A332,tblNetflix[show_id],0)),"")</f>
        <v/>
      </c>
      <c r="E332" s="19">
        <f>IFERROR(INDEX(tblNetflix[year_added],MATCH($A332,tblNetflix[show_id],0)),"")</f>
        <v/>
      </c>
      <c r="F332" s="19">
        <f>IF(AND(OR(YearFilter="All",$E332=YearFilter),OR(RatingFilter="All",$D332=RatingFilter),OR(TypeFilter="All",$C332=TypeFilter)),1,0)</f>
        <v/>
      </c>
    </row>
    <row r="333" ht="15" customHeight="1" s="20">
      <c r="A333" s="19" t="inlineStr">
        <is>
          <t>s1859</t>
        </is>
      </c>
      <c r="B333" s="19" t="inlineStr">
        <is>
          <t>International Movies</t>
        </is>
      </c>
      <c r="C333" s="19">
        <f>IFERROR(INDEX(tblNetflix[type],MATCH($A333,tblNetflix[show_id],0)),"")</f>
        <v/>
      </c>
      <c r="D333" s="19">
        <f>IFERROR(INDEX(tblNetflix[rating],MATCH($A333,tblNetflix[show_id],0)),"")</f>
        <v/>
      </c>
      <c r="E333" s="19">
        <f>IFERROR(INDEX(tblNetflix[year_added],MATCH($A333,tblNetflix[show_id],0)),"")</f>
        <v/>
      </c>
      <c r="F333" s="19">
        <f>IF(AND(OR(YearFilter="All",$E333=YearFilter),OR(RatingFilter="All",$D333=RatingFilter),OR(TypeFilter="All",$C333=TypeFilter)),1,0)</f>
        <v/>
      </c>
    </row>
    <row r="334" ht="15" customHeight="1" s="20">
      <c r="A334" s="19" t="inlineStr">
        <is>
          <t>s1859</t>
        </is>
      </c>
      <c r="B334" s="19" t="inlineStr">
        <is>
          <t>Romantic Movies</t>
        </is>
      </c>
      <c r="C334" s="19">
        <f>IFERROR(INDEX(tblNetflix[type],MATCH($A334,tblNetflix[show_id],0)),"")</f>
        <v/>
      </c>
      <c r="D334" s="19">
        <f>IFERROR(INDEX(tblNetflix[rating],MATCH($A334,tblNetflix[show_id],0)),"")</f>
        <v/>
      </c>
      <c r="E334" s="19">
        <f>IFERROR(INDEX(tblNetflix[year_added],MATCH($A334,tblNetflix[show_id],0)),"")</f>
        <v/>
      </c>
      <c r="F334" s="19">
        <f>IF(AND(OR(YearFilter="All",$E334=YearFilter),OR(RatingFilter="All",$D334=RatingFilter),OR(TypeFilter="All",$C334=TypeFilter)),1,0)</f>
        <v/>
      </c>
    </row>
    <row r="335" ht="15" customHeight="1" s="20">
      <c r="A335" s="19" t="inlineStr">
        <is>
          <t>s1859</t>
        </is>
      </c>
      <c r="B335" s="19" t="inlineStr">
        <is>
          <t>Thrillers</t>
        </is>
      </c>
      <c r="C335" s="19">
        <f>IFERROR(INDEX(tblNetflix[type],MATCH($A335,tblNetflix[show_id],0)),"")</f>
        <v/>
      </c>
      <c r="D335" s="19">
        <f>IFERROR(INDEX(tblNetflix[rating],MATCH($A335,tblNetflix[show_id],0)),"")</f>
        <v/>
      </c>
      <c r="E335" s="19">
        <f>IFERROR(INDEX(tblNetflix[year_added],MATCH($A335,tblNetflix[show_id],0)),"")</f>
        <v/>
      </c>
      <c r="F335" s="19">
        <f>IF(AND(OR(YearFilter="All",$E335=YearFilter),OR(RatingFilter="All",$D335=RatingFilter),OR(TypeFilter="All",$C335=TypeFilter)),1,0)</f>
        <v/>
      </c>
    </row>
    <row r="336" ht="15" customHeight="1" s="20">
      <c r="A336" s="19" t="inlineStr">
        <is>
          <t>s1862</t>
        </is>
      </c>
      <c r="B336" s="19" t="inlineStr">
        <is>
          <t>Comedies</t>
        </is>
      </c>
      <c r="C336" s="19">
        <f>IFERROR(INDEX(tblNetflix[type],MATCH($A336,tblNetflix[show_id],0)),"")</f>
        <v/>
      </c>
      <c r="D336" s="19">
        <f>IFERROR(INDEX(tblNetflix[rating],MATCH($A336,tblNetflix[show_id],0)),"")</f>
        <v/>
      </c>
      <c r="E336" s="19">
        <f>IFERROR(INDEX(tblNetflix[year_added],MATCH($A336,tblNetflix[show_id],0)),"")</f>
        <v/>
      </c>
      <c r="F336" s="19">
        <f>IF(AND(OR(YearFilter="All",$E336=YearFilter),OR(RatingFilter="All",$D336=RatingFilter),OR(TypeFilter="All",$C336=TypeFilter)),1,0)</f>
        <v/>
      </c>
    </row>
    <row r="337" ht="15" customHeight="1" s="20">
      <c r="A337" s="19" t="inlineStr">
        <is>
          <t>s1862</t>
        </is>
      </c>
      <c r="B337" s="19" t="inlineStr">
        <is>
          <t>Dramas</t>
        </is>
      </c>
      <c r="C337" s="19">
        <f>IFERROR(INDEX(tblNetflix[type],MATCH($A337,tblNetflix[show_id],0)),"")</f>
        <v/>
      </c>
      <c r="D337" s="19">
        <f>IFERROR(INDEX(tblNetflix[rating],MATCH($A337,tblNetflix[show_id],0)),"")</f>
        <v/>
      </c>
      <c r="E337" s="19">
        <f>IFERROR(INDEX(tblNetflix[year_added],MATCH($A337,tblNetflix[show_id],0)),"")</f>
        <v/>
      </c>
      <c r="F337" s="19">
        <f>IF(AND(OR(YearFilter="All",$E337=YearFilter),OR(RatingFilter="All",$D337=RatingFilter),OR(TypeFilter="All",$C337=TypeFilter)),1,0)</f>
        <v/>
      </c>
    </row>
    <row r="338" ht="15" customHeight="1" s="20">
      <c r="A338" s="19" t="inlineStr">
        <is>
          <t>s1862</t>
        </is>
      </c>
      <c r="B338" s="19" t="inlineStr">
        <is>
          <t>International Movies</t>
        </is>
      </c>
      <c r="C338" s="19">
        <f>IFERROR(INDEX(tblNetflix[type],MATCH($A338,tblNetflix[show_id],0)),"")</f>
        <v/>
      </c>
      <c r="D338" s="19">
        <f>IFERROR(INDEX(tblNetflix[rating],MATCH($A338,tblNetflix[show_id],0)),"")</f>
        <v/>
      </c>
      <c r="E338" s="19">
        <f>IFERROR(INDEX(tblNetflix[year_added],MATCH($A338,tblNetflix[show_id],0)),"")</f>
        <v/>
      </c>
      <c r="F338" s="19">
        <f>IF(AND(OR(YearFilter="All",$E338=YearFilter),OR(RatingFilter="All",$D338=RatingFilter),OR(TypeFilter="All",$C338=TypeFilter)),1,0)</f>
        <v/>
      </c>
    </row>
    <row r="339" ht="15" customHeight="1" s="20">
      <c r="A339" s="19" t="inlineStr">
        <is>
          <t>s1863</t>
        </is>
      </c>
      <c r="B339" s="19" t="inlineStr">
        <is>
          <t>Cult Movies</t>
        </is>
      </c>
      <c r="C339" s="19">
        <f>IFERROR(INDEX(tblNetflix[type],MATCH($A339,tblNetflix[show_id],0)),"")</f>
        <v/>
      </c>
      <c r="D339" s="19">
        <f>IFERROR(INDEX(tblNetflix[rating],MATCH($A339,tblNetflix[show_id],0)),"")</f>
        <v/>
      </c>
      <c r="E339" s="19">
        <f>IFERROR(INDEX(tblNetflix[year_added],MATCH($A339,tblNetflix[show_id],0)),"")</f>
        <v/>
      </c>
      <c r="F339" s="19">
        <f>IF(AND(OR(YearFilter="All",$E339=YearFilter),OR(RatingFilter="All",$D339=RatingFilter),OR(TypeFilter="All",$C339=TypeFilter)),1,0)</f>
        <v/>
      </c>
    </row>
    <row r="340" ht="15" customHeight="1" s="20">
      <c r="A340" s="19" t="inlineStr">
        <is>
          <t>s1863</t>
        </is>
      </c>
      <c r="B340" s="19" t="inlineStr">
        <is>
          <t>Dramas</t>
        </is>
      </c>
      <c r="C340" s="19">
        <f>IFERROR(INDEX(tblNetflix[type],MATCH($A340,tblNetflix[show_id],0)),"")</f>
        <v/>
      </c>
      <c r="D340" s="19">
        <f>IFERROR(INDEX(tblNetflix[rating],MATCH($A340,tblNetflix[show_id],0)),"")</f>
        <v/>
      </c>
      <c r="E340" s="19">
        <f>IFERROR(INDEX(tblNetflix[year_added],MATCH($A340,tblNetflix[show_id],0)),"")</f>
        <v/>
      </c>
      <c r="F340" s="19">
        <f>IF(AND(OR(YearFilter="All",$E340=YearFilter),OR(RatingFilter="All",$D340=RatingFilter),OR(TypeFilter="All",$C340=TypeFilter)),1,0)</f>
        <v/>
      </c>
    </row>
    <row r="341" ht="15" customHeight="1" s="20">
      <c r="A341" s="19" t="inlineStr">
        <is>
          <t>s1863</t>
        </is>
      </c>
      <c r="B341" s="19" t="inlineStr">
        <is>
          <t>International Movies</t>
        </is>
      </c>
      <c r="C341" s="19">
        <f>IFERROR(INDEX(tblNetflix[type],MATCH($A341,tblNetflix[show_id],0)),"")</f>
        <v/>
      </c>
      <c r="D341" s="19">
        <f>IFERROR(INDEX(tblNetflix[rating],MATCH($A341,tblNetflix[show_id],0)),"")</f>
        <v/>
      </c>
      <c r="E341" s="19">
        <f>IFERROR(INDEX(tblNetflix[year_added],MATCH($A341,tblNetflix[show_id],0)),"")</f>
        <v/>
      </c>
      <c r="F341" s="19">
        <f>IF(AND(OR(YearFilter="All",$E341=YearFilter),OR(RatingFilter="All",$D341=RatingFilter),OR(TypeFilter="All",$C341=TypeFilter)),1,0)</f>
        <v/>
      </c>
    </row>
    <row r="342" ht="15" customHeight="1" s="20">
      <c r="A342" s="19" t="inlineStr">
        <is>
          <t>s1864</t>
        </is>
      </c>
      <c r="B342" s="19" t="inlineStr">
        <is>
          <t>Comedies</t>
        </is>
      </c>
      <c r="C342" s="19">
        <f>IFERROR(INDEX(tblNetflix[type],MATCH($A342,tblNetflix[show_id],0)),"")</f>
        <v/>
      </c>
      <c r="D342" s="19">
        <f>IFERROR(INDEX(tblNetflix[rating],MATCH($A342,tblNetflix[show_id],0)),"")</f>
        <v/>
      </c>
      <c r="E342" s="19">
        <f>IFERROR(INDEX(tblNetflix[year_added],MATCH($A342,tblNetflix[show_id],0)),"")</f>
        <v/>
      </c>
      <c r="F342" s="19">
        <f>IF(AND(OR(YearFilter="All",$E342=YearFilter),OR(RatingFilter="All",$D342=RatingFilter),OR(TypeFilter="All",$C342=TypeFilter)),1,0)</f>
        <v/>
      </c>
    </row>
    <row r="343" ht="15" customHeight="1" s="20">
      <c r="A343" s="19" t="inlineStr">
        <is>
          <t>s1864</t>
        </is>
      </c>
      <c r="B343" s="19" t="inlineStr">
        <is>
          <t>International Movies</t>
        </is>
      </c>
      <c r="C343" s="19">
        <f>IFERROR(INDEX(tblNetflix[type],MATCH($A343,tblNetflix[show_id],0)),"")</f>
        <v/>
      </c>
      <c r="D343" s="19">
        <f>IFERROR(INDEX(tblNetflix[rating],MATCH($A343,tblNetflix[show_id],0)),"")</f>
        <v/>
      </c>
      <c r="E343" s="19">
        <f>IFERROR(INDEX(tblNetflix[year_added],MATCH($A343,tblNetflix[show_id],0)),"")</f>
        <v/>
      </c>
      <c r="F343" s="19">
        <f>IF(AND(OR(YearFilter="All",$E343=YearFilter),OR(RatingFilter="All",$D343=RatingFilter),OR(TypeFilter="All",$C343=TypeFilter)),1,0)</f>
        <v/>
      </c>
    </row>
    <row r="344" ht="15" customHeight="1" s="20">
      <c r="A344" s="19" t="inlineStr">
        <is>
          <t>s1864</t>
        </is>
      </c>
      <c r="B344" s="19" t="inlineStr">
        <is>
          <t>Romantic Movies</t>
        </is>
      </c>
      <c r="C344" s="19">
        <f>IFERROR(INDEX(tblNetflix[type],MATCH($A344,tblNetflix[show_id],0)),"")</f>
        <v/>
      </c>
      <c r="D344" s="19">
        <f>IFERROR(INDEX(tblNetflix[rating],MATCH($A344,tblNetflix[show_id],0)),"")</f>
        <v/>
      </c>
      <c r="E344" s="19">
        <f>IFERROR(INDEX(tblNetflix[year_added],MATCH($A344,tblNetflix[show_id],0)),"")</f>
        <v/>
      </c>
      <c r="F344" s="19">
        <f>IF(AND(OR(YearFilter="All",$E344=YearFilter),OR(RatingFilter="All",$D344=RatingFilter),OR(TypeFilter="All",$C344=TypeFilter)),1,0)</f>
        <v/>
      </c>
    </row>
    <row r="345" ht="15" customHeight="1" s="20">
      <c r="A345" s="19" t="inlineStr">
        <is>
          <t>s1866</t>
        </is>
      </c>
      <c r="B345" s="19" t="inlineStr">
        <is>
          <t>Comedies</t>
        </is>
      </c>
      <c r="C345" s="19">
        <f>IFERROR(INDEX(tblNetflix[type],MATCH($A345,tblNetflix[show_id],0)),"")</f>
        <v/>
      </c>
      <c r="D345" s="19">
        <f>IFERROR(INDEX(tblNetflix[rating],MATCH($A345,tblNetflix[show_id],0)),"")</f>
        <v/>
      </c>
      <c r="E345" s="19">
        <f>IFERROR(INDEX(tblNetflix[year_added],MATCH($A345,tblNetflix[show_id],0)),"")</f>
        <v/>
      </c>
      <c r="F345" s="19">
        <f>IF(AND(OR(YearFilter="All",$E345=YearFilter),OR(RatingFilter="All",$D345=RatingFilter),OR(TypeFilter="All",$C345=TypeFilter)),1,0)</f>
        <v/>
      </c>
    </row>
    <row r="346" ht="15" customHeight="1" s="20">
      <c r="A346" s="19" t="inlineStr">
        <is>
          <t>s1866</t>
        </is>
      </c>
      <c r="B346" s="19" t="inlineStr">
        <is>
          <t>International Movies</t>
        </is>
      </c>
      <c r="C346" s="19">
        <f>IFERROR(INDEX(tblNetflix[type],MATCH($A346,tblNetflix[show_id],0)),"")</f>
        <v/>
      </c>
      <c r="D346" s="19">
        <f>IFERROR(INDEX(tblNetflix[rating],MATCH($A346,tblNetflix[show_id],0)),"")</f>
        <v/>
      </c>
      <c r="E346" s="19">
        <f>IFERROR(INDEX(tblNetflix[year_added],MATCH($A346,tblNetflix[show_id],0)),"")</f>
        <v/>
      </c>
      <c r="F346" s="19">
        <f>IF(AND(OR(YearFilter="All",$E346=YearFilter),OR(RatingFilter="All",$D346=RatingFilter),OR(TypeFilter="All",$C346=TypeFilter)),1,0)</f>
        <v/>
      </c>
    </row>
    <row r="347" ht="15" customHeight="1" s="20">
      <c r="A347" s="19" t="inlineStr">
        <is>
          <t>s1867</t>
        </is>
      </c>
      <c r="B347" s="19" t="inlineStr">
        <is>
          <t>Dramas</t>
        </is>
      </c>
      <c r="C347" s="19">
        <f>IFERROR(INDEX(tblNetflix[type],MATCH($A347,tblNetflix[show_id],0)),"")</f>
        <v/>
      </c>
      <c r="D347" s="19">
        <f>IFERROR(INDEX(tblNetflix[rating],MATCH($A347,tblNetflix[show_id],0)),"")</f>
        <v/>
      </c>
      <c r="E347" s="19">
        <f>IFERROR(INDEX(tblNetflix[year_added],MATCH($A347,tblNetflix[show_id],0)),"")</f>
        <v/>
      </c>
      <c r="F347" s="19">
        <f>IF(AND(OR(YearFilter="All",$E347=YearFilter),OR(RatingFilter="All",$D347=RatingFilter),OR(TypeFilter="All",$C347=TypeFilter)),1,0)</f>
        <v/>
      </c>
    </row>
    <row r="348" ht="15" customHeight="1" s="20">
      <c r="A348" s="19" t="inlineStr">
        <is>
          <t>s1867</t>
        </is>
      </c>
      <c r="B348" s="19" t="inlineStr">
        <is>
          <t>International Movies</t>
        </is>
      </c>
      <c r="C348" s="19">
        <f>IFERROR(INDEX(tblNetflix[type],MATCH($A348,tblNetflix[show_id],0)),"")</f>
        <v/>
      </c>
      <c r="D348" s="19">
        <f>IFERROR(INDEX(tblNetflix[rating],MATCH($A348,tblNetflix[show_id],0)),"")</f>
        <v/>
      </c>
      <c r="E348" s="19">
        <f>IFERROR(INDEX(tblNetflix[year_added],MATCH($A348,tblNetflix[show_id],0)),"")</f>
        <v/>
      </c>
      <c r="F348" s="19">
        <f>IF(AND(OR(YearFilter="All",$E348=YearFilter),OR(RatingFilter="All",$D348=RatingFilter),OR(TypeFilter="All",$C348=TypeFilter)),1,0)</f>
        <v/>
      </c>
    </row>
    <row r="349" ht="15" customHeight="1" s="20">
      <c r="A349" s="19" t="inlineStr">
        <is>
          <t>s1870</t>
        </is>
      </c>
      <c r="B349" s="19" t="inlineStr">
        <is>
          <t>Comedies</t>
        </is>
      </c>
      <c r="C349" s="19">
        <f>IFERROR(INDEX(tblNetflix[type],MATCH($A349,tblNetflix[show_id],0)),"")</f>
        <v/>
      </c>
      <c r="D349" s="19">
        <f>IFERROR(INDEX(tblNetflix[rating],MATCH($A349,tblNetflix[show_id],0)),"")</f>
        <v/>
      </c>
      <c r="E349" s="19">
        <f>IFERROR(INDEX(tblNetflix[year_added],MATCH($A349,tblNetflix[show_id],0)),"")</f>
        <v/>
      </c>
      <c r="F349" s="19">
        <f>IF(AND(OR(YearFilter="All",$E349=YearFilter),OR(RatingFilter="All",$D349=RatingFilter),OR(TypeFilter="All",$C349=TypeFilter)),1,0)</f>
        <v/>
      </c>
    </row>
    <row r="350" ht="15" customHeight="1" s="20">
      <c r="A350" s="19" t="inlineStr">
        <is>
          <t>s1870</t>
        </is>
      </c>
      <c r="B350" s="19" t="inlineStr">
        <is>
          <t>International Movies</t>
        </is>
      </c>
      <c r="C350" s="19">
        <f>IFERROR(INDEX(tblNetflix[type],MATCH($A350,tblNetflix[show_id],0)),"")</f>
        <v/>
      </c>
      <c r="D350" s="19">
        <f>IFERROR(INDEX(tblNetflix[rating],MATCH($A350,tblNetflix[show_id],0)),"")</f>
        <v/>
      </c>
      <c r="E350" s="19">
        <f>IFERROR(INDEX(tblNetflix[year_added],MATCH($A350,tblNetflix[show_id],0)),"")</f>
        <v/>
      </c>
      <c r="F350" s="19">
        <f>IF(AND(OR(YearFilter="All",$E350=YearFilter),OR(RatingFilter="All",$D350=RatingFilter),OR(TypeFilter="All",$C350=TypeFilter)),1,0)</f>
        <v/>
      </c>
    </row>
    <row r="351" ht="15" customHeight="1" s="20">
      <c r="A351" s="19" t="inlineStr">
        <is>
          <t>s1870</t>
        </is>
      </c>
      <c r="B351" s="19" t="inlineStr">
        <is>
          <t>Romantic Movies</t>
        </is>
      </c>
      <c r="C351" s="19">
        <f>IFERROR(INDEX(tblNetflix[type],MATCH($A351,tblNetflix[show_id],0)),"")</f>
        <v/>
      </c>
      <c r="D351" s="19">
        <f>IFERROR(INDEX(tblNetflix[rating],MATCH($A351,tblNetflix[show_id],0)),"")</f>
        <v/>
      </c>
      <c r="E351" s="19">
        <f>IFERROR(INDEX(tblNetflix[year_added],MATCH($A351,tblNetflix[show_id],0)),"")</f>
        <v/>
      </c>
      <c r="F351" s="19">
        <f>IF(AND(OR(YearFilter="All",$E351=YearFilter),OR(RatingFilter="All",$D351=RatingFilter),OR(TypeFilter="All",$C351=TypeFilter)),1,0)</f>
        <v/>
      </c>
    </row>
    <row r="352" ht="15" customHeight="1" s="20">
      <c r="A352" s="19" t="inlineStr">
        <is>
          <t>s1886</t>
        </is>
      </c>
      <c r="B352" s="19" t="inlineStr">
        <is>
          <t>British TV Shows</t>
        </is>
      </c>
      <c r="C352" s="19">
        <f>IFERROR(INDEX(tblNetflix[type],MATCH($A352,tblNetflix[show_id],0)),"")</f>
        <v/>
      </c>
      <c r="D352" s="19">
        <f>IFERROR(INDEX(tblNetflix[rating],MATCH($A352,tblNetflix[show_id],0)),"")</f>
        <v/>
      </c>
      <c r="E352" s="19">
        <f>IFERROR(INDEX(tblNetflix[year_added],MATCH($A352,tblNetflix[show_id],0)),"")</f>
        <v/>
      </c>
      <c r="F352" s="19">
        <f>IF(AND(OR(YearFilter="All",$E352=YearFilter),OR(RatingFilter="All",$D352=RatingFilter),OR(TypeFilter="All",$C352=TypeFilter)),1,0)</f>
        <v/>
      </c>
    </row>
    <row r="353" ht="15" customHeight="1" s="20">
      <c r="A353" s="19" t="inlineStr">
        <is>
          <t>s1886</t>
        </is>
      </c>
      <c r="B353" s="19" t="inlineStr">
        <is>
          <t>Docuseries</t>
        </is>
      </c>
      <c r="C353" s="19">
        <f>IFERROR(INDEX(tblNetflix[type],MATCH($A353,tblNetflix[show_id],0)),"")</f>
        <v/>
      </c>
      <c r="D353" s="19">
        <f>IFERROR(INDEX(tblNetflix[rating],MATCH($A353,tblNetflix[show_id],0)),"")</f>
        <v/>
      </c>
      <c r="E353" s="19">
        <f>IFERROR(INDEX(tblNetflix[year_added],MATCH($A353,tblNetflix[show_id],0)),"")</f>
        <v/>
      </c>
      <c r="F353" s="19">
        <f>IF(AND(OR(YearFilter="All",$E353=YearFilter),OR(RatingFilter="All",$D353=RatingFilter),OR(TypeFilter="All",$C353=TypeFilter)),1,0)</f>
        <v/>
      </c>
    </row>
    <row r="354" ht="15" customHeight="1" s="20">
      <c r="A354" s="19" t="inlineStr">
        <is>
          <t>s1886</t>
        </is>
      </c>
      <c r="B354" s="19" t="inlineStr">
        <is>
          <t>International TV Shows</t>
        </is>
      </c>
      <c r="C354" s="19">
        <f>IFERROR(INDEX(tblNetflix[type],MATCH($A354,tblNetflix[show_id],0)),"")</f>
        <v/>
      </c>
      <c r="D354" s="19">
        <f>IFERROR(INDEX(tblNetflix[rating],MATCH($A354,tblNetflix[show_id],0)),"")</f>
        <v/>
      </c>
      <c r="E354" s="19">
        <f>IFERROR(INDEX(tblNetflix[year_added],MATCH($A354,tblNetflix[show_id],0)),"")</f>
        <v/>
      </c>
      <c r="F354" s="19">
        <f>IF(AND(OR(YearFilter="All",$E354=YearFilter),OR(RatingFilter="All",$D354=RatingFilter),OR(TypeFilter="All",$C354=TypeFilter)),1,0)</f>
        <v/>
      </c>
    </row>
    <row r="355" ht="15" customHeight="1" s="20">
      <c r="A355" s="19" t="inlineStr">
        <is>
          <t>s1898</t>
        </is>
      </c>
      <c r="B355" s="19" t="inlineStr">
        <is>
          <t>Comedies</t>
        </is>
      </c>
      <c r="C355" s="19">
        <f>IFERROR(INDEX(tblNetflix[type],MATCH($A355,tblNetflix[show_id],0)),"")</f>
        <v/>
      </c>
      <c r="D355" s="19">
        <f>IFERROR(INDEX(tblNetflix[rating],MATCH($A355,tblNetflix[show_id],0)),"")</f>
        <v/>
      </c>
      <c r="E355" s="19">
        <f>IFERROR(INDEX(tblNetflix[year_added],MATCH($A355,tblNetflix[show_id],0)),"")</f>
        <v/>
      </c>
      <c r="F355" s="19">
        <f>IF(AND(OR(YearFilter="All",$E355=YearFilter),OR(RatingFilter="All",$D355=RatingFilter),OR(TypeFilter="All",$C355=TypeFilter)),1,0)</f>
        <v/>
      </c>
    </row>
    <row r="356" ht="15" customHeight="1" s="20">
      <c r="A356" s="19" t="inlineStr">
        <is>
          <t>s1898</t>
        </is>
      </c>
      <c r="B356" s="19" t="inlineStr">
        <is>
          <t>Dramas</t>
        </is>
      </c>
      <c r="C356" s="19">
        <f>IFERROR(INDEX(tblNetflix[type],MATCH($A356,tblNetflix[show_id],0)),"")</f>
        <v/>
      </c>
      <c r="D356" s="19">
        <f>IFERROR(INDEX(tblNetflix[rating],MATCH($A356,tblNetflix[show_id],0)),"")</f>
        <v/>
      </c>
      <c r="E356" s="19">
        <f>IFERROR(INDEX(tblNetflix[year_added],MATCH($A356,tblNetflix[show_id],0)),"")</f>
        <v/>
      </c>
      <c r="F356" s="19">
        <f>IF(AND(OR(YearFilter="All",$E356=YearFilter),OR(RatingFilter="All",$D356=RatingFilter),OR(TypeFilter="All",$C356=TypeFilter)),1,0)</f>
        <v/>
      </c>
    </row>
    <row r="357" ht="15" customHeight="1" s="20">
      <c r="A357" s="19" t="inlineStr">
        <is>
          <t>s1898</t>
        </is>
      </c>
      <c r="B357" s="19" t="inlineStr">
        <is>
          <t>International Movies</t>
        </is>
      </c>
      <c r="C357" s="19">
        <f>IFERROR(INDEX(tblNetflix[type],MATCH($A357,tblNetflix[show_id],0)),"")</f>
        <v/>
      </c>
      <c r="D357" s="19">
        <f>IFERROR(INDEX(tblNetflix[rating],MATCH($A357,tblNetflix[show_id],0)),"")</f>
        <v/>
      </c>
      <c r="E357" s="19">
        <f>IFERROR(INDEX(tblNetflix[year_added],MATCH($A357,tblNetflix[show_id],0)),"")</f>
        <v/>
      </c>
      <c r="F357" s="19">
        <f>IF(AND(OR(YearFilter="All",$E357=YearFilter),OR(RatingFilter="All",$D357=RatingFilter),OR(TypeFilter="All",$C357=TypeFilter)),1,0)</f>
        <v/>
      </c>
    </row>
    <row r="358" ht="15" customHeight="1" s="20">
      <c r="A358" s="19" t="inlineStr">
        <is>
          <t>s1939</t>
        </is>
      </c>
      <c r="B358" s="19" t="inlineStr">
        <is>
          <t>Dramas</t>
        </is>
      </c>
      <c r="C358" s="19">
        <f>IFERROR(INDEX(tblNetflix[type],MATCH($A358,tblNetflix[show_id],0)),"")</f>
        <v/>
      </c>
      <c r="D358" s="19">
        <f>IFERROR(INDEX(tblNetflix[rating],MATCH($A358,tblNetflix[show_id],0)),"")</f>
        <v/>
      </c>
      <c r="E358" s="19">
        <f>IFERROR(INDEX(tblNetflix[year_added],MATCH($A358,tblNetflix[show_id],0)),"")</f>
        <v/>
      </c>
      <c r="F358" s="19">
        <f>IF(AND(OR(YearFilter="All",$E358=YearFilter),OR(RatingFilter="All",$D358=RatingFilter),OR(TypeFilter="All",$C358=TypeFilter)),1,0)</f>
        <v/>
      </c>
    </row>
    <row r="359" ht="15" customHeight="1" s="20">
      <c r="A359" s="19" t="inlineStr">
        <is>
          <t>s1939</t>
        </is>
      </c>
      <c r="B359" s="19" t="inlineStr">
        <is>
          <t>Independent Movies</t>
        </is>
      </c>
      <c r="C359" s="19">
        <f>IFERROR(INDEX(tblNetflix[type],MATCH($A359,tblNetflix[show_id],0)),"")</f>
        <v/>
      </c>
      <c r="D359" s="19">
        <f>IFERROR(INDEX(tblNetflix[rating],MATCH($A359,tblNetflix[show_id],0)),"")</f>
        <v/>
      </c>
      <c r="E359" s="19">
        <f>IFERROR(INDEX(tblNetflix[year_added],MATCH($A359,tblNetflix[show_id],0)),"")</f>
        <v/>
      </c>
      <c r="F359" s="19">
        <f>IF(AND(OR(YearFilter="All",$E359=YearFilter),OR(RatingFilter="All",$D359=RatingFilter),OR(TypeFilter="All",$C359=TypeFilter)),1,0)</f>
        <v/>
      </c>
    </row>
    <row r="360" ht="15" customHeight="1" s="20">
      <c r="A360" s="19" t="inlineStr">
        <is>
          <t>s1939</t>
        </is>
      </c>
      <c r="B360" s="19" t="inlineStr">
        <is>
          <t>International Movies</t>
        </is>
      </c>
      <c r="C360" s="19">
        <f>IFERROR(INDEX(tblNetflix[type],MATCH($A360,tblNetflix[show_id],0)),"")</f>
        <v/>
      </c>
      <c r="D360" s="19">
        <f>IFERROR(INDEX(tblNetflix[rating],MATCH($A360,tblNetflix[show_id],0)),"")</f>
        <v/>
      </c>
      <c r="E360" s="19">
        <f>IFERROR(INDEX(tblNetflix[year_added],MATCH($A360,tblNetflix[show_id],0)),"")</f>
        <v/>
      </c>
      <c r="F360" s="19">
        <f>IF(AND(OR(YearFilter="All",$E360=YearFilter),OR(RatingFilter="All",$D360=RatingFilter),OR(TypeFilter="All",$C360=TypeFilter)),1,0)</f>
        <v/>
      </c>
    </row>
    <row r="361" ht="15" customHeight="1" s="20">
      <c r="A361" s="19" t="inlineStr">
        <is>
          <t>s1940</t>
        </is>
      </c>
      <c r="B361" s="19" t="inlineStr">
        <is>
          <t>Comedies</t>
        </is>
      </c>
      <c r="C361" s="19">
        <f>IFERROR(INDEX(tblNetflix[type],MATCH($A361,tblNetflix[show_id],0)),"")</f>
        <v/>
      </c>
      <c r="D361" s="19">
        <f>IFERROR(INDEX(tblNetflix[rating],MATCH($A361,tblNetflix[show_id],0)),"")</f>
        <v/>
      </c>
      <c r="E361" s="19">
        <f>IFERROR(INDEX(tblNetflix[year_added],MATCH($A361,tblNetflix[show_id],0)),"")</f>
        <v/>
      </c>
      <c r="F361" s="19">
        <f>IF(AND(OR(YearFilter="All",$E361=YearFilter),OR(RatingFilter="All",$D361=RatingFilter),OR(TypeFilter="All",$C361=TypeFilter)),1,0)</f>
        <v/>
      </c>
    </row>
    <row r="362" ht="15" customHeight="1" s="20">
      <c r="A362" s="19" t="inlineStr">
        <is>
          <t>s1940</t>
        </is>
      </c>
      <c r="B362" s="19" t="inlineStr">
        <is>
          <t>Dramas</t>
        </is>
      </c>
      <c r="C362" s="19">
        <f>IFERROR(INDEX(tblNetflix[type],MATCH($A362,tblNetflix[show_id],0)),"")</f>
        <v/>
      </c>
      <c r="D362" s="19">
        <f>IFERROR(INDEX(tblNetflix[rating],MATCH($A362,tblNetflix[show_id],0)),"")</f>
        <v/>
      </c>
      <c r="E362" s="19">
        <f>IFERROR(INDEX(tblNetflix[year_added],MATCH($A362,tblNetflix[show_id],0)),"")</f>
        <v/>
      </c>
      <c r="F362" s="19">
        <f>IF(AND(OR(YearFilter="All",$E362=YearFilter),OR(RatingFilter="All",$D362=RatingFilter),OR(TypeFilter="All",$C362=TypeFilter)),1,0)</f>
        <v/>
      </c>
    </row>
    <row r="363" ht="15" customHeight="1" s="20">
      <c r="A363" s="19" t="inlineStr">
        <is>
          <t>s1940</t>
        </is>
      </c>
      <c r="B363" s="19" t="inlineStr">
        <is>
          <t>International Movies</t>
        </is>
      </c>
      <c r="C363" s="19">
        <f>IFERROR(INDEX(tblNetflix[type],MATCH($A363,tblNetflix[show_id],0)),"")</f>
        <v/>
      </c>
      <c r="D363" s="19">
        <f>IFERROR(INDEX(tblNetflix[rating],MATCH($A363,tblNetflix[show_id],0)),"")</f>
        <v/>
      </c>
      <c r="E363" s="19">
        <f>IFERROR(INDEX(tblNetflix[year_added],MATCH($A363,tblNetflix[show_id],0)),"")</f>
        <v/>
      </c>
      <c r="F363" s="19">
        <f>IF(AND(OR(YearFilter="All",$E363=YearFilter),OR(RatingFilter="All",$D363=RatingFilter),OR(TypeFilter="All",$C363=TypeFilter)),1,0)</f>
        <v/>
      </c>
    </row>
    <row r="364" ht="15" customHeight="1" s="20">
      <c r="A364" s="19" t="inlineStr">
        <is>
          <t>s1941</t>
        </is>
      </c>
      <c r="B364" s="19" t="inlineStr">
        <is>
          <t>Comedies</t>
        </is>
      </c>
      <c r="C364" s="19">
        <f>IFERROR(INDEX(tblNetflix[type],MATCH($A364,tblNetflix[show_id],0)),"")</f>
        <v/>
      </c>
      <c r="D364" s="19">
        <f>IFERROR(INDEX(tblNetflix[rating],MATCH($A364,tblNetflix[show_id],0)),"")</f>
        <v/>
      </c>
      <c r="E364" s="19">
        <f>IFERROR(INDEX(tblNetflix[year_added],MATCH($A364,tblNetflix[show_id],0)),"")</f>
        <v/>
      </c>
      <c r="F364" s="19">
        <f>IF(AND(OR(YearFilter="All",$E364=YearFilter),OR(RatingFilter="All",$D364=RatingFilter),OR(TypeFilter="All",$C364=TypeFilter)),1,0)</f>
        <v/>
      </c>
    </row>
    <row r="365" ht="15" customHeight="1" s="20">
      <c r="A365" s="19" t="inlineStr">
        <is>
          <t>s1941</t>
        </is>
      </c>
      <c r="B365" s="19" t="inlineStr">
        <is>
          <t>International Movies</t>
        </is>
      </c>
      <c r="C365" s="19">
        <f>IFERROR(INDEX(tblNetflix[type],MATCH($A365,tblNetflix[show_id],0)),"")</f>
        <v/>
      </c>
      <c r="D365" s="19">
        <f>IFERROR(INDEX(tblNetflix[rating],MATCH($A365,tblNetflix[show_id],0)),"")</f>
        <v/>
      </c>
      <c r="E365" s="19">
        <f>IFERROR(INDEX(tblNetflix[year_added],MATCH($A365,tblNetflix[show_id],0)),"")</f>
        <v/>
      </c>
      <c r="F365" s="19">
        <f>IF(AND(OR(YearFilter="All",$E365=YearFilter),OR(RatingFilter="All",$D365=RatingFilter),OR(TypeFilter="All",$C365=TypeFilter)),1,0)</f>
        <v/>
      </c>
    </row>
    <row r="366" ht="15" customHeight="1" s="20">
      <c r="A366" s="19" t="inlineStr">
        <is>
          <t>s1941</t>
        </is>
      </c>
      <c r="B366" s="19" t="inlineStr">
        <is>
          <t>Music &amp; Musicals</t>
        </is>
      </c>
      <c r="C366" s="19">
        <f>IFERROR(INDEX(tblNetflix[type],MATCH($A366,tblNetflix[show_id],0)),"")</f>
        <v/>
      </c>
      <c r="D366" s="19">
        <f>IFERROR(INDEX(tblNetflix[rating],MATCH($A366,tblNetflix[show_id],0)),"")</f>
        <v/>
      </c>
      <c r="E366" s="19">
        <f>IFERROR(INDEX(tblNetflix[year_added],MATCH($A366,tblNetflix[show_id],0)),"")</f>
        <v/>
      </c>
      <c r="F366" s="19">
        <f>IF(AND(OR(YearFilter="All",$E366=YearFilter),OR(RatingFilter="All",$D366=RatingFilter),OR(TypeFilter="All",$C366=TypeFilter)),1,0)</f>
        <v/>
      </c>
    </row>
    <row r="367" ht="15" customHeight="1" s="20">
      <c r="A367" s="19" t="inlineStr">
        <is>
          <t>s1942</t>
        </is>
      </c>
      <c r="B367" s="19" t="inlineStr">
        <is>
          <t>Comedies</t>
        </is>
      </c>
      <c r="C367" s="19">
        <f>IFERROR(INDEX(tblNetflix[type],MATCH($A367,tblNetflix[show_id],0)),"")</f>
        <v/>
      </c>
      <c r="D367" s="19">
        <f>IFERROR(INDEX(tblNetflix[rating],MATCH($A367,tblNetflix[show_id],0)),"")</f>
        <v/>
      </c>
      <c r="E367" s="19">
        <f>IFERROR(INDEX(tblNetflix[year_added],MATCH($A367,tblNetflix[show_id],0)),"")</f>
        <v/>
      </c>
      <c r="F367" s="19">
        <f>IF(AND(OR(YearFilter="All",$E367=YearFilter),OR(RatingFilter="All",$D367=RatingFilter),OR(TypeFilter="All",$C367=TypeFilter)),1,0)</f>
        <v/>
      </c>
    </row>
    <row r="368" ht="15" customHeight="1" s="20">
      <c r="A368" s="19" t="inlineStr">
        <is>
          <t>s1942</t>
        </is>
      </c>
      <c r="B368" s="19" t="inlineStr">
        <is>
          <t>International Movies</t>
        </is>
      </c>
      <c r="C368" s="19">
        <f>IFERROR(INDEX(tblNetflix[type],MATCH($A368,tblNetflix[show_id],0)),"")</f>
        <v/>
      </c>
      <c r="D368" s="19">
        <f>IFERROR(INDEX(tblNetflix[rating],MATCH($A368,tblNetflix[show_id],0)),"")</f>
        <v/>
      </c>
      <c r="E368" s="19">
        <f>IFERROR(INDEX(tblNetflix[year_added],MATCH($A368,tblNetflix[show_id],0)),"")</f>
        <v/>
      </c>
      <c r="F368" s="19">
        <f>IF(AND(OR(YearFilter="All",$E368=YearFilter),OR(RatingFilter="All",$D368=RatingFilter),OR(TypeFilter="All",$C368=TypeFilter)),1,0)</f>
        <v/>
      </c>
    </row>
    <row r="369" ht="15" customHeight="1" s="20">
      <c r="A369" s="19" t="inlineStr">
        <is>
          <t>s1942</t>
        </is>
      </c>
      <c r="B369" s="19" t="inlineStr">
        <is>
          <t>Music &amp; Musicals</t>
        </is>
      </c>
      <c r="C369" s="19">
        <f>IFERROR(INDEX(tblNetflix[type],MATCH($A369,tblNetflix[show_id],0)),"")</f>
        <v/>
      </c>
      <c r="D369" s="19">
        <f>IFERROR(INDEX(tblNetflix[rating],MATCH($A369,tblNetflix[show_id],0)),"")</f>
        <v/>
      </c>
      <c r="E369" s="19">
        <f>IFERROR(INDEX(tblNetflix[year_added],MATCH($A369,tblNetflix[show_id],0)),"")</f>
        <v/>
      </c>
      <c r="F369" s="19">
        <f>IF(AND(OR(YearFilter="All",$E369=YearFilter),OR(RatingFilter="All",$D369=RatingFilter),OR(TypeFilter="All",$C369=TypeFilter)),1,0)</f>
        <v/>
      </c>
    </row>
    <row r="370" ht="15" customHeight="1" s="20">
      <c r="A370" s="19" t="inlineStr">
        <is>
          <t>s1943</t>
        </is>
      </c>
      <c r="B370" s="19" t="inlineStr">
        <is>
          <t>Comedies</t>
        </is>
      </c>
      <c r="C370" s="19">
        <f>IFERROR(INDEX(tblNetflix[type],MATCH($A370,tblNetflix[show_id],0)),"")</f>
        <v/>
      </c>
      <c r="D370" s="19">
        <f>IFERROR(INDEX(tblNetflix[rating],MATCH($A370,tblNetflix[show_id],0)),"")</f>
        <v/>
      </c>
      <c r="E370" s="19">
        <f>IFERROR(INDEX(tblNetflix[year_added],MATCH($A370,tblNetflix[show_id],0)),"")</f>
        <v/>
      </c>
      <c r="F370" s="19">
        <f>IF(AND(OR(YearFilter="All",$E370=YearFilter),OR(RatingFilter="All",$D370=RatingFilter),OR(TypeFilter="All",$C370=TypeFilter)),1,0)</f>
        <v/>
      </c>
    </row>
    <row r="371" ht="15" customHeight="1" s="20">
      <c r="A371" s="19" t="inlineStr">
        <is>
          <t>s1943</t>
        </is>
      </c>
      <c r="B371" s="19" t="inlineStr">
        <is>
          <t>International Movies</t>
        </is>
      </c>
      <c r="C371" s="19">
        <f>IFERROR(INDEX(tblNetflix[type],MATCH($A371,tblNetflix[show_id],0)),"")</f>
        <v/>
      </c>
      <c r="D371" s="19">
        <f>IFERROR(INDEX(tblNetflix[rating],MATCH($A371,tblNetflix[show_id],0)),"")</f>
        <v/>
      </c>
      <c r="E371" s="19">
        <f>IFERROR(INDEX(tblNetflix[year_added],MATCH($A371,tblNetflix[show_id],0)),"")</f>
        <v/>
      </c>
      <c r="F371" s="19">
        <f>IF(AND(OR(YearFilter="All",$E371=YearFilter),OR(RatingFilter="All",$D371=RatingFilter),OR(TypeFilter="All",$C371=TypeFilter)),1,0)</f>
        <v/>
      </c>
    </row>
    <row r="372" ht="15" customHeight="1" s="20">
      <c r="A372" s="19" t="inlineStr">
        <is>
          <t>s1943</t>
        </is>
      </c>
      <c r="B372" s="19" t="inlineStr">
        <is>
          <t>Romantic Movies</t>
        </is>
      </c>
      <c r="C372" s="19">
        <f>IFERROR(INDEX(tblNetflix[type],MATCH($A372,tblNetflix[show_id],0)),"")</f>
        <v/>
      </c>
      <c r="D372" s="19">
        <f>IFERROR(INDEX(tblNetflix[rating],MATCH($A372,tblNetflix[show_id],0)),"")</f>
        <v/>
      </c>
      <c r="E372" s="19">
        <f>IFERROR(INDEX(tblNetflix[year_added],MATCH($A372,tblNetflix[show_id],0)),"")</f>
        <v/>
      </c>
      <c r="F372" s="19">
        <f>IF(AND(OR(YearFilter="All",$E372=YearFilter),OR(RatingFilter="All",$D372=RatingFilter),OR(TypeFilter="All",$C372=TypeFilter)),1,0)</f>
        <v/>
      </c>
    </row>
    <row r="373" ht="15" customHeight="1" s="20">
      <c r="A373" s="19" t="inlineStr">
        <is>
          <t>s1944</t>
        </is>
      </c>
      <c r="B373" s="19" t="inlineStr">
        <is>
          <t>Comedies</t>
        </is>
      </c>
      <c r="C373" s="19">
        <f>IFERROR(INDEX(tblNetflix[type],MATCH($A373,tblNetflix[show_id],0)),"")</f>
        <v/>
      </c>
      <c r="D373" s="19">
        <f>IFERROR(INDEX(tblNetflix[rating],MATCH($A373,tblNetflix[show_id],0)),"")</f>
        <v/>
      </c>
      <c r="E373" s="19">
        <f>IFERROR(INDEX(tblNetflix[year_added],MATCH($A373,tblNetflix[show_id],0)),"")</f>
        <v/>
      </c>
      <c r="F373" s="19">
        <f>IF(AND(OR(YearFilter="All",$E373=YearFilter),OR(RatingFilter="All",$D373=RatingFilter),OR(TypeFilter="All",$C373=TypeFilter)),1,0)</f>
        <v/>
      </c>
    </row>
    <row r="374" ht="15" customHeight="1" s="20">
      <c r="A374" s="19" t="inlineStr">
        <is>
          <t>s1944</t>
        </is>
      </c>
      <c r="B374" s="19" t="inlineStr">
        <is>
          <t>International Movies</t>
        </is>
      </c>
      <c r="C374" s="19">
        <f>IFERROR(INDEX(tblNetflix[type],MATCH($A374,tblNetflix[show_id],0)),"")</f>
        <v/>
      </c>
      <c r="D374" s="19">
        <f>IFERROR(INDEX(tblNetflix[rating],MATCH($A374,tblNetflix[show_id],0)),"")</f>
        <v/>
      </c>
      <c r="E374" s="19">
        <f>IFERROR(INDEX(tblNetflix[year_added],MATCH($A374,tblNetflix[show_id],0)),"")</f>
        <v/>
      </c>
      <c r="F374" s="19">
        <f>IF(AND(OR(YearFilter="All",$E374=YearFilter),OR(RatingFilter="All",$D374=RatingFilter),OR(TypeFilter="All",$C374=TypeFilter)),1,0)</f>
        <v/>
      </c>
    </row>
    <row r="375" ht="15" customHeight="1" s="20">
      <c r="A375" s="19" t="inlineStr">
        <is>
          <t>s1944</t>
        </is>
      </c>
      <c r="B375" s="19" t="inlineStr">
        <is>
          <t>Music &amp; Musicals</t>
        </is>
      </c>
      <c r="C375" s="19">
        <f>IFERROR(INDEX(tblNetflix[type],MATCH($A375,tblNetflix[show_id],0)),"")</f>
        <v/>
      </c>
      <c r="D375" s="19">
        <f>IFERROR(INDEX(tblNetflix[rating],MATCH($A375,tblNetflix[show_id],0)),"")</f>
        <v/>
      </c>
      <c r="E375" s="19">
        <f>IFERROR(INDEX(tblNetflix[year_added],MATCH($A375,tblNetflix[show_id],0)),"")</f>
        <v/>
      </c>
      <c r="F375" s="19">
        <f>IF(AND(OR(YearFilter="All",$E375=YearFilter),OR(RatingFilter="All",$D375=RatingFilter),OR(TypeFilter="All",$C375=TypeFilter)),1,0)</f>
        <v/>
      </c>
    </row>
    <row r="376" ht="15" customHeight="1" s="20">
      <c r="A376" s="19" t="inlineStr">
        <is>
          <t>s1945</t>
        </is>
      </c>
      <c r="B376" s="19" t="inlineStr">
        <is>
          <t>Dramas</t>
        </is>
      </c>
      <c r="C376" s="19">
        <f>IFERROR(INDEX(tblNetflix[type],MATCH($A376,tblNetflix[show_id],0)),"")</f>
        <v/>
      </c>
      <c r="D376" s="19">
        <f>IFERROR(INDEX(tblNetflix[rating],MATCH($A376,tblNetflix[show_id],0)),"")</f>
        <v/>
      </c>
      <c r="E376" s="19">
        <f>IFERROR(INDEX(tblNetflix[year_added],MATCH($A376,tblNetflix[show_id],0)),"")</f>
        <v/>
      </c>
      <c r="F376" s="19">
        <f>IF(AND(OR(YearFilter="All",$E376=YearFilter),OR(RatingFilter="All",$D376=RatingFilter),OR(TypeFilter="All",$C376=TypeFilter)),1,0)</f>
        <v/>
      </c>
    </row>
    <row r="377" ht="15" customHeight="1" s="20">
      <c r="A377" s="19" t="inlineStr">
        <is>
          <t>s1945</t>
        </is>
      </c>
      <c r="B377" s="19" t="inlineStr">
        <is>
          <t>International Movies</t>
        </is>
      </c>
      <c r="C377" s="19">
        <f>IFERROR(INDEX(tblNetflix[type],MATCH($A377,tblNetflix[show_id],0)),"")</f>
        <v/>
      </c>
      <c r="D377" s="19">
        <f>IFERROR(INDEX(tblNetflix[rating],MATCH($A377,tblNetflix[show_id],0)),"")</f>
        <v/>
      </c>
      <c r="E377" s="19">
        <f>IFERROR(INDEX(tblNetflix[year_added],MATCH($A377,tblNetflix[show_id],0)),"")</f>
        <v/>
      </c>
      <c r="F377" s="19">
        <f>IF(AND(OR(YearFilter="All",$E377=YearFilter),OR(RatingFilter="All",$D377=RatingFilter),OR(TypeFilter="All",$C377=TypeFilter)),1,0)</f>
        <v/>
      </c>
    </row>
    <row r="378" ht="15" customHeight="1" s="20">
      <c r="A378" s="19" t="inlineStr">
        <is>
          <t>s1945</t>
        </is>
      </c>
      <c r="B378" s="19" t="inlineStr">
        <is>
          <t>Romantic Movies</t>
        </is>
      </c>
      <c r="C378" s="19">
        <f>IFERROR(INDEX(tblNetflix[type],MATCH($A378,tblNetflix[show_id],0)),"")</f>
        <v/>
      </c>
      <c r="D378" s="19">
        <f>IFERROR(INDEX(tblNetflix[rating],MATCH($A378,tblNetflix[show_id],0)),"")</f>
        <v/>
      </c>
      <c r="E378" s="19">
        <f>IFERROR(INDEX(tblNetflix[year_added],MATCH($A378,tblNetflix[show_id],0)),"")</f>
        <v/>
      </c>
      <c r="F378" s="19">
        <f>IF(AND(OR(YearFilter="All",$E378=YearFilter),OR(RatingFilter="All",$D378=RatingFilter),OR(TypeFilter="All",$C378=TypeFilter)),1,0)</f>
        <v/>
      </c>
    </row>
    <row r="379" ht="15" customHeight="1" s="20">
      <c r="A379" s="19" t="inlineStr">
        <is>
          <t>s1946</t>
        </is>
      </c>
      <c r="B379" s="19" t="inlineStr">
        <is>
          <t>Dramas</t>
        </is>
      </c>
      <c r="C379" s="19">
        <f>IFERROR(INDEX(tblNetflix[type],MATCH($A379,tblNetflix[show_id],0)),"")</f>
        <v/>
      </c>
      <c r="D379" s="19">
        <f>IFERROR(INDEX(tblNetflix[rating],MATCH($A379,tblNetflix[show_id],0)),"")</f>
        <v/>
      </c>
      <c r="E379" s="19">
        <f>IFERROR(INDEX(tblNetflix[year_added],MATCH($A379,tblNetflix[show_id],0)),"")</f>
        <v/>
      </c>
      <c r="F379" s="19">
        <f>IF(AND(OR(YearFilter="All",$E379=YearFilter),OR(RatingFilter="All",$D379=RatingFilter),OR(TypeFilter="All",$C379=TypeFilter)),1,0)</f>
        <v/>
      </c>
    </row>
    <row r="380" ht="15" customHeight="1" s="20">
      <c r="A380" s="19" t="inlineStr">
        <is>
          <t>s1946</t>
        </is>
      </c>
      <c r="B380" s="19" t="inlineStr">
        <is>
          <t>International Movies</t>
        </is>
      </c>
      <c r="C380" s="19">
        <f>IFERROR(INDEX(tblNetflix[type],MATCH($A380,tblNetflix[show_id],0)),"")</f>
        <v/>
      </c>
      <c r="D380" s="19">
        <f>IFERROR(INDEX(tblNetflix[rating],MATCH($A380,tblNetflix[show_id],0)),"")</f>
        <v/>
      </c>
      <c r="E380" s="19">
        <f>IFERROR(INDEX(tblNetflix[year_added],MATCH($A380,tblNetflix[show_id],0)),"")</f>
        <v/>
      </c>
      <c r="F380" s="19">
        <f>IF(AND(OR(YearFilter="All",$E380=YearFilter),OR(RatingFilter="All",$D380=RatingFilter),OR(TypeFilter="All",$C380=TypeFilter)),1,0)</f>
        <v/>
      </c>
    </row>
    <row r="381" ht="15" customHeight="1" s="20">
      <c r="A381" s="19" t="inlineStr">
        <is>
          <t>s1946</t>
        </is>
      </c>
      <c r="B381" s="19" t="inlineStr">
        <is>
          <t>Thrillers</t>
        </is>
      </c>
      <c r="C381" s="19">
        <f>IFERROR(INDEX(tblNetflix[type],MATCH($A381,tblNetflix[show_id],0)),"")</f>
        <v/>
      </c>
      <c r="D381" s="19">
        <f>IFERROR(INDEX(tblNetflix[rating],MATCH($A381,tblNetflix[show_id],0)),"")</f>
        <v/>
      </c>
      <c r="E381" s="19">
        <f>IFERROR(INDEX(tblNetflix[year_added],MATCH($A381,tblNetflix[show_id],0)),"")</f>
        <v/>
      </c>
      <c r="F381" s="19">
        <f>IF(AND(OR(YearFilter="All",$E381=YearFilter),OR(RatingFilter="All",$D381=RatingFilter),OR(TypeFilter="All",$C381=TypeFilter)),1,0)</f>
        <v/>
      </c>
    </row>
    <row r="382" ht="15" customHeight="1" s="20">
      <c r="A382" s="19" t="inlineStr">
        <is>
          <t>s1947</t>
        </is>
      </c>
      <c r="B382" s="19" t="inlineStr">
        <is>
          <t>Comedies</t>
        </is>
      </c>
      <c r="C382" s="19">
        <f>IFERROR(INDEX(tblNetflix[type],MATCH($A382,tblNetflix[show_id],0)),"")</f>
        <v/>
      </c>
      <c r="D382" s="19">
        <f>IFERROR(INDEX(tblNetflix[rating],MATCH($A382,tblNetflix[show_id],0)),"")</f>
        <v/>
      </c>
      <c r="E382" s="19">
        <f>IFERROR(INDEX(tblNetflix[year_added],MATCH($A382,tblNetflix[show_id],0)),"")</f>
        <v/>
      </c>
      <c r="F382" s="19">
        <f>IF(AND(OR(YearFilter="All",$E382=YearFilter),OR(RatingFilter="All",$D382=RatingFilter),OR(TypeFilter="All",$C382=TypeFilter)),1,0)</f>
        <v/>
      </c>
    </row>
    <row r="383" ht="15" customHeight="1" s="20">
      <c r="A383" s="19" t="inlineStr">
        <is>
          <t>s1947</t>
        </is>
      </c>
      <c r="B383" s="19" t="inlineStr">
        <is>
          <t>International Movies</t>
        </is>
      </c>
      <c r="C383" s="19">
        <f>IFERROR(INDEX(tblNetflix[type],MATCH($A383,tblNetflix[show_id],0)),"")</f>
        <v/>
      </c>
      <c r="D383" s="19">
        <f>IFERROR(INDEX(tblNetflix[rating],MATCH($A383,tblNetflix[show_id],0)),"")</f>
        <v/>
      </c>
      <c r="E383" s="19">
        <f>IFERROR(INDEX(tblNetflix[year_added],MATCH($A383,tblNetflix[show_id],0)),"")</f>
        <v/>
      </c>
      <c r="F383" s="19">
        <f>IF(AND(OR(YearFilter="All",$E383=YearFilter),OR(RatingFilter="All",$D383=RatingFilter),OR(TypeFilter="All",$C383=TypeFilter)),1,0)</f>
        <v/>
      </c>
    </row>
    <row r="384" ht="15" customHeight="1" s="20">
      <c r="A384" s="19" t="inlineStr">
        <is>
          <t>s1947</t>
        </is>
      </c>
      <c r="B384" s="19" t="inlineStr">
        <is>
          <t>Music &amp; Musicals</t>
        </is>
      </c>
      <c r="C384" s="19">
        <f>IFERROR(INDEX(tblNetflix[type],MATCH($A384,tblNetflix[show_id],0)),"")</f>
        <v/>
      </c>
      <c r="D384" s="19">
        <f>IFERROR(INDEX(tblNetflix[rating],MATCH($A384,tblNetflix[show_id],0)),"")</f>
        <v/>
      </c>
      <c r="E384" s="19">
        <f>IFERROR(INDEX(tblNetflix[year_added],MATCH($A384,tblNetflix[show_id],0)),"")</f>
        <v/>
      </c>
      <c r="F384" s="19">
        <f>IF(AND(OR(YearFilter="All",$E384=YearFilter),OR(RatingFilter="All",$D384=RatingFilter),OR(TypeFilter="All",$C384=TypeFilter)),1,0)</f>
        <v/>
      </c>
    </row>
    <row r="385" ht="15" customHeight="1" s="20">
      <c r="A385" s="19" t="inlineStr">
        <is>
          <t>s1951</t>
        </is>
      </c>
      <c r="B385" s="19" t="inlineStr">
        <is>
          <t>Dramas</t>
        </is>
      </c>
      <c r="C385" s="19">
        <f>IFERROR(INDEX(tblNetflix[type],MATCH($A385,tblNetflix[show_id],0)),"")</f>
        <v/>
      </c>
      <c r="D385" s="19">
        <f>IFERROR(INDEX(tblNetflix[rating],MATCH($A385,tblNetflix[show_id],0)),"")</f>
        <v/>
      </c>
      <c r="E385" s="19">
        <f>IFERROR(INDEX(tblNetflix[year_added],MATCH($A385,tblNetflix[show_id],0)),"")</f>
        <v/>
      </c>
      <c r="F385" s="19">
        <f>IF(AND(OR(YearFilter="All",$E385=YearFilter),OR(RatingFilter="All",$D385=RatingFilter),OR(TypeFilter="All",$C385=TypeFilter)),1,0)</f>
        <v/>
      </c>
    </row>
    <row r="386" ht="15" customHeight="1" s="20">
      <c r="A386" s="19" t="inlineStr">
        <is>
          <t>s1951</t>
        </is>
      </c>
      <c r="B386" s="19" t="inlineStr">
        <is>
          <t>Independent Movies</t>
        </is>
      </c>
      <c r="C386" s="19">
        <f>IFERROR(INDEX(tblNetflix[type],MATCH($A386,tblNetflix[show_id],0)),"")</f>
        <v/>
      </c>
      <c r="D386" s="19">
        <f>IFERROR(INDEX(tblNetflix[rating],MATCH($A386,tblNetflix[show_id],0)),"")</f>
        <v/>
      </c>
      <c r="E386" s="19">
        <f>IFERROR(INDEX(tblNetflix[year_added],MATCH($A386,tblNetflix[show_id],0)),"")</f>
        <v/>
      </c>
      <c r="F386" s="19">
        <f>IF(AND(OR(YearFilter="All",$E386=YearFilter),OR(RatingFilter="All",$D386=RatingFilter),OR(TypeFilter="All",$C386=TypeFilter)),1,0)</f>
        <v/>
      </c>
    </row>
    <row r="387" ht="15" customHeight="1" s="20">
      <c r="A387" s="19" t="inlineStr">
        <is>
          <t>s1951</t>
        </is>
      </c>
      <c r="B387" s="19" t="inlineStr">
        <is>
          <t>International Movies</t>
        </is>
      </c>
      <c r="C387" s="19">
        <f>IFERROR(INDEX(tblNetflix[type],MATCH($A387,tblNetflix[show_id],0)),"")</f>
        <v/>
      </c>
      <c r="D387" s="19">
        <f>IFERROR(INDEX(tblNetflix[rating],MATCH($A387,tblNetflix[show_id],0)),"")</f>
        <v/>
      </c>
      <c r="E387" s="19">
        <f>IFERROR(INDEX(tblNetflix[year_added],MATCH($A387,tblNetflix[show_id],0)),"")</f>
        <v/>
      </c>
      <c r="F387" s="19">
        <f>IF(AND(OR(YearFilter="All",$E387=YearFilter),OR(RatingFilter="All",$D387=RatingFilter),OR(TypeFilter="All",$C387=TypeFilter)),1,0)</f>
        <v/>
      </c>
    </row>
    <row r="388" ht="15" customHeight="1" s="20">
      <c r="A388" s="19" t="inlineStr">
        <is>
          <t>s1958</t>
        </is>
      </c>
      <c r="B388" s="19" t="inlineStr">
        <is>
          <t>Action &amp; Adventure</t>
        </is>
      </c>
      <c r="C388" s="19">
        <f>IFERROR(INDEX(tblNetflix[type],MATCH($A388,tblNetflix[show_id],0)),"")</f>
        <v/>
      </c>
      <c r="D388" s="19">
        <f>IFERROR(INDEX(tblNetflix[rating],MATCH($A388,tblNetflix[show_id],0)),"")</f>
        <v/>
      </c>
      <c r="E388" s="19">
        <f>IFERROR(INDEX(tblNetflix[year_added],MATCH($A388,tblNetflix[show_id],0)),"")</f>
        <v/>
      </c>
      <c r="F388" s="19">
        <f>IF(AND(OR(YearFilter="All",$E388=YearFilter),OR(RatingFilter="All",$D388=RatingFilter),OR(TypeFilter="All",$C388=TypeFilter)),1,0)</f>
        <v/>
      </c>
    </row>
    <row r="389" ht="15" customHeight="1" s="20">
      <c r="A389" s="19" t="inlineStr">
        <is>
          <t>s1958</t>
        </is>
      </c>
      <c r="B389" s="19" t="inlineStr">
        <is>
          <t>Sci-Fi &amp; Fantasy</t>
        </is>
      </c>
      <c r="C389" s="19">
        <f>IFERROR(INDEX(tblNetflix[type],MATCH($A389,tblNetflix[show_id],0)),"")</f>
        <v/>
      </c>
      <c r="D389" s="19">
        <f>IFERROR(INDEX(tblNetflix[rating],MATCH($A389,tblNetflix[show_id],0)),"")</f>
        <v/>
      </c>
      <c r="E389" s="19">
        <f>IFERROR(INDEX(tblNetflix[year_added],MATCH($A389,tblNetflix[show_id],0)),"")</f>
        <v/>
      </c>
      <c r="F389" s="19">
        <f>IF(AND(OR(YearFilter="All",$E389=YearFilter),OR(RatingFilter="All",$D389=RatingFilter),OR(TypeFilter="All",$C389=TypeFilter)),1,0)</f>
        <v/>
      </c>
    </row>
    <row r="390" ht="15" customHeight="1" s="20">
      <c r="A390" s="19" t="inlineStr">
        <is>
          <t>s1958</t>
        </is>
      </c>
      <c r="B390" s="19" t="inlineStr">
        <is>
          <t>Sports Movies</t>
        </is>
      </c>
      <c r="C390" s="19">
        <f>IFERROR(INDEX(tblNetflix[type],MATCH($A390,tblNetflix[show_id],0)),"")</f>
        <v/>
      </c>
      <c r="D390" s="19">
        <f>IFERROR(INDEX(tblNetflix[rating],MATCH($A390,tblNetflix[show_id],0)),"")</f>
        <v/>
      </c>
      <c r="E390" s="19">
        <f>IFERROR(INDEX(tblNetflix[year_added],MATCH($A390,tblNetflix[show_id],0)),"")</f>
        <v/>
      </c>
      <c r="F390" s="19">
        <f>IF(AND(OR(YearFilter="All",$E390=YearFilter),OR(RatingFilter="All",$D390=RatingFilter),OR(TypeFilter="All",$C390=TypeFilter)),1,0)</f>
        <v/>
      </c>
    </row>
    <row r="391" ht="15" customHeight="1" s="20">
      <c r="A391" s="19" t="inlineStr">
        <is>
          <t>s1972</t>
        </is>
      </c>
      <c r="B391" s="19" t="inlineStr">
        <is>
          <t>Comedies</t>
        </is>
      </c>
      <c r="C391" s="19">
        <f>IFERROR(INDEX(tblNetflix[type],MATCH($A391,tblNetflix[show_id],0)),"")</f>
        <v/>
      </c>
      <c r="D391" s="19">
        <f>IFERROR(INDEX(tblNetflix[rating],MATCH($A391,tblNetflix[show_id],0)),"")</f>
        <v/>
      </c>
      <c r="E391" s="19">
        <f>IFERROR(INDEX(tblNetflix[year_added],MATCH($A391,tblNetflix[show_id],0)),"")</f>
        <v/>
      </c>
      <c r="F391" s="19">
        <f>IF(AND(OR(YearFilter="All",$E391=YearFilter),OR(RatingFilter="All",$D391=RatingFilter),OR(TypeFilter="All",$C391=TypeFilter)),1,0)</f>
        <v/>
      </c>
    </row>
    <row r="392" ht="15" customHeight="1" s="20">
      <c r="A392" s="19" t="inlineStr">
        <is>
          <t>s1972</t>
        </is>
      </c>
      <c r="B392" s="19" t="inlineStr">
        <is>
          <t>International Movies</t>
        </is>
      </c>
      <c r="C392" s="19">
        <f>IFERROR(INDEX(tblNetflix[type],MATCH($A392,tblNetflix[show_id],0)),"")</f>
        <v/>
      </c>
      <c r="D392" s="19">
        <f>IFERROR(INDEX(tblNetflix[rating],MATCH($A392,tblNetflix[show_id],0)),"")</f>
        <v/>
      </c>
      <c r="E392" s="19">
        <f>IFERROR(INDEX(tblNetflix[year_added],MATCH($A392,tblNetflix[show_id],0)),"")</f>
        <v/>
      </c>
      <c r="F392" s="19">
        <f>IF(AND(OR(YearFilter="All",$E392=YearFilter),OR(RatingFilter="All",$D392=RatingFilter),OR(TypeFilter="All",$C392=TypeFilter)),1,0)</f>
        <v/>
      </c>
    </row>
    <row r="393" ht="15" customHeight="1" s="20">
      <c r="A393" s="19" t="inlineStr">
        <is>
          <t>s1973</t>
        </is>
      </c>
      <c r="B393" s="19" t="inlineStr">
        <is>
          <t>Action &amp; Adventure</t>
        </is>
      </c>
      <c r="C393" s="19">
        <f>IFERROR(INDEX(tblNetflix[type],MATCH($A393,tblNetflix[show_id],0)),"")</f>
        <v/>
      </c>
      <c r="D393" s="19">
        <f>IFERROR(INDEX(tblNetflix[rating],MATCH($A393,tblNetflix[show_id],0)),"")</f>
        <v/>
      </c>
      <c r="E393" s="19">
        <f>IFERROR(INDEX(tblNetflix[year_added],MATCH($A393,tblNetflix[show_id],0)),"")</f>
        <v/>
      </c>
      <c r="F393" s="19">
        <f>IF(AND(OR(YearFilter="All",$E393=YearFilter),OR(RatingFilter="All",$D393=RatingFilter),OR(TypeFilter="All",$C393=TypeFilter)),1,0)</f>
        <v/>
      </c>
    </row>
    <row r="394" ht="15" customHeight="1" s="20">
      <c r="A394" s="19" t="inlineStr">
        <is>
          <t>s1973</t>
        </is>
      </c>
      <c r="B394" s="19" t="inlineStr">
        <is>
          <t>International Movies</t>
        </is>
      </c>
      <c r="C394" s="19">
        <f>IFERROR(INDEX(tblNetflix[type],MATCH($A394,tblNetflix[show_id],0)),"")</f>
        <v/>
      </c>
      <c r="D394" s="19">
        <f>IFERROR(INDEX(tblNetflix[rating],MATCH($A394,tblNetflix[show_id],0)),"")</f>
        <v/>
      </c>
      <c r="E394" s="19">
        <f>IFERROR(INDEX(tblNetflix[year_added],MATCH($A394,tblNetflix[show_id],0)),"")</f>
        <v/>
      </c>
      <c r="F394" s="19">
        <f>IF(AND(OR(YearFilter="All",$E394=YearFilter),OR(RatingFilter="All",$D394=RatingFilter),OR(TypeFilter="All",$C394=TypeFilter)),1,0)</f>
        <v/>
      </c>
    </row>
    <row r="395" ht="15" customHeight="1" s="20">
      <c r="A395" s="19" t="inlineStr">
        <is>
          <t>s1975</t>
        </is>
      </c>
      <c r="B395" s="19" t="inlineStr">
        <is>
          <t>Dramas</t>
        </is>
      </c>
      <c r="C395" s="19">
        <f>IFERROR(INDEX(tblNetflix[type],MATCH($A395,tblNetflix[show_id],0)),"")</f>
        <v/>
      </c>
      <c r="D395" s="19">
        <f>IFERROR(INDEX(tblNetflix[rating],MATCH($A395,tblNetflix[show_id],0)),"")</f>
        <v/>
      </c>
      <c r="E395" s="19">
        <f>IFERROR(INDEX(tblNetflix[year_added],MATCH($A395,tblNetflix[show_id],0)),"")</f>
        <v/>
      </c>
      <c r="F395" s="19">
        <f>IF(AND(OR(YearFilter="All",$E395=YearFilter),OR(RatingFilter="All",$D395=RatingFilter),OR(TypeFilter="All",$C395=TypeFilter)),1,0)</f>
        <v/>
      </c>
    </row>
    <row r="396" ht="15" customHeight="1" s="20">
      <c r="A396" s="19" t="inlineStr">
        <is>
          <t>s1975</t>
        </is>
      </c>
      <c r="B396" s="19" t="inlineStr">
        <is>
          <t>International Movies</t>
        </is>
      </c>
      <c r="C396" s="19">
        <f>IFERROR(INDEX(tblNetflix[type],MATCH($A396,tblNetflix[show_id],0)),"")</f>
        <v/>
      </c>
      <c r="D396" s="19">
        <f>IFERROR(INDEX(tblNetflix[rating],MATCH($A396,tblNetflix[show_id],0)),"")</f>
        <v/>
      </c>
      <c r="E396" s="19">
        <f>IFERROR(INDEX(tblNetflix[year_added],MATCH($A396,tblNetflix[show_id],0)),"")</f>
        <v/>
      </c>
      <c r="F396" s="19">
        <f>IF(AND(OR(YearFilter="All",$E396=YearFilter),OR(RatingFilter="All",$D396=RatingFilter),OR(TypeFilter="All",$C396=TypeFilter)),1,0)</f>
        <v/>
      </c>
    </row>
    <row r="397" ht="15" customHeight="1" s="20">
      <c r="A397" s="19" t="inlineStr">
        <is>
          <t>s1975</t>
        </is>
      </c>
      <c r="B397" s="19" t="inlineStr">
        <is>
          <t>Romantic Movies</t>
        </is>
      </c>
      <c r="C397" s="19">
        <f>IFERROR(INDEX(tblNetflix[type],MATCH($A397,tblNetflix[show_id],0)),"")</f>
        <v/>
      </c>
      <c r="D397" s="19">
        <f>IFERROR(INDEX(tblNetflix[rating],MATCH($A397,tblNetflix[show_id],0)),"")</f>
        <v/>
      </c>
      <c r="E397" s="19">
        <f>IFERROR(INDEX(tblNetflix[year_added],MATCH($A397,tblNetflix[show_id],0)),"")</f>
        <v/>
      </c>
      <c r="F397" s="19">
        <f>IF(AND(OR(YearFilter="All",$E397=YearFilter),OR(RatingFilter="All",$D397=RatingFilter),OR(TypeFilter="All",$C397=TypeFilter)),1,0)</f>
        <v/>
      </c>
    </row>
    <row r="398" ht="15" customHeight="1" s="20">
      <c r="A398" s="19" t="inlineStr">
        <is>
          <t>s1976</t>
        </is>
      </c>
      <c r="B398" s="19" t="inlineStr">
        <is>
          <t>Comedies</t>
        </is>
      </c>
      <c r="C398" s="19">
        <f>IFERROR(INDEX(tblNetflix[type],MATCH($A398,tblNetflix[show_id],0)),"")</f>
        <v/>
      </c>
      <c r="D398" s="19">
        <f>IFERROR(INDEX(tblNetflix[rating],MATCH($A398,tblNetflix[show_id],0)),"")</f>
        <v/>
      </c>
      <c r="E398" s="19">
        <f>IFERROR(INDEX(tblNetflix[year_added],MATCH($A398,tblNetflix[show_id],0)),"")</f>
        <v/>
      </c>
      <c r="F398" s="19">
        <f>IF(AND(OR(YearFilter="All",$E398=YearFilter),OR(RatingFilter="All",$D398=RatingFilter),OR(TypeFilter="All",$C398=TypeFilter)),1,0)</f>
        <v/>
      </c>
    </row>
    <row r="399" ht="15" customHeight="1" s="20">
      <c r="A399" s="19" t="inlineStr">
        <is>
          <t>s1976</t>
        </is>
      </c>
      <c r="B399" s="19" t="inlineStr">
        <is>
          <t>International Movies</t>
        </is>
      </c>
      <c r="C399" s="19">
        <f>IFERROR(INDEX(tblNetflix[type],MATCH($A399,tblNetflix[show_id],0)),"")</f>
        <v/>
      </c>
      <c r="D399" s="19">
        <f>IFERROR(INDEX(tblNetflix[rating],MATCH($A399,tblNetflix[show_id],0)),"")</f>
        <v/>
      </c>
      <c r="E399" s="19">
        <f>IFERROR(INDEX(tblNetflix[year_added],MATCH($A399,tblNetflix[show_id],0)),"")</f>
        <v/>
      </c>
      <c r="F399" s="19">
        <f>IF(AND(OR(YearFilter="All",$E399=YearFilter),OR(RatingFilter="All",$D399=RatingFilter),OR(TypeFilter="All",$C399=TypeFilter)),1,0)</f>
        <v/>
      </c>
    </row>
    <row r="400" ht="15" customHeight="1" s="20">
      <c r="A400" s="19" t="inlineStr">
        <is>
          <t>s1977</t>
        </is>
      </c>
      <c r="B400" s="19" t="inlineStr">
        <is>
          <t>Dramas</t>
        </is>
      </c>
      <c r="C400" s="19">
        <f>IFERROR(INDEX(tblNetflix[type],MATCH($A400,tblNetflix[show_id],0)),"")</f>
        <v/>
      </c>
      <c r="D400" s="19">
        <f>IFERROR(INDEX(tblNetflix[rating],MATCH($A400,tblNetflix[show_id],0)),"")</f>
        <v/>
      </c>
      <c r="E400" s="19">
        <f>IFERROR(INDEX(tblNetflix[year_added],MATCH($A400,tblNetflix[show_id],0)),"")</f>
        <v/>
      </c>
      <c r="F400" s="19">
        <f>IF(AND(OR(YearFilter="All",$E400=YearFilter),OR(RatingFilter="All",$D400=RatingFilter),OR(TypeFilter="All",$C400=TypeFilter)),1,0)</f>
        <v/>
      </c>
    </row>
    <row r="401" ht="15" customHeight="1" s="20">
      <c r="A401" s="19" t="inlineStr">
        <is>
          <t>s1977</t>
        </is>
      </c>
      <c r="B401" s="19" t="inlineStr">
        <is>
          <t>International Movies</t>
        </is>
      </c>
      <c r="C401" s="19">
        <f>IFERROR(INDEX(tblNetflix[type],MATCH($A401,tblNetflix[show_id],0)),"")</f>
        <v/>
      </c>
      <c r="D401" s="19">
        <f>IFERROR(INDEX(tblNetflix[rating],MATCH($A401,tblNetflix[show_id],0)),"")</f>
        <v/>
      </c>
      <c r="E401" s="19">
        <f>IFERROR(INDEX(tblNetflix[year_added],MATCH($A401,tblNetflix[show_id],0)),"")</f>
        <v/>
      </c>
      <c r="F401" s="19">
        <f>IF(AND(OR(YearFilter="All",$E401=YearFilter),OR(RatingFilter="All",$D401=RatingFilter),OR(TypeFilter="All",$C401=TypeFilter)),1,0)</f>
        <v/>
      </c>
    </row>
    <row r="402" ht="15" customHeight="1" s="20">
      <c r="A402" s="19" t="inlineStr">
        <is>
          <t>s1977</t>
        </is>
      </c>
      <c r="B402" s="19" t="inlineStr">
        <is>
          <t>Thrillers</t>
        </is>
      </c>
      <c r="C402" s="19">
        <f>IFERROR(INDEX(tblNetflix[type],MATCH($A402,tblNetflix[show_id],0)),"")</f>
        <v/>
      </c>
      <c r="D402" s="19">
        <f>IFERROR(INDEX(tblNetflix[rating],MATCH($A402,tblNetflix[show_id],0)),"")</f>
        <v/>
      </c>
      <c r="E402" s="19">
        <f>IFERROR(INDEX(tblNetflix[year_added],MATCH($A402,tblNetflix[show_id],0)),"")</f>
        <v/>
      </c>
      <c r="F402" s="19">
        <f>IF(AND(OR(YearFilter="All",$E402=YearFilter),OR(RatingFilter="All",$D402=RatingFilter),OR(TypeFilter="All",$C402=TypeFilter)),1,0)</f>
        <v/>
      </c>
    </row>
    <row r="403" ht="15" customHeight="1" s="20">
      <c r="A403" s="19" t="inlineStr">
        <is>
          <t>s1978</t>
        </is>
      </c>
      <c r="B403" s="19" t="inlineStr">
        <is>
          <t>Dramas</t>
        </is>
      </c>
      <c r="C403" s="19">
        <f>IFERROR(INDEX(tblNetflix[type],MATCH($A403,tblNetflix[show_id],0)),"")</f>
        <v/>
      </c>
      <c r="D403" s="19">
        <f>IFERROR(INDEX(tblNetflix[rating],MATCH($A403,tblNetflix[show_id],0)),"")</f>
        <v/>
      </c>
      <c r="E403" s="19">
        <f>IFERROR(INDEX(tblNetflix[year_added],MATCH($A403,tblNetflix[show_id],0)),"")</f>
        <v/>
      </c>
      <c r="F403" s="19">
        <f>IF(AND(OR(YearFilter="All",$E403=YearFilter),OR(RatingFilter="All",$D403=RatingFilter),OR(TypeFilter="All",$C403=TypeFilter)),1,0)</f>
        <v/>
      </c>
    </row>
    <row r="404" ht="15" customHeight="1" s="20">
      <c r="A404" s="19" t="inlineStr">
        <is>
          <t>s1978</t>
        </is>
      </c>
      <c r="B404" s="19" t="inlineStr">
        <is>
          <t>Independent Movies</t>
        </is>
      </c>
      <c r="C404" s="19">
        <f>IFERROR(INDEX(tblNetflix[type],MATCH($A404,tblNetflix[show_id],0)),"")</f>
        <v/>
      </c>
      <c r="D404" s="19">
        <f>IFERROR(INDEX(tblNetflix[rating],MATCH($A404,tblNetflix[show_id],0)),"")</f>
        <v/>
      </c>
      <c r="E404" s="19">
        <f>IFERROR(INDEX(tblNetflix[year_added],MATCH($A404,tblNetflix[show_id],0)),"")</f>
        <v/>
      </c>
      <c r="F404" s="19">
        <f>IF(AND(OR(YearFilter="All",$E404=YearFilter),OR(RatingFilter="All",$D404=RatingFilter),OR(TypeFilter="All",$C404=TypeFilter)),1,0)</f>
        <v/>
      </c>
    </row>
    <row r="405" ht="15" customHeight="1" s="20">
      <c r="A405" s="19" t="inlineStr">
        <is>
          <t>s1978</t>
        </is>
      </c>
      <c r="B405" s="19" t="inlineStr">
        <is>
          <t>International Movies</t>
        </is>
      </c>
      <c r="C405" s="19">
        <f>IFERROR(INDEX(tblNetflix[type],MATCH($A405,tblNetflix[show_id],0)),"")</f>
        <v/>
      </c>
      <c r="D405" s="19">
        <f>IFERROR(INDEX(tblNetflix[rating],MATCH($A405,tblNetflix[show_id],0)),"")</f>
        <v/>
      </c>
      <c r="E405" s="19">
        <f>IFERROR(INDEX(tblNetflix[year_added],MATCH($A405,tblNetflix[show_id],0)),"")</f>
        <v/>
      </c>
      <c r="F405" s="19">
        <f>IF(AND(OR(YearFilter="All",$E405=YearFilter),OR(RatingFilter="All",$D405=RatingFilter),OR(TypeFilter="All",$C405=TypeFilter)),1,0)</f>
        <v/>
      </c>
    </row>
    <row r="406" ht="15" customHeight="1" s="20">
      <c r="A406" s="19" t="inlineStr">
        <is>
          <t>s1983</t>
        </is>
      </c>
      <c r="B406" s="19" t="inlineStr">
        <is>
          <t>International Movies</t>
        </is>
      </c>
      <c r="C406" s="19">
        <f>IFERROR(INDEX(tblNetflix[type],MATCH($A406,tblNetflix[show_id],0)),"")</f>
        <v/>
      </c>
      <c r="D406" s="19">
        <f>IFERROR(INDEX(tblNetflix[rating],MATCH($A406,tblNetflix[show_id],0)),"")</f>
        <v/>
      </c>
      <c r="E406" s="19">
        <f>IFERROR(INDEX(tblNetflix[year_added],MATCH($A406,tblNetflix[show_id],0)),"")</f>
        <v/>
      </c>
      <c r="F406" s="19">
        <f>IF(AND(OR(YearFilter="All",$E406=YearFilter),OR(RatingFilter="All",$D406=RatingFilter),OR(TypeFilter="All",$C406=TypeFilter)),1,0)</f>
        <v/>
      </c>
    </row>
    <row r="407" ht="15" customHeight="1" s="20">
      <c r="A407" s="19" t="inlineStr">
        <is>
          <t>s1983</t>
        </is>
      </c>
      <c r="B407" s="19" t="inlineStr">
        <is>
          <t>Thrillers</t>
        </is>
      </c>
      <c r="C407" s="19">
        <f>IFERROR(INDEX(tblNetflix[type],MATCH($A407,tblNetflix[show_id],0)),"")</f>
        <v/>
      </c>
      <c r="D407" s="19">
        <f>IFERROR(INDEX(tblNetflix[rating],MATCH($A407,tblNetflix[show_id],0)),"")</f>
        <v/>
      </c>
      <c r="E407" s="19">
        <f>IFERROR(INDEX(tblNetflix[year_added],MATCH($A407,tblNetflix[show_id],0)),"")</f>
        <v/>
      </c>
      <c r="F407" s="19">
        <f>IF(AND(OR(YearFilter="All",$E407=YearFilter),OR(RatingFilter="All",$D407=RatingFilter),OR(TypeFilter="All",$C407=TypeFilter)),1,0)</f>
        <v/>
      </c>
    </row>
    <row r="408" ht="15" customHeight="1" s="20">
      <c r="A408" s="19" t="inlineStr">
        <is>
          <t>s2016</t>
        </is>
      </c>
      <c r="B408" s="19" t="inlineStr">
        <is>
          <t>Dramas</t>
        </is>
      </c>
      <c r="C408" s="19">
        <f>IFERROR(INDEX(tblNetflix[type],MATCH($A408,tblNetflix[show_id],0)),"")</f>
        <v/>
      </c>
      <c r="D408" s="19">
        <f>IFERROR(INDEX(tblNetflix[rating],MATCH($A408,tblNetflix[show_id],0)),"")</f>
        <v/>
      </c>
      <c r="E408" s="19">
        <f>IFERROR(INDEX(tblNetflix[year_added],MATCH($A408,tblNetflix[show_id],0)),"")</f>
        <v/>
      </c>
      <c r="F408" s="19">
        <f>IF(AND(OR(YearFilter="All",$E408=YearFilter),OR(RatingFilter="All",$D408=RatingFilter),OR(TypeFilter="All",$C408=TypeFilter)),1,0)</f>
        <v/>
      </c>
    </row>
    <row r="409" ht="15" customHeight="1" s="20">
      <c r="A409" s="19" t="inlineStr">
        <is>
          <t>s2016</t>
        </is>
      </c>
      <c r="B409" s="19" t="inlineStr">
        <is>
          <t>International Movies</t>
        </is>
      </c>
      <c r="C409" s="19">
        <f>IFERROR(INDEX(tblNetflix[type],MATCH($A409,tblNetflix[show_id],0)),"")</f>
        <v/>
      </c>
      <c r="D409" s="19">
        <f>IFERROR(INDEX(tblNetflix[rating],MATCH($A409,tblNetflix[show_id],0)),"")</f>
        <v/>
      </c>
      <c r="E409" s="19">
        <f>IFERROR(INDEX(tblNetflix[year_added],MATCH($A409,tblNetflix[show_id],0)),"")</f>
        <v/>
      </c>
      <c r="F409" s="19">
        <f>IF(AND(OR(YearFilter="All",$E409=YearFilter),OR(RatingFilter="All",$D409=RatingFilter),OR(TypeFilter="All",$C409=TypeFilter)),1,0)</f>
        <v/>
      </c>
    </row>
    <row r="410" ht="15" customHeight="1" s="20">
      <c r="A410" s="19" t="inlineStr">
        <is>
          <t>s2016</t>
        </is>
      </c>
      <c r="B410" s="19" t="inlineStr">
        <is>
          <t>Thrillers</t>
        </is>
      </c>
      <c r="C410" s="19">
        <f>IFERROR(INDEX(tblNetflix[type],MATCH($A410,tblNetflix[show_id],0)),"")</f>
        <v/>
      </c>
      <c r="D410" s="19">
        <f>IFERROR(INDEX(tblNetflix[rating],MATCH($A410,tblNetflix[show_id],0)),"")</f>
        <v/>
      </c>
      <c r="E410" s="19">
        <f>IFERROR(INDEX(tblNetflix[year_added],MATCH($A410,tblNetflix[show_id],0)),"")</f>
        <v/>
      </c>
      <c r="F410" s="19">
        <f>IF(AND(OR(YearFilter="All",$E410=YearFilter),OR(RatingFilter="All",$D410=RatingFilter),OR(TypeFilter="All",$C410=TypeFilter)),1,0)</f>
        <v/>
      </c>
    </row>
    <row r="411" ht="15" customHeight="1" s="20">
      <c r="A411" s="19" t="inlineStr">
        <is>
          <t>s2017</t>
        </is>
      </c>
      <c r="B411" s="19" t="inlineStr">
        <is>
          <t>Dramas</t>
        </is>
      </c>
      <c r="C411" s="19">
        <f>IFERROR(INDEX(tblNetflix[type],MATCH($A411,tblNetflix[show_id],0)),"")</f>
        <v/>
      </c>
      <c r="D411" s="19">
        <f>IFERROR(INDEX(tblNetflix[rating],MATCH($A411,tblNetflix[show_id],0)),"")</f>
        <v/>
      </c>
      <c r="E411" s="19">
        <f>IFERROR(INDEX(tblNetflix[year_added],MATCH($A411,tblNetflix[show_id],0)),"")</f>
        <v/>
      </c>
      <c r="F411" s="19">
        <f>IF(AND(OR(YearFilter="All",$E411=YearFilter),OR(RatingFilter="All",$D411=RatingFilter),OR(TypeFilter="All",$C411=TypeFilter)),1,0)</f>
        <v/>
      </c>
    </row>
    <row r="412" ht="15" customHeight="1" s="20">
      <c r="A412" s="19" t="inlineStr">
        <is>
          <t>s2017</t>
        </is>
      </c>
      <c r="B412" s="19" t="inlineStr">
        <is>
          <t>International Movies</t>
        </is>
      </c>
      <c r="C412" s="19">
        <f>IFERROR(INDEX(tblNetflix[type],MATCH($A412,tblNetflix[show_id],0)),"")</f>
        <v/>
      </c>
      <c r="D412" s="19">
        <f>IFERROR(INDEX(tblNetflix[rating],MATCH($A412,tblNetflix[show_id],0)),"")</f>
        <v/>
      </c>
      <c r="E412" s="19">
        <f>IFERROR(INDEX(tblNetflix[year_added],MATCH($A412,tblNetflix[show_id],0)),"")</f>
        <v/>
      </c>
      <c r="F412" s="19">
        <f>IF(AND(OR(YearFilter="All",$E412=YearFilter),OR(RatingFilter="All",$D412=RatingFilter),OR(TypeFilter="All",$C412=TypeFilter)),1,0)</f>
        <v/>
      </c>
    </row>
    <row r="413" ht="15" customHeight="1" s="20">
      <c r="A413" s="19" t="inlineStr">
        <is>
          <t>s2018</t>
        </is>
      </c>
      <c r="B413" s="19" t="inlineStr">
        <is>
          <t>Dramas</t>
        </is>
      </c>
      <c r="C413" s="19">
        <f>IFERROR(INDEX(tblNetflix[type],MATCH($A413,tblNetflix[show_id],0)),"")</f>
        <v/>
      </c>
      <c r="D413" s="19">
        <f>IFERROR(INDEX(tblNetflix[rating],MATCH($A413,tblNetflix[show_id],0)),"")</f>
        <v/>
      </c>
      <c r="E413" s="19">
        <f>IFERROR(INDEX(tblNetflix[year_added],MATCH($A413,tblNetflix[show_id],0)),"")</f>
        <v/>
      </c>
      <c r="F413" s="19">
        <f>IF(AND(OR(YearFilter="All",$E413=YearFilter),OR(RatingFilter="All",$D413=RatingFilter),OR(TypeFilter="All",$C413=TypeFilter)),1,0)</f>
        <v/>
      </c>
    </row>
    <row r="414" ht="15" customHeight="1" s="20">
      <c r="A414" s="19" t="inlineStr">
        <is>
          <t>s2018</t>
        </is>
      </c>
      <c r="B414" s="19" t="inlineStr">
        <is>
          <t>International Movies</t>
        </is>
      </c>
      <c r="C414" s="19">
        <f>IFERROR(INDEX(tblNetflix[type],MATCH($A414,tblNetflix[show_id],0)),"")</f>
        <v/>
      </c>
      <c r="D414" s="19">
        <f>IFERROR(INDEX(tblNetflix[rating],MATCH($A414,tblNetflix[show_id],0)),"")</f>
        <v/>
      </c>
      <c r="E414" s="19">
        <f>IFERROR(INDEX(tblNetflix[year_added],MATCH($A414,tblNetflix[show_id],0)),"")</f>
        <v/>
      </c>
      <c r="F414" s="19">
        <f>IF(AND(OR(YearFilter="All",$E414=YearFilter),OR(RatingFilter="All",$D414=RatingFilter),OR(TypeFilter="All",$C414=TypeFilter)),1,0)</f>
        <v/>
      </c>
    </row>
    <row r="415" ht="15" customHeight="1" s="20">
      <c r="A415" s="19" t="inlineStr">
        <is>
          <t>s2019</t>
        </is>
      </c>
      <c r="B415" s="19" t="inlineStr">
        <is>
          <t>Dramas</t>
        </is>
      </c>
      <c r="C415" s="19">
        <f>IFERROR(INDEX(tblNetflix[type],MATCH($A415,tblNetflix[show_id],0)),"")</f>
        <v/>
      </c>
      <c r="D415" s="19">
        <f>IFERROR(INDEX(tblNetflix[rating],MATCH($A415,tblNetflix[show_id],0)),"")</f>
        <v/>
      </c>
      <c r="E415" s="19">
        <f>IFERROR(INDEX(tblNetflix[year_added],MATCH($A415,tblNetflix[show_id],0)),"")</f>
        <v/>
      </c>
      <c r="F415" s="19">
        <f>IF(AND(OR(YearFilter="All",$E415=YearFilter),OR(RatingFilter="All",$D415=RatingFilter),OR(TypeFilter="All",$C415=TypeFilter)),1,0)</f>
        <v/>
      </c>
    </row>
    <row r="416" ht="15" customHeight="1" s="20">
      <c r="A416" s="19" t="inlineStr">
        <is>
          <t>s2019</t>
        </is>
      </c>
      <c r="B416" s="19" t="inlineStr">
        <is>
          <t>International Movies</t>
        </is>
      </c>
      <c r="C416" s="19">
        <f>IFERROR(INDEX(tblNetflix[type],MATCH($A416,tblNetflix[show_id],0)),"")</f>
        <v/>
      </c>
      <c r="D416" s="19">
        <f>IFERROR(INDEX(tblNetflix[rating],MATCH($A416,tblNetflix[show_id],0)),"")</f>
        <v/>
      </c>
      <c r="E416" s="19">
        <f>IFERROR(INDEX(tblNetflix[year_added],MATCH($A416,tblNetflix[show_id],0)),"")</f>
        <v/>
      </c>
      <c r="F416" s="19">
        <f>IF(AND(OR(YearFilter="All",$E416=YearFilter),OR(RatingFilter="All",$D416=RatingFilter),OR(TypeFilter="All",$C416=TypeFilter)),1,0)</f>
        <v/>
      </c>
    </row>
    <row r="417" ht="15" customHeight="1" s="20">
      <c r="A417" s="19" t="inlineStr">
        <is>
          <t>s2020</t>
        </is>
      </c>
      <c r="B417" s="19" t="inlineStr">
        <is>
          <t>Comedies</t>
        </is>
      </c>
      <c r="C417" s="19">
        <f>IFERROR(INDEX(tblNetflix[type],MATCH($A417,tblNetflix[show_id],0)),"")</f>
        <v/>
      </c>
      <c r="D417" s="19">
        <f>IFERROR(INDEX(tblNetflix[rating],MATCH($A417,tblNetflix[show_id],0)),"")</f>
        <v/>
      </c>
      <c r="E417" s="19">
        <f>IFERROR(INDEX(tblNetflix[year_added],MATCH($A417,tblNetflix[show_id],0)),"")</f>
        <v/>
      </c>
      <c r="F417" s="19">
        <f>IF(AND(OR(YearFilter="All",$E417=YearFilter),OR(RatingFilter="All",$D417=RatingFilter),OR(TypeFilter="All",$C417=TypeFilter)),1,0)</f>
        <v/>
      </c>
    </row>
    <row r="418" ht="15" customHeight="1" s="20">
      <c r="A418" s="19" t="inlineStr">
        <is>
          <t>s2020</t>
        </is>
      </c>
      <c r="B418" s="19" t="inlineStr">
        <is>
          <t>Dramas</t>
        </is>
      </c>
      <c r="C418" s="19">
        <f>IFERROR(INDEX(tblNetflix[type],MATCH($A418,tblNetflix[show_id],0)),"")</f>
        <v/>
      </c>
      <c r="D418" s="19">
        <f>IFERROR(INDEX(tblNetflix[rating],MATCH($A418,tblNetflix[show_id],0)),"")</f>
        <v/>
      </c>
      <c r="E418" s="19">
        <f>IFERROR(INDEX(tblNetflix[year_added],MATCH($A418,tblNetflix[show_id],0)),"")</f>
        <v/>
      </c>
      <c r="F418" s="19">
        <f>IF(AND(OR(YearFilter="All",$E418=YearFilter),OR(RatingFilter="All",$D418=RatingFilter),OR(TypeFilter="All",$C418=TypeFilter)),1,0)</f>
        <v/>
      </c>
    </row>
    <row r="419" ht="15" customHeight="1" s="20">
      <c r="A419" s="19" t="inlineStr">
        <is>
          <t>s2020</t>
        </is>
      </c>
      <c r="B419" s="19" t="inlineStr">
        <is>
          <t>International Movies</t>
        </is>
      </c>
      <c r="C419" s="19">
        <f>IFERROR(INDEX(tblNetflix[type],MATCH($A419,tblNetflix[show_id],0)),"")</f>
        <v/>
      </c>
      <c r="D419" s="19">
        <f>IFERROR(INDEX(tblNetflix[rating],MATCH($A419,tblNetflix[show_id],0)),"")</f>
        <v/>
      </c>
      <c r="E419" s="19">
        <f>IFERROR(INDEX(tblNetflix[year_added],MATCH($A419,tblNetflix[show_id],0)),"")</f>
        <v/>
      </c>
      <c r="F419" s="19">
        <f>IF(AND(OR(YearFilter="All",$E419=YearFilter),OR(RatingFilter="All",$D419=RatingFilter),OR(TypeFilter="All",$C419=TypeFilter)),1,0)</f>
        <v/>
      </c>
    </row>
    <row r="420" ht="15" customHeight="1" s="20">
      <c r="A420" s="19" t="inlineStr">
        <is>
          <t>s2021</t>
        </is>
      </c>
      <c r="B420" s="19" t="inlineStr">
        <is>
          <t>Children &amp; Family Movies</t>
        </is>
      </c>
      <c r="C420" s="19">
        <f>IFERROR(INDEX(tblNetflix[type],MATCH($A420,tblNetflix[show_id],0)),"")</f>
        <v/>
      </c>
      <c r="D420" s="19">
        <f>IFERROR(INDEX(tblNetflix[rating],MATCH($A420,tblNetflix[show_id],0)),"")</f>
        <v/>
      </c>
      <c r="E420" s="19">
        <f>IFERROR(INDEX(tblNetflix[year_added],MATCH($A420,tblNetflix[show_id],0)),"")</f>
        <v/>
      </c>
      <c r="F420" s="19">
        <f>IF(AND(OR(YearFilter="All",$E420=YearFilter),OR(RatingFilter="All",$D420=RatingFilter),OR(TypeFilter="All",$C420=TypeFilter)),1,0)</f>
        <v/>
      </c>
    </row>
    <row r="421" ht="15" customHeight="1" s="20">
      <c r="A421" s="19" t="inlineStr">
        <is>
          <t>s2021</t>
        </is>
      </c>
      <c r="B421" s="19" t="inlineStr">
        <is>
          <t>Dramas</t>
        </is>
      </c>
      <c r="C421" s="19">
        <f>IFERROR(INDEX(tblNetflix[type],MATCH($A421,tblNetflix[show_id],0)),"")</f>
        <v/>
      </c>
      <c r="D421" s="19">
        <f>IFERROR(INDEX(tblNetflix[rating],MATCH($A421,tblNetflix[show_id],0)),"")</f>
        <v/>
      </c>
      <c r="E421" s="19">
        <f>IFERROR(INDEX(tblNetflix[year_added],MATCH($A421,tblNetflix[show_id],0)),"")</f>
        <v/>
      </c>
      <c r="F421" s="19">
        <f>IF(AND(OR(YearFilter="All",$E421=YearFilter),OR(RatingFilter="All",$D421=RatingFilter),OR(TypeFilter="All",$C421=TypeFilter)),1,0)</f>
        <v/>
      </c>
    </row>
    <row r="422" ht="15" customHeight="1" s="20">
      <c r="A422" s="19" t="inlineStr">
        <is>
          <t>s2021</t>
        </is>
      </c>
      <c r="B422" s="19" t="inlineStr">
        <is>
          <t>International Movies</t>
        </is>
      </c>
      <c r="C422" s="19">
        <f>IFERROR(INDEX(tblNetflix[type],MATCH($A422,tblNetflix[show_id],0)),"")</f>
        <v/>
      </c>
      <c r="D422" s="19">
        <f>IFERROR(INDEX(tblNetflix[rating],MATCH($A422,tblNetflix[show_id],0)),"")</f>
        <v/>
      </c>
      <c r="E422" s="19">
        <f>IFERROR(INDEX(tblNetflix[year_added],MATCH($A422,tblNetflix[show_id],0)),"")</f>
        <v/>
      </c>
      <c r="F422" s="19">
        <f>IF(AND(OR(YearFilter="All",$E422=YearFilter),OR(RatingFilter="All",$D422=RatingFilter),OR(TypeFilter="All",$C422=TypeFilter)),1,0)</f>
        <v/>
      </c>
    </row>
    <row r="423" ht="15" customHeight="1" s="20">
      <c r="A423" s="19" t="inlineStr">
        <is>
          <t>s2024</t>
        </is>
      </c>
      <c r="B423" s="19" t="inlineStr">
        <is>
          <t>Dramas</t>
        </is>
      </c>
      <c r="C423" s="19">
        <f>IFERROR(INDEX(tblNetflix[type],MATCH($A423,tblNetflix[show_id],0)),"")</f>
        <v/>
      </c>
      <c r="D423" s="19">
        <f>IFERROR(INDEX(tblNetflix[rating],MATCH($A423,tblNetflix[show_id],0)),"")</f>
        <v/>
      </c>
      <c r="E423" s="19">
        <f>IFERROR(INDEX(tblNetflix[year_added],MATCH($A423,tblNetflix[show_id],0)),"")</f>
        <v/>
      </c>
      <c r="F423" s="19">
        <f>IF(AND(OR(YearFilter="All",$E423=YearFilter),OR(RatingFilter="All",$D423=RatingFilter),OR(TypeFilter="All",$C423=TypeFilter)),1,0)</f>
        <v/>
      </c>
    </row>
    <row r="424" ht="15" customHeight="1" s="20">
      <c r="A424" s="19" t="inlineStr">
        <is>
          <t>s2024</t>
        </is>
      </c>
      <c r="B424" s="19" t="inlineStr">
        <is>
          <t>International Movies</t>
        </is>
      </c>
      <c r="C424" s="19">
        <f>IFERROR(INDEX(tblNetflix[type],MATCH($A424,tblNetflix[show_id],0)),"")</f>
        <v/>
      </c>
      <c r="D424" s="19">
        <f>IFERROR(INDEX(tblNetflix[rating],MATCH($A424,tblNetflix[show_id],0)),"")</f>
        <v/>
      </c>
      <c r="E424" s="19">
        <f>IFERROR(INDEX(tblNetflix[year_added],MATCH($A424,tblNetflix[show_id],0)),"")</f>
        <v/>
      </c>
      <c r="F424" s="19">
        <f>IF(AND(OR(YearFilter="All",$E424=YearFilter),OR(RatingFilter="All",$D424=RatingFilter),OR(TypeFilter="All",$C424=TypeFilter)),1,0)</f>
        <v/>
      </c>
    </row>
    <row r="425" ht="15" customHeight="1" s="20">
      <c r="A425" s="19" t="inlineStr">
        <is>
          <t>s2024</t>
        </is>
      </c>
      <c r="B425" s="19" t="inlineStr">
        <is>
          <t>Romantic Movies</t>
        </is>
      </c>
      <c r="C425" s="19">
        <f>IFERROR(INDEX(tblNetflix[type],MATCH($A425,tblNetflix[show_id],0)),"")</f>
        <v/>
      </c>
      <c r="D425" s="19">
        <f>IFERROR(INDEX(tblNetflix[rating],MATCH($A425,tblNetflix[show_id],0)),"")</f>
        <v/>
      </c>
      <c r="E425" s="19">
        <f>IFERROR(INDEX(tblNetflix[year_added],MATCH($A425,tblNetflix[show_id],0)),"")</f>
        <v/>
      </c>
      <c r="F425" s="19">
        <f>IF(AND(OR(YearFilter="All",$E425=YearFilter),OR(RatingFilter="All",$D425=RatingFilter),OR(TypeFilter="All",$C425=TypeFilter)),1,0)</f>
        <v/>
      </c>
    </row>
    <row r="426" ht="15" customHeight="1" s="20">
      <c r="A426" s="19" t="inlineStr">
        <is>
          <t>s2026</t>
        </is>
      </c>
      <c r="B426" s="19" t="inlineStr">
        <is>
          <t>Comedies</t>
        </is>
      </c>
      <c r="C426" s="19">
        <f>IFERROR(INDEX(tblNetflix[type],MATCH($A426,tblNetflix[show_id],0)),"")</f>
        <v/>
      </c>
      <c r="D426" s="19">
        <f>IFERROR(INDEX(tblNetflix[rating],MATCH($A426,tblNetflix[show_id],0)),"")</f>
        <v/>
      </c>
      <c r="E426" s="19">
        <f>IFERROR(INDEX(tblNetflix[year_added],MATCH($A426,tblNetflix[show_id],0)),"")</f>
        <v/>
      </c>
      <c r="F426" s="19">
        <f>IF(AND(OR(YearFilter="All",$E426=YearFilter),OR(RatingFilter="All",$D426=RatingFilter),OR(TypeFilter="All",$C426=TypeFilter)),1,0)</f>
        <v/>
      </c>
    </row>
    <row r="427" ht="15" customHeight="1" s="20">
      <c r="A427" s="19" t="inlineStr">
        <is>
          <t>s2026</t>
        </is>
      </c>
      <c r="B427" s="19" t="inlineStr">
        <is>
          <t>Dramas</t>
        </is>
      </c>
      <c r="C427" s="19">
        <f>IFERROR(INDEX(tblNetflix[type],MATCH($A427,tblNetflix[show_id],0)),"")</f>
        <v/>
      </c>
      <c r="D427" s="19">
        <f>IFERROR(INDEX(tblNetflix[rating],MATCH($A427,tblNetflix[show_id],0)),"")</f>
        <v/>
      </c>
      <c r="E427" s="19">
        <f>IFERROR(INDEX(tblNetflix[year_added],MATCH($A427,tblNetflix[show_id],0)),"")</f>
        <v/>
      </c>
      <c r="F427" s="19">
        <f>IF(AND(OR(YearFilter="All",$E427=YearFilter),OR(RatingFilter="All",$D427=RatingFilter),OR(TypeFilter="All",$C427=TypeFilter)),1,0)</f>
        <v/>
      </c>
    </row>
    <row r="428" ht="15" customHeight="1" s="20">
      <c r="A428" s="19" t="inlineStr">
        <is>
          <t>s2026</t>
        </is>
      </c>
      <c r="B428" s="19" t="inlineStr">
        <is>
          <t>International Movies</t>
        </is>
      </c>
      <c r="C428" s="19">
        <f>IFERROR(INDEX(tblNetflix[type],MATCH($A428,tblNetflix[show_id],0)),"")</f>
        <v/>
      </c>
      <c r="D428" s="19">
        <f>IFERROR(INDEX(tblNetflix[rating],MATCH($A428,tblNetflix[show_id],0)),"")</f>
        <v/>
      </c>
      <c r="E428" s="19">
        <f>IFERROR(INDEX(tblNetflix[year_added],MATCH($A428,tblNetflix[show_id],0)),"")</f>
        <v/>
      </c>
      <c r="F428" s="19">
        <f>IF(AND(OR(YearFilter="All",$E428=YearFilter),OR(RatingFilter="All",$D428=RatingFilter),OR(TypeFilter="All",$C428=TypeFilter)),1,0)</f>
        <v/>
      </c>
    </row>
    <row r="429" ht="15" customHeight="1" s="20">
      <c r="A429" s="19" t="inlineStr">
        <is>
          <t>s2027</t>
        </is>
      </c>
      <c r="B429" s="19" t="inlineStr">
        <is>
          <t>Comedies</t>
        </is>
      </c>
      <c r="C429" s="19">
        <f>IFERROR(INDEX(tblNetflix[type],MATCH($A429,tblNetflix[show_id],0)),"")</f>
        <v/>
      </c>
      <c r="D429" s="19">
        <f>IFERROR(INDEX(tblNetflix[rating],MATCH($A429,tblNetflix[show_id],0)),"")</f>
        <v/>
      </c>
      <c r="E429" s="19">
        <f>IFERROR(INDEX(tblNetflix[year_added],MATCH($A429,tblNetflix[show_id],0)),"")</f>
        <v/>
      </c>
      <c r="F429" s="19">
        <f>IF(AND(OR(YearFilter="All",$E429=YearFilter),OR(RatingFilter="All",$D429=RatingFilter),OR(TypeFilter="All",$C429=TypeFilter)),1,0)</f>
        <v/>
      </c>
    </row>
    <row r="430" ht="15" customHeight="1" s="20">
      <c r="A430" s="19" t="inlineStr">
        <is>
          <t>s2027</t>
        </is>
      </c>
      <c r="B430" s="19" t="inlineStr">
        <is>
          <t>Dramas</t>
        </is>
      </c>
      <c r="C430" s="19">
        <f>IFERROR(INDEX(tblNetflix[type],MATCH($A430,tblNetflix[show_id],0)),"")</f>
        <v/>
      </c>
      <c r="D430" s="19">
        <f>IFERROR(INDEX(tblNetflix[rating],MATCH($A430,tblNetflix[show_id],0)),"")</f>
        <v/>
      </c>
      <c r="E430" s="19">
        <f>IFERROR(INDEX(tblNetflix[year_added],MATCH($A430,tblNetflix[show_id],0)),"")</f>
        <v/>
      </c>
      <c r="F430" s="19">
        <f>IF(AND(OR(YearFilter="All",$E430=YearFilter),OR(RatingFilter="All",$D430=RatingFilter),OR(TypeFilter="All",$C430=TypeFilter)),1,0)</f>
        <v/>
      </c>
    </row>
    <row r="431" ht="15" customHeight="1" s="20">
      <c r="A431" s="19" t="inlineStr">
        <is>
          <t>s2027</t>
        </is>
      </c>
      <c r="B431" s="19" t="inlineStr">
        <is>
          <t>International Movies</t>
        </is>
      </c>
      <c r="C431" s="19">
        <f>IFERROR(INDEX(tblNetflix[type],MATCH($A431,tblNetflix[show_id],0)),"")</f>
        <v/>
      </c>
      <c r="D431" s="19">
        <f>IFERROR(INDEX(tblNetflix[rating],MATCH($A431,tblNetflix[show_id],0)),"")</f>
        <v/>
      </c>
      <c r="E431" s="19">
        <f>IFERROR(INDEX(tblNetflix[year_added],MATCH($A431,tblNetflix[show_id],0)),"")</f>
        <v/>
      </c>
      <c r="F431" s="19">
        <f>IF(AND(OR(YearFilter="All",$E431=YearFilter),OR(RatingFilter="All",$D431=RatingFilter),OR(TypeFilter="All",$C431=TypeFilter)),1,0)</f>
        <v/>
      </c>
    </row>
    <row r="432" ht="15" customHeight="1" s="20">
      <c r="A432" s="19" t="inlineStr">
        <is>
          <t>s2031</t>
        </is>
      </c>
      <c r="B432" s="19" t="inlineStr">
        <is>
          <t>Comedies</t>
        </is>
      </c>
      <c r="C432" s="19">
        <f>IFERROR(INDEX(tblNetflix[type],MATCH($A432,tblNetflix[show_id],0)),"")</f>
        <v/>
      </c>
      <c r="D432" s="19">
        <f>IFERROR(INDEX(tblNetflix[rating],MATCH($A432,tblNetflix[show_id],0)),"")</f>
        <v/>
      </c>
      <c r="E432" s="19">
        <f>IFERROR(INDEX(tblNetflix[year_added],MATCH($A432,tblNetflix[show_id],0)),"")</f>
        <v/>
      </c>
      <c r="F432" s="19">
        <f>IF(AND(OR(YearFilter="All",$E432=YearFilter),OR(RatingFilter="All",$D432=RatingFilter),OR(TypeFilter="All",$C432=TypeFilter)),1,0)</f>
        <v/>
      </c>
    </row>
    <row r="433" ht="15" customHeight="1" s="20">
      <c r="A433" s="19" t="inlineStr">
        <is>
          <t>s2031</t>
        </is>
      </c>
      <c r="B433" s="19" t="inlineStr">
        <is>
          <t>Dramas</t>
        </is>
      </c>
      <c r="C433" s="19">
        <f>IFERROR(INDEX(tblNetflix[type],MATCH($A433,tblNetflix[show_id],0)),"")</f>
        <v/>
      </c>
      <c r="D433" s="19">
        <f>IFERROR(INDEX(tblNetflix[rating],MATCH($A433,tblNetflix[show_id],0)),"")</f>
        <v/>
      </c>
      <c r="E433" s="19">
        <f>IFERROR(INDEX(tblNetflix[year_added],MATCH($A433,tblNetflix[show_id],0)),"")</f>
        <v/>
      </c>
      <c r="F433" s="19">
        <f>IF(AND(OR(YearFilter="All",$E433=YearFilter),OR(RatingFilter="All",$D433=RatingFilter),OR(TypeFilter="All",$C433=TypeFilter)),1,0)</f>
        <v/>
      </c>
    </row>
    <row r="434" ht="15" customHeight="1" s="20">
      <c r="A434" s="19" t="inlineStr">
        <is>
          <t>s2031</t>
        </is>
      </c>
      <c r="B434" s="19" t="inlineStr">
        <is>
          <t>Independent Movies</t>
        </is>
      </c>
      <c r="C434" s="19">
        <f>IFERROR(INDEX(tblNetflix[type],MATCH($A434,tblNetflix[show_id],0)),"")</f>
        <v/>
      </c>
      <c r="D434" s="19">
        <f>IFERROR(INDEX(tblNetflix[rating],MATCH($A434,tblNetflix[show_id],0)),"")</f>
        <v/>
      </c>
      <c r="E434" s="19">
        <f>IFERROR(INDEX(tblNetflix[year_added],MATCH($A434,tblNetflix[show_id],0)),"")</f>
        <v/>
      </c>
      <c r="F434" s="19">
        <f>IF(AND(OR(YearFilter="All",$E434=YearFilter),OR(RatingFilter="All",$D434=RatingFilter),OR(TypeFilter="All",$C434=TypeFilter)),1,0)</f>
        <v/>
      </c>
    </row>
    <row r="435" ht="15" customHeight="1" s="20">
      <c r="A435" s="19" t="inlineStr">
        <is>
          <t>s2075</t>
        </is>
      </c>
      <c r="B435" s="19" t="inlineStr">
        <is>
          <t>Comedies</t>
        </is>
      </c>
      <c r="C435" s="19">
        <f>IFERROR(INDEX(tblNetflix[type],MATCH($A435,tblNetflix[show_id],0)),"")</f>
        <v/>
      </c>
      <c r="D435" s="19">
        <f>IFERROR(INDEX(tblNetflix[rating],MATCH($A435,tblNetflix[show_id],0)),"")</f>
        <v/>
      </c>
      <c r="E435" s="19">
        <f>IFERROR(INDEX(tblNetflix[year_added],MATCH($A435,tblNetflix[show_id],0)),"")</f>
        <v/>
      </c>
      <c r="F435" s="19">
        <f>IF(AND(OR(YearFilter="All",$E435=YearFilter),OR(RatingFilter="All",$D435=RatingFilter),OR(TypeFilter="All",$C435=TypeFilter)),1,0)</f>
        <v/>
      </c>
    </row>
    <row r="436" ht="15" customHeight="1" s="20">
      <c r="A436" s="19" t="inlineStr">
        <is>
          <t>s2075</t>
        </is>
      </c>
      <c r="B436" s="19" t="inlineStr">
        <is>
          <t>Dramas</t>
        </is>
      </c>
      <c r="C436" s="19">
        <f>IFERROR(INDEX(tblNetflix[type],MATCH($A436,tblNetflix[show_id],0)),"")</f>
        <v/>
      </c>
      <c r="D436" s="19">
        <f>IFERROR(INDEX(tblNetflix[rating],MATCH($A436,tblNetflix[show_id],0)),"")</f>
        <v/>
      </c>
      <c r="E436" s="19">
        <f>IFERROR(INDEX(tblNetflix[year_added],MATCH($A436,tblNetflix[show_id],0)),"")</f>
        <v/>
      </c>
      <c r="F436" s="19">
        <f>IF(AND(OR(YearFilter="All",$E436=YearFilter),OR(RatingFilter="All",$D436=RatingFilter),OR(TypeFilter="All",$C436=TypeFilter)),1,0)</f>
        <v/>
      </c>
    </row>
    <row r="437" ht="15" customHeight="1" s="20">
      <c r="A437" s="19" t="inlineStr">
        <is>
          <t>s2075</t>
        </is>
      </c>
      <c r="B437" s="19" t="inlineStr">
        <is>
          <t>International Movies</t>
        </is>
      </c>
      <c r="C437" s="19">
        <f>IFERROR(INDEX(tblNetflix[type],MATCH($A437,tblNetflix[show_id],0)),"")</f>
        <v/>
      </c>
      <c r="D437" s="19">
        <f>IFERROR(INDEX(tblNetflix[rating],MATCH($A437,tblNetflix[show_id],0)),"")</f>
        <v/>
      </c>
      <c r="E437" s="19">
        <f>IFERROR(INDEX(tblNetflix[year_added],MATCH($A437,tblNetflix[show_id],0)),"")</f>
        <v/>
      </c>
      <c r="F437" s="19">
        <f>IF(AND(OR(YearFilter="All",$E437=YearFilter),OR(RatingFilter="All",$D437=RatingFilter),OR(TypeFilter="All",$C437=TypeFilter)),1,0)</f>
        <v/>
      </c>
    </row>
    <row r="438" ht="15" customHeight="1" s="20">
      <c r="A438" s="19" t="inlineStr">
        <is>
          <t>s2083</t>
        </is>
      </c>
      <c r="B438" s="19" t="inlineStr">
        <is>
          <t>Comedies</t>
        </is>
      </c>
      <c r="C438" s="19">
        <f>IFERROR(INDEX(tblNetflix[type],MATCH($A438,tblNetflix[show_id],0)),"")</f>
        <v/>
      </c>
      <c r="D438" s="19">
        <f>IFERROR(INDEX(tblNetflix[rating],MATCH($A438,tblNetflix[show_id],0)),"")</f>
        <v/>
      </c>
      <c r="E438" s="19">
        <f>IFERROR(INDEX(tblNetflix[year_added],MATCH($A438,tblNetflix[show_id],0)),"")</f>
        <v/>
      </c>
      <c r="F438" s="19">
        <f>IF(AND(OR(YearFilter="All",$E438=YearFilter),OR(RatingFilter="All",$D438=RatingFilter),OR(TypeFilter="All",$C438=TypeFilter)),1,0)</f>
        <v/>
      </c>
    </row>
    <row r="439" ht="15" customHeight="1" s="20">
      <c r="A439" s="19" t="inlineStr">
        <is>
          <t>s2083</t>
        </is>
      </c>
      <c r="B439" s="19" t="inlineStr">
        <is>
          <t>International Movies</t>
        </is>
      </c>
      <c r="C439" s="19">
        <f>IFERROR(INDEX(tblNetflix[type],MATCH($A439,tblNetflix[show_id],0)),"")</f>
        <v/>
      </c>
      <c r="D439" s="19">
        <f>IFERROR(INDEX(tblNetflix[rating],MATCH($A439,tblNetflix[show_id],0)),"")</f>
        <v/>
      </c>
      <c r="E439" s="19">
        <f>IFERROR(INDEX(tblNetflix[year_added],MATCH($A439,tblNetflix[show_id],0)),"")</f>
        <v/>
      </c>
      <c r="F439" s="19">
        <f>IF(AND(OR(YearFilter="All",$E439=YearFilter),OR(RatingFilter="All",$D439=RatingFilter),OR(TypeFilter="All",$C439=TypeFilter)),1,0)</f>
        <v/>
      </c>
    </row>
    <row r="440" ht="15" customHeight="1" s="20">
      <c r="A440" s="19" t="inlineStr">
        <is>
          <t>s2083</t>
        </is>
      </c>
      <c r="B440" s="19" t="inlineStr">
        <is>
          <t>Romantic Movies</t>
        </is>
      </c>
      <c r="C440" s="19">
        <f>IFERROR(INDEX(tblNetflix[type],MATCH($A440,tblNetflix[show_id],0)),"")</f>
        <v/>
      </c>
      <c r="D440" s="19">
        <f>IFERROR(INDEX(tblNetflix[rating],MATCH($A440,tblNetflix[show_id],0)),"")</f>
        <v/>
      </c>
      <c r="E440" s="19">
        <f>IFERROR(INDEX(tblNetflix[year_added],MATCH($A440,tblNetflix[show_id],0)),"")</f>
        <v/>
      </c>
      <c r="F440" s="19">
        <f>IF(AND(OR(YearFilter="All",$E440=YearFilter),OR(RatingFilter="All",$D440=RatingFilter),OR(TypeFilter="All",$C440=TypeFilter)),1,0)</f>
        <v/>
      </c>
    </row>
    <row r="441" ht="15" customHeight="1" s="20">
      <c r="A441" s="19" t="inlineStr">
        <is>
          <t>s2087</t>
        </is>
      </c>
      <c r="B441" s="19" t="inlineStr">
        <is>
          <t>International TV Shows</t>
        </is>
      </c>
      <c r="C441" s="19">
        <f>IFERROR(INDEX(tblNetflix[type],MATCH($A441,tblNetflix[show_id],0)),"")</f>
        <v/>
      </c>
      <c r="D441" s="19">
        <f>IFERROR(INDEX(tblNetflix[rating],MATCH($A441,tblNetflix[show_id],0)),"")</f>
        <v/>
      </c>
      <c r="E441" s="19">
        <f>IFERROR(INDEX(tblNetflix[year_added],MATCH($A441,tblNetflix[show_id],0)),"")</f>
        <v/>
      </c>
      <c r="F441" s="19">
        <f>IF(AND(OR(YearFilter="All",$E441=YearFilter),OR(RatingFilter="All",$D441=RatingFilter),OR(TypeFilter="All",$C441=TypeFilter)),1,0)</f>
        <v/>
      </c>
    </row>
    <row r="442" ht="15" customHeight="1" s="20">
      <c r="A442" s="19" t="inlineStr">
        <is>
          <t>s2087</t>
        </is>
      </c>
      <c r="B442" s="19" t="inlineStr">
        <is>
          <t>TV Comedies</t>
        </is>
      </c>
      <c r="C442" s="19">
        <f>IFERROR(INDEX(tblNetflix[type],MATCH($A442,tblNetflix[show_id],0)),"")</f>
        <v/>
      </c>
      <c r="D442" s="19">
        <f>IFERROR(INDEX(tblNetflix[rating],MATCH($A442,tblNetflix[show_id],0)),"")</f>
        <v/>
      </c>
      <c r="E442" s="19">
        <f>IFERROR(INDEX(tblNetflix[year_added],MATCH($A442,tblNetflix[show_id],0)),"")</f>
        <v/>
      </c>
      <c r="F442" s="19">
        <f>IF(AND(OR(YearFilter="All",$E442=YearFilter),OR(RatingFilter="All",$D442=RatingFilter),OR(TypeFilter="All",$C442=TypeFilter)),1,0)</f>
        <v/>
      </c>
    </row>
    <row r="443" ht="15" customHeight="1" s="20">
      <c r="A443" s="19" t="inlineStr">
        <is>
          <t>s2087</t>
        </is>
      </c>
      <c r="B443" s="19" t="inlineStr">
        <is>
          <t>TV Dramas</t>
        </is>
      </c>
      <c r="C443" s="19">
        <f>IFERROR(INDEX(tblNetflix[type],MATCH($A443,tblNetflix[show_id],0)),"")</f>
        <v/>
      </c>
      <c r="D443" s="19">
        <f>IFERROR(INDEX(tblNetflix[rating],MATCH($A443,tblNetflix[show_id],0)),"")</f>
        <v/>
      </c>
      <c r="E443" s="19">
        <f>IFERROR(INDEX(tblNetflix[year_added],MATCH($A443,tblNetflix[show_id],0)),"")</f>
        <v/>
      </c>
      <c r="F443" s="19">
        <f>IF(AND(OR(YearFilter="All",$E443=YearFilter),OR(RatingFilter="All",$D443=RatingFilter),OR(TypeFilter="All",$C443=TypeFilter)),1,0)</f>
        <v/>
      </c>
    </row>
    <row r="444" ht="15" customHeight="1" s="20">
      <c r="A444" s="19" t="inlineStr">
        <is>
          <t>s2104</t>
        </is>
      </c>
      <c r="B444" s="19" t="inlineStr">
        <is>
          <t>Dramas</t>
        </is>
      </c>
      <c r="C444" s="19">
        <f>IFERROR(INDEX(tblNetflix[type],MATCH($A444,tblNetflix[show_id],0)),"")</f>
        <v/>
      </c>
      <c r="D444" s="19">
        <f>IFERROR(INDEX(tblNetflix[rating],MATCH($A444,tblNetflix[show_id],0)),"")</f>
        <v/>
      </c>
      <c r="E444" s="19">
        <f>IFERROR(INDEX(tblNetflix[year_added],MATCH($A444,tblNetflix[show_id],0)),"")</f>
        <v/>
      </c>
      <c r="F444" s="19">
        <f>IF(AND(OR(YearFilter="All",$E444=YearFilter),OR(RatingFilter="All",$D444=RatingFilter),OR(TypeFilter="All",$C444=TypeFilter)),1,0)</f>
        <v/>
      </c>
    </row>
    <row r="445" ht="15" customHeight="1" s="20">
      <c r="A445" s="19" t="inlineStr">
        <is>
          <t>s2104</t>
        </is>
      </c>
      <c r="B445" s="19" t="inlineStr">
        <is>
          <t>International Movies</t>
        </is>
      </c>
      <c r="C445" s="19">
        <f>IFERROR(INDEX(tblNetflix[type],MATCH($A445,tblNetflix[show_id],0)),"")</f>
        <v/>
      </c>
      <c r="D445" s="19">
        <f>IFERROR(INDEX(tblNetflix[rating],MATCH($A445,tblNetflix[show_id],0)),"")</f>
        <v/>
      </c>
      <c r="E445" s="19">
        <f>IFERROR(INDEX(tblNetflix[year_added],MATCH($A445,tblNetflix[show_id],0)),"")</f>
        <v/>
      </c>
      <c r="F445" s="19">
        <f>IF(AND(OR(YearFilter="All",$E445=YearFilter),OR(RatingFilter="All",$D445=RatingFilter),OR(TypeFilter="All",$C445=TypeFilter)),1,0)</f>
        <v/>
      </c>
    </row>
    <row r="446" ht="15" customHeight="1" s="20">
      <c r="A446" s="19" t="inlineStr">
        <is>
          <t>s2104</t>
        </is>
      </c>
      <c r="B446" s="19" t="inlineStr">
        <is>
          <t>Thrillers</t>
        </is>
      </c>
      <c r="C446" s="19">
        <f>IFERROR(INDEX(tblNetflix[type],MATCH($A446,tblNetflix[show_id],0)),"")</f>
        <v/>
      </c>
      <c r="D446" s="19">
        <f>IFERROR(INDEX(tblNetflix[rating],MATCH($A446,tblNetflix[show_id],0)),"")</f>
        <v/>
      </c>
      <c r="E446" s="19">
        <f>IFERROR(INDEX(tblNetflix[year_added],MATCH($A446,tblNetflix[show_id],0)),"")</f>
        <v/>
      </c>
      <c r="F446" s="19">
        <f>IF(AND(OR(YearFilter="All",$E446=YearFilter),OR(RatingFilter="All",$D446=RatingFilter),OR(TypeFilter="All",$C446=TypeFilter)),1,0)</f>
        <v/>
      </c>
    </row>
    <row r="447" ht="15" customHeight="1" s="20">
      <c r="A447" s="19" t="inlineStr">
        <is>
          <t>s2127</t>
        </is>
      </c>
      <c r="B447" s="19" t="inlineStr">
        <is>
          <t>Comedies</t>
        </is>
      </c>
      <c r="C447" s="19">
        <f>IFERROR(INDEX(tblNetflix[type],MATCH($A447,tblNetflix[show_id],0)),"")</f>
        <v/>
      </c>
      <c r="D447" s="19">
        <f>IFERROR(INDEX(tblNetflix[rating],MATCH($A447,tblNetflix[show_id],0)),"")</f>
        <v/>
      </c>
      <c r="E447" s="19">
        <f>IFERROR(INDEX(tblNetflix[year_added],MATCH($A447,tblNetflix[show_id],0)),"")</f>
        <v/>
      </c>
      <c r="F447" s="19">
        <f>IF(AND(OR(YearFilter="All",$E447=YearFilter),OR(RatingFilter="All",$D447=RatingFilter),OR(TypeFilter="All",$C447=TypeFilter)),1,0)</f>
        <v/>
      </c>
    </row>
    <row r="448" ht="15" customHeight="1" s="20">
      <c r="A448" s="19" t="inlineStr">
        <is>
          <t>s2127</t>
        </is>
      </c>
      <c r="B448" s="19" t="inlineStr">
        <is>
          <t>International Movies</t>
        </is>
      </c>
      <c r="C448" s="19">
        <f>IFERROR(INDEX(tblNetflix[type],MATCH($A448,tblNetflix[show_id],0)),"")</f>
        <v/>
      </c>
      <c r="D448" s="19">
        <f>IFERROR(INDEX(tblNetflix[rating],MATCH($A448,tblNetflix[show_id],0)),"")</f>
        <v/>
      </c>
      <c r="E448" s="19">
        <f>IFERROR(INDEX(tblNetflix[year_added],MATCH($A448,tblNetflix[show_id],0)),"")</f>
        <v/>
      </c>
      <c r="F448" s="19">
        <f>IF(AND(OR(YearFilter="All",$E448=YearFilter),OR(RatingFilter="All",$D448=RatingFilter),OR(TypeFilter="All",$C448=TypeFilter)),1,0)</f>
        <v/>
      </c>
    </row>
    <row r="449" ht="15" customHeight="1" s="20">
      <c r="A449" s="19" t="inlineStr">
        <is>
          <t>s2127</t>
        </is>
      </c>
      <c r="B449" s="19" t="inlineStr">
        <is>
          <t>Music &amp; Musicals</t>
        </is>
      </c>
      <c r="C449" s="19">
        <f>IFERROR(INDEX(tblNetflix[type],MATCH($A449,tblNetflix[show_id],0)),"")</f>
        <v/>
      </c>
      <c r="D449" s="19">
        <f>IFERROR(INDEX(tblNetflix[rating],MATCH($A449,tblNetflix[show_id],0)),"")</f>
        <v/>
      </c>
      <c r="E449" s="19">
        <f>IFERROR(INDEX(tblNetflix[year_added],MATCH($A449,tblNetflix[show_id],0)),"")</f>
        <v/>
      </c>
      <c r="F449" s="19">
        <f>IF(AND(OR(YearFilter="All",$E449=YearFilter),OR(RatingFilter="All",$D449=RatingFilter),OR(TypeFilter="All",$C449=TypeFilter)),1,0)</f>
        <v/>
      </c>
    </row>
    <row r="450" ht="15" customHeight="1" s="20">
      <c r="A450" s="19" t="inlineStr">
        <is>
          <t>s2142</t>
        </is>
      </c>
      <c r="B450" s="19" t="inlineStr">
        <is>
          <t>Action &amp; Adventure</t>
        </is>
      </c>
      <c r="C450" s="19">
        <f>IFERROR(INDEX(tblNetflix[type],MATCH($A450,tblNetflix[show_id],0)),"")</f>
        <v/>
      </c>
      <c r="D450" s="19">
        <f>IFERROR(INDEX(tblNetflix[rating],MATCH($A450,tblNetflix[show_id],0)),"")</f>
        <v/>
      </c>
      <c r="E450" s="19">
        <f>IFERROR(INDEX(tblNetflix[year_added],MATCH($A450,tblNetflix[show_id],0)),"")</f>
        <v/>
      </c>
      <c r="F450" s="19">
        <f>IF(AND(OR(YearFilter="All",$E450=YearFilter),OR(RatingFilter="All",$D450=RatingFilter),OR(TypeFilter="All",$C450=TypeFilter)),1,0)</f>
        <v/>
      </c>
    </row>
    <row r="451" ht="15" customHeight="1" s="20">
      <c r="A451" s="19" t="inlineStr">
        <is>
          <t>s2142</t>
        </is>
      </c>
      <c r="B451" s="19" t="inlineStr">
        <is>
          <t>Dramas</t>
        </is>
      </c>
      <c r="C451" s="19">
        <f>IFERROR(INDEX(tblNetflix[type],MATCH($A451,tblNetflix[show_id],0)),"")</f>
        <v/>
      </c>
      <c r="D451" s="19">
        <f>IFERROR(INDEX(tblNetflix[rating],MATCH($A451,tblNetflix[show_id],0)),"")</f>
        <v/>
      </c>
      <c r="E451" s="19">
        <f>IFERROR(INDEX(tblNetflix[year_added],MATCH($A451,tblNetflix[show_id],0)),"")</f>
        <v/>
      </c>
      <c r="F451" s="19">
        <f>IF(AND(OR(YearFilter="All",$E451=YearFilter),OR(RatingFilter="All",$D451=RatingFilter),OR(TypeFilter="All",$C451=TypeFilter)),1,0)</f>
        <v/>
      </c>
    </row>
    <row r="452" ht="15" customHeight="1" s="20">
      <c r="A452" s="19" t="inlineStr">
        <is>
          <t>s2142</t>
        </is>
      </c>
      <c r="B452" s="19" t="inlineStr">
        <is>
          <t>International Movies</t>
        </is>
      </c>
      <c r="C452" s="19">
        <f>IFERROR(INDEX(tblNetflix[type],MATCH($A452,tblNetflix[show_id],0)),"")</f>
        <v/>
      </c>
      <c r="D452" s="19">
        <f>IFERROR(INDEX(tblNetflix[rating],MATCH($A452,tblNetflix[show_id],0)),"")</f>
        <v/>
      </c>
      <c r="E452" s="19">
        <f>IFERROR(INDEX(tblNetflix[year_added],MATCH($A452,tblNetflix[show_id],0)),"")</f>
        <v/>
      </c>
      <c r="F452" s="19">
        <f>IF(AND(OR(YearFilter="All",$E452=YearFilter),OR(RatingFilter="All",$D452=RatingFilter),OR(TypeFilter="All",$C452=TypeFilter)),1,0)</f>
        <v/>
      </c>
    </row>
    <row r="453" ht="15" customHeight="1" s="20">
      <c r="A453" s="19" t="inlineStr">
        <is>
          <t>s2187</t>
        </is>
      </c>
      <c r="B453" s="19" t="inlineStr">
        <is>
          <t>Dramas</t>
        </is>
      </c>
      <c r="C453" s="19">
        <f>IFERROR(INDEX(tblNetflix[type],MATCH($A453,tblNetflix[show_id],0)),"")</f>
        <v/>
      </c>
      <c r="D453" s="19">
        <f>IFERROR(INDEX(tblNetflix[rating],MATCH($A453,tblNetflix[show_id],0)),"")</f>
        <v/>
      </c>
      <c r="E453" s="19">
        <f>IFERROR(INDEX(tblNetflix[year_added],MATCH($A453,tblNetflix[show_id],0)),"")</f>
        <v/>
      </c>
      <c r="F453" s="19">
        <f>IF(AND(OR(YearFilter="All",$E453=YearFilter),OR(RatingFilter="All",$D453=RatingFilter),OR(TypeFilter="All",$C453=TypeFilter)),1,0)</f>
        <v/>
      </c>
    </row>
    <row r="454" ht="15" customHeight="1" s="20">
      <c r="A454" s="19" t="inlineStr">
        <is>
          <t>s2187</t>
        </is>
      </c>
      <c r="B454" s="19" t="inlineStr">
        <is>
          <t>International Movies</t>
        </is>
      </c>
      <c r="C454" s="19">
        <f>IFERROR(INDEX(tblNetflix[type],MATCH($A454,tblNetflix[show_id],0)),"")</f>
        <v/>
      </c>
      <c r="D454" s="19">
        <f>IFERROR(INDEX(tblNetflix[rating],MATCH($A454,tblNetflix[show_id],0)),"")</f>
        <v/>
      </c>
      <c r="E454" s="19">
        <f>IFERROR(INDEX(tblNetflix[year_added],MATCH($A454,tblNetflix[show_id],0)),"")</f>
        <v/>
      </c>
      <c r="F454" s="19">
        <f>IF(AND(OR(YearFilter="All",$E454=YearFilter),OR(RatingFilter="All",$D454=RatingFilter),OR(TypeFilter="All",$C454=TypeFilter)),1,0)</f>
        <v/>
      </c>
    </row>
    <row r="455" ht="15" customHeight="1" s="20">
      <c r="A455" s="19" t="inlineStr">
        <is>
          <t>s2187</t>
        </is>
      </c>
      <c r="B455" s="19" t="inlineStr">
        <is>
          <t>Thrillers</t>
        </is>
      </c>
      <c r="C455" s="19">
        <f>IFERROR(INDEX(tblNetflix[type],MATCH($A455,tblNetflix[show_id],0)),"")</f>
        <v/>
      </c>
      <c r="D455" s="19">
        <f>IFERROR(INDEX(tblNetflix[rating],MATCH($A455,tblNetflix[show_id],0)),"")</f>
        <v/>
      </c>
      <c r="E455" s="19">
        <f>IFERROR(INDEX(tblNetflix[year_added],MATCH($A455,tblNetflix[show_id],0)),"")</f>
        <v/>
      </c>
      <c r="F455" s="19">
        <f>IF(AND(OR(YearFilter="All",$E455=YearFilter),OR(RatingFilter="All",$D455=RatingFilter),OR(TypeFilter="All",$C455=TypeFilter)),1,0)</f>
        <v/>
      </c>
    </row>
    <row r="456" ht="15" customHeight="1" s="20">
      <c r="A456" s="19" t="inlineStr">
        <is>
          <t>s2194</t>
        </is>
      </c>
      <c r="B456" s="19" t="inlineStr">
        <is>
          <t>Comedies</t>
        </is>
      </c>
      <c r="C456" s="19">
        <f>IFERROR(INDEX(tblNetflix[type],MATCH($A456,tblNetflix[show_id],0)),"")</f>
        <v/>
      </c>
      <c r="D456" s="19">
        <f>IFERROR(INDEX(tblNetflix[rating],MATCH($A456,tblNetflix[show_id],0)),"")</f>
        <v/>
      </c>
      <c r="E456" s="19">
        <f>IFERROR(INDEX(tblNetflix[year_added],MATCH($A456,tblNetflix[show_id],0)),"")</f>
        <v/>
      </c>
      <c r="F456" s="19">
        <f>IF(AND(OR(YearFilter="All",$E456=YearFilter),OR(RatingFilter="All",$D456=RatingFilter),OR(TypeFilter="All",$C456=TypeFilter)),1,0)</f>
        <v/>
      </c>
    </row>
    <row r="457" ht="15" customHeight="1" s="20">
      <c r="A457" s="19" t="inlineStr">
        <is>
          <t>s2194</t>
        </is>
      </c>
      <c r="B457" s="19" t="inlineStr">
        <is>
          <t>Dramas</t>
        </is>
      </c>
      <c r="C457" s="19">
        <f>IFERROR(INDEX(tblNetflix[type],MATCH($A457,tblNetflix[show_id],0)),"")</f>
        <v/>
      </c>
      <c r="D457" s="19">
        <f>IFERROR(INDEX(tblNetflix[rating],MATCH($A457,tblNetflix[show_id],0)),"")</f>
        <v/>
      </c>
      <c r="E457" s="19">
        <f>IFERROR(INDEX(tblNetflix[year_added],MATCH($A457,tblNetflix[show_id],0)),"")</f>
        <v/>
      </c>
      <c r="F457" s="19">
        <f>IF(AND(OR(YearFilter="All",$E457=YearFilter),OR(RatingFilter="All",$D457=RatingFilter),OR(TypeFilter="All",$C457=TypeFilter)),1,0)</f>
        <v/>
      </c>
    </row>
    <row r="458" ht="15" customHeight="1" s="20">
      <c r="A458" s="19" t="inlineStr">
        <is>
          <t>s2194</t>
        </is>
      </c>
      <c r="B458" s="19" t="inlineStr">
        <is>
          <t>Independent Movies</t>
        </is>
      </c>
      <c r="C458" s="19">
        <f>IFERROR(INDEX(tblNetflix[type],MATCH($A458,tblNetflix[show_id],0)),"")</f>
        <v/>
      </c>
      <c r="D458" s="19">
        <f>IFERROR(INDEX(tblNetflix[rating],MATCH($A458,tblNetflix[show_id],0)),"")</f>
        <v/>
      </c>
      <c r="E458" s="19">
        <f>IFERROR(INDEX(tblNetflix[year_added],MATCH($A458,tblNetflix[show_id],0)),"")</f>
        <v/>
      </c>
      <c r="F458" s="19">
        <f>IF(AND(OR(YearFilter="All",$E458=YearFilter),OR(RatingFilter="All",$D458=RatingFilter),OR(TypeFilter="All",$C458=TypeFilter)),1,0)</f>
        <v/>
      </c>
    </row>
    <row r="459" ht="15" customHeight="1" s="20">
      <c r="A459" s="19" t="inlineStr">
        <is>
          <t>s2205</t>
        </is>
      </c>
      <c r="B459" s="19" t="inlineStr">
        <is>
          <t>Comedies</t>
        </is>
      </c>
      <c r="C459" s="19">
        <f>IFERROR(INDEX(tblNetflix[type],MATCH($A459,tblNetflix[show_id],0)),"")</f>
        <v/>
      </c>
      <c r="D459" s="19">
        <f>IFERROR(INDEX(tblNetflix[rating],MATCH($A459,tblNetflix[show_id],0)),"")</f>
        <v/>
      </c>
      <c r="E459" s="19">
        <f>IFERROR(INDEX(tblNetflix[year_added],MATCH($A459,tblNetflix[show_id],0)),"")</f>
        <v/>
      </c>
      <c r="F459" s="19">
        <f>IF(AND(OR(YearFilter="All",$E459=YearFilter),OR(RatingFilter="All",$D459=RatingFilter),OR(TypeFilter="All",$C459=TypeFilter)),1,0)</f>
        <v/>
      </c>
    </row>
    <row r="460" ht="15" customHeight="1" s="20">
      <c r="A460" s="19" t="inlineStr">
        <is>
          <t>s2205</t>
        </is>
      </c>
      <c r="B460" s="19" t="inlineStr">
        <is>
          <t>International Movies</t>
        </is>
      </c>
      <c r="C460" s="19">
        <f>IFERROR(INDEX(tblNetflix[type],MATCH($A460,tblNetflix[show_id],0)),"")</f>
        <v/>
      </c>
      <c r="D460" s="19">
        <f>IFERROR(INDEX(tblNetflix[rating],MATCH($A460,tblNetflix[show_id],0)),"")</f>
        <v/>
      </c>
      <c r="E460" s="19">
        <f>IFERROR(INDEX(tblNetflix[year_added],MATCH($A460,tblNetflix[show_id],0)),"")</f>
        <v/>
      </c>
      <c r="F460" s="19">
        <f>IF(AND(OR(YearFilter="All",$E460=YearFilter),OR(RatingFilter="All",$D460=RatingFilter),OR(TypeFilter="All",$C460=TypeFilter)),1,0)</f>
        <v/>
      </c>
    </row>
    <row r="461" ht="15" customHeight="1" s="20">
      <c r="A461" s="19" t="inlineStr">
        <is>
          <t>s2207</t>
        </is>
      </c>
      <c r="B461" s="19" t="inlineStr">
        <is>
          <t>Dramas</t>
        </is>
      </c>
      <c r="C461" s="19">
        <f>IFERROR(INDEX(tblNetflix[type],MATCH($A461,tblNetflix[show_id],0)),"")</f>
        <v/>
      </c>
      <c r="D461" s="19">
        <f>IFERROR(INDEX(tblNetflix[rating],MATCH($A461,tblNetflix[show_id],0)),"")</f>
        <v/>
      </c>
      <c r="E461" s="19">
        <f>IFERROR(INDEX(tblNetflix[year_added],MATCH($A461,tblNetflix[show_id],0)),"")</f>
        <v/>
      </c>
      <c r="F461" s="19">
        <f>IF(AND(OR(YearFilter="All",$E461=YearFilter),OR(RatingFilter="All",$D461=RatingFilter),OR(TypeFilter="All",$C461=TypeFilter)),1,0)</f>
        <v/>
      </c>
    </row>
    <row r="462" ht="15" customHeight="1" s="20">
      <c r="A462" s="19" t="inlineStr">
        <is>
          <t>s2207</t>
        </is>
      </c>
      <c r="B462" s="19" t="inlineStr">
        <is>
          <t>Independent Movies</t>
        </is>
      </c>
      <c r="C462" s="19">
        <f>IFERROR(INDEX(tblNetflix[type],MATCH($A462,tblNetflix[show_id],0)),"")</f>
        <v/>
      </c>
      <c r="D462" s="19">
        <f>IFERROR(INDEX(tblNetflix[rating],MATCH($A462,tblNetflix[show_id],0)),"")</f>
        <v/>
      </c>
      <c r="E462" s="19">
        <f>IFERROR(INDEX(tblNetflix[year_added],MATCH($A462,tblNetflix[show_id],0)),"")</f>
        <v/>
      </c>
      <c r="F462" s="19">
        <f>IF(AND(OR(YearFilter="All",$E462=YearFilter),OR(RatingFilter="All",$D462=RatingFilter),OR(TypeFilter="All",$C462=TypeFilter)),1,0)</f>
        <v/>
      </c>
    </row>
    <row r="463" ht="15" customHeight="1" s="20">
      <c r="A463" s="19" t="inlineStr">
        <is>
          <t>s2207</t>
        </is>
      </c>
      <c r="B463" s="19" t="inlineStr">
        <is>
          <t>International Movies</t>
        </is>
      </c>
      <c r="C463" s="19">
        <f>IFERROR(INDEX(tblNetflix[type],MATCH($A463,tblNetflix[show_id],0)),"")</f>
        <v/>
      </c>
      <c r="D463" s="19">
        <f>IFERROR(INDEX(tblNetflix[rating],MATCH($A463,tblNetflix[show_id],0)),"")</f>
        <v/>
      </c>
      <c r="E463" s="19">
        <f>IFERROR(INDEX(tblNetflix[year_added],MATCH($A463,tblNetflix[show_id],0)),"")</f>
        <v/>
      </c>
      <c r="F463" s="19">
        <f>IF(AND(OR(YearFilter="All",$E463=YearFilter),OR(RatingFilter="All",$D463=RatingFilter),OR(TypeFilter="All",$C463=TypeFilter)),1,0)</f>
        <v/>
      </c>
    </row>
    <row r="464" ht="15" customHeight="1" s="20">
      <c r="A464" s="19" t="inlineStr">
        <is>
          <t>s2265</t>
        </is>
      </c>
      <c r="B464" s="19" t="inlineStr">
        <is>
          <t>Comedies</t>
        </is>
      </c>
      <c r="C464" s="19">
        <f>IFERROR(INDEX(tblNetflix[type],MATCH($A464,tblNetflix[show_id],0)),"")</f>
        <v/>
      </c>
      <c r="D464" s="19">
        <f>IFERROR(INDEX(tblNetflix[rating],MATCH($A464,tblNetflix[show_id],0)),"")</f>
        <v/>
      </c>
      <c r="E464" s="19">
        <f>IFERROR(INDEX(tblNetflix[year_added],MATCH($A464,tblNetflix[show_id],0)),"")</f>
        <v/>
      </c>
      <c r="F464" s="19">
        <f>IF(AND(OR(YearFilter="All",$E464=YearFilter),OR(RatingFilter="All",$D464=RatingFilter),OR(TypeFilter="All",$C464=TypeFilter)),1,0)</f>
        <v/>
      </c>
    </row>
    <row r="465" ht="15" customHeight="1" s="20">
      <c r="A465" s="19" t="inlineStr">
        <is>
          <t>s2265</t>
        </is>
      </c>
      <c r="B465" s="19" t="inlineStr">
        <is>
          <t>International Movies</t>
        </is>
      </c>
      <c r="C465" s="19">
        <f>IFERROR(INDEX(tblNetflix[type],MATCH($A465,tblNetflix[show_id],0)),"")</f>
        <v/>
      </c>
      <c r="D465" s="19">
        <f>IFERROR(INDEX(tblNetflix[rating],MATCH($A465,tblNetflix[show_id],0)),"")</f>
        <v/>
      </c>
      <c r="E465" s="19">
        <f>IFERROR(INDEX(tblNetflix[year_added],MATCH($A465,tblNetflix[show_id],0)),"")</f>
        <v/>
      </c>
      <c r="F465" s="19">
        <f>IF(AND(OR(YearFilter="All",$E465=YearFilter),OR(RatingFilter="All",$D465=RatingFilter),OR(TypeFilter="All",$C465=TypeFilter)),1,0)</f>
        <v/>
      </c>
    </row>
    <row r="466" ht="15" customHeight="1" s="20">
      <c r="A466" s="19" t="inlineStr">
        <is>
          <t>s2265</t>
        </is>
      </c>
      <c r="B466" s="19" t="inlineStr">
        <is>
          <t>Music &amp; Musicals</t>
        </is>
      </c>
      <c r="C466" s="19">
        <f>IFERROR(INDEX(tblNetflix[type],MATCH($A466,tblNetflix[show_id],0)),"")</f>
        <v/>
      </c>
      <c r="D466" s="19">
        <f>IFERROR(INDEX(tblNetflix[rating],MATCH($A466,tblNetflix[show_id],0)),"")</f>
        <v/>
      </c>
      <c r="E466" s="19">
        <f>IFERROR(INDEX(tblNetflix[year_added],MATCH($A466,tblNetflix[show_id],0)),"")</f>
        <v/>
      </c>
      <c r="F466" s="19">
        <f>IF(AND(OR(YearFilter="All",$E466=YearFilter),OR(RatingFilter="All",$D466=RatingFilter),OR(TypeFilter="All",$C466=TypeFilter)),1,0)</f>
        <v/>
      </c>
    </row>
    <row r="467" ht="15" customHeight="1" s="20">
      <c r="A467" s="19" t="inlineStr">
        <is>
          <t>s2266</t>
        </is>
      </c>
      <c r="B467" s="19" t="inlineStr">
        <is>
          <t>Action &amp; Adventure</t>
        </is>
      </c>
      <c r="C467" s="19">
        <f>IFERROR(INDEX(tblNetflix[type],MATCH($A467,tblNetflix[show_id],0)),"")</f>
        <v/>
      </c>
      <c r="D467" s="19">
        <f>IFERROR(INDEX(tblNetflix[rating],MATCH($A467,tblNetflix[show_id],0)),"")</f>
        <v/>
      </c>
      <c r="E467" s="19">
        <f>IFERROR(INDEX(tblNetflix[year_added],MATCH($A467,tblNetflix[show_id],0)),"")</f>
        <v/>
      </c>
      <c r="F467" s="19">
        <f>IF(AND(OR(YearFilter="All",$E467=YearFilter),OR(RatingFilter="All",$D467=RatingFilter),OR(TypeFilter="All",$C467=TypeFilter)),1,0)</f>
        <v/>
      </c>
    </row>
    <row r="468" ht="15" customHeight="1" s="20">
      <c r="A468" s="19" t="inlineStr">
        <is>
          <t>s2266</t>
        </is>
      </c>
      <c r="B468" s="19" t="inlineStr">
        <is>
          <t>Comedies</t>
        </is>
      </c>
      <c r="C468" s="19">
        <f>IFERROR(INDEX(tblNetflix[type],MATCH($A468,tblNetflix[show_id],0)),"")</f>
        <v/>
      </c>
      <c r="D468" s="19">
        <f>IFERROR(INDEX(tblNetflix[rating],MATCH($A468,tblNetflix[show_id],0)),"")</f>
        <v/>
      </c>
      <c r="E468" s="19">
        <f>IFERROR(INDEX(tblNetflix[year_added],MATCH($A468,tblNetflix[show_id],0)),"")</f>
        <v/>
      </c>
      <c r="F468" s="19">
        <f>IF(AND(OR(YearFilter="All",$E468=YearFilter),OR(RatingFilter="All",$D468=RatingFilter),OR(TypeFilter="All",$C468=TypeFilter)),1,0)</f>
        <v/>
      </c>
    </row>
    <row r="469" ht="15" customHeight="1" s="20">
      <c r="A469" s="19" t="inlineStr">
        <is>
          <t>s2266</t>
        </is>
      </c>
      <c r="B469" s="19" t="inlineStr">
        <is>
          <t>Dramas</t>
        </is>
      </c>
      <c r="C469" s="19">
        <f>IFERROR(INDEX(tblNetflix[type],MATCH($A469,tblNetflix[show_id],0)),"")</f>
        <v/>
      </c>
      <c r="D469" s="19">
        <f>IFERROR(INDEX(tblNetflix[rating],MATCH($A469,tblNetflix[show_id],0)),"")</f>
        <v/>
      </c>
      <c r="E469" s="19">
        <f>IFERROR(INDEX(tblNetflix[year_added],MATCH($A469,tblNetflix[show_id],0)),"")</f>
        <v/>
      </c>
      <c r="F469" s="19">
        <f>IF(AND(OR(YearFilter="All",$E469=YearFilter),OR(RatingFilter="All",$D469=RatingFilter),OR(TypeFilter="All",$C469=TypeFilter)),1,0)</f>
        <v/>
      </c>
    </row>
    <row r="470" ht="15" customHeight="1" s="20">
      <c r="A470" s="19" t="inlineStr">
        <is>
          <t>s2267</t>
        </is>
      </c>
      <c r="B470" s="19" t="inlineStr">
        <is>
          <t>Dramas</t>
        </is>
      </c>
      <c r="C470" s="19">
        <f>IFERROR(INDEX(tblNetflix[type],MATCH($A470,tblNetflix[show_id],0)),"")</f>
        <v/>
      </c>
      <c r="D470" s="19">
        <f>IFERROR(INDEX(tblNetflix[rating],MATCH($A470,tblNetflix[show_id],0)),"")</f>
        <v/>
      </c>
      <c r="E470" s="19">
        <f>IFERROR(INDEX(tblNetflix[year_added],MATCH($A470,tblNetflix[show_id],0)),"")</f>
        <v/>
      </c>
      <c r="F470" s="19">
        <f>IF(AND(OR(YearFilter="All",$E470=YearFilter),OR(RatingFilter="All",$D470=RatingFilter),OR(TypeFilter="All",$C470=TypeFilter)),1,0)</f>
        <v/>
      </c>
    </row>
    <row r="471" ht="15" customHeight="1" s="20">
      <c r="A471" s="19" t="inlineStr">
        <is>
          <t>s2267</t>
        </is>
      </c>
      <c r="B471" s="19" t="inlineStr">
        <is>
          <t>International Movies</t>
        </is>
      </c>
      <c r="C471" s="19">
        <f>IFERROR(INDEX(tblNetflix[type],MATCH($A471,tblNetflix[show_id],0)),"")</f>
        <v/>
      </c>
      <c r="D471" s="19">
        <f>IFERROR(INDEX(tblNetflix[rating],MATCH($A471,tblNetflix[show_id],0)),"")</f>
        <v/>
      </c>
      <c r="E471" s="19">
        <f>IFERROR(INDEX(tblNetflix[year_added],MATCH($A471,tblNetflix[show_id],0)),"")</f>
        <v/>
      </c>
      <c r="F471" s="19">
        <f>IF(AND(OR(YearFilter="All",$E471=YearFilter),OR(RatingFilter="All",$D471=RatingFilter),OR(TypeFilter="All",$C471=TypeFilter)),1,0)</f>
        <v/>
      </c>
    </row>
    <row r="472" ht="15" customHeight="1" s="20">
      <c r="A472" s="19" t="inlineStr">
        <is>
          <t>s2267</t>
        </is>
      </c>
      <c r="B472" s="19" t="inlineStr">
        <is>
          <t>Romantic Movies</t>
        </is>
      </c>
      <c r="C472" s="19">
        <f>IFERROR(INDEX(tblNetflix[type],MATCH($A472,tblNetflix[show_id],0)),"")</f>
        <v/>
      </c>
      <c r="D472" s="19">
        <f>IFERROR(INDEX(tblNetflix[rating],MATCH($A472,tblNetflix[show_id],0)),"")</f>
        <v/>
      </c>
      <c r="E472" s="19">
        <f>IFERROR(INDEX(tblNetflix[year_added],MATCH($A472,tblNetflix[show_id],0)),"")</f>
        <v/>
      </c>
      <c r="F472" s="19">
        <f>IF(AND(OR(YearFilter="All",$E472=YearFilter),OR(RatingFilter="All",$D472=RatingFilter),OR(TypeFilter="All",$C472=TypeFilter)),1,0)</f>
        <v/>
      </c>
    </row>
    <row r="473" ht="15" customHeight="1" s="20">
      <c r="A473" s="19" t="inlineStr">
        <is>
          <t>s2268</t>
        </is>
      </c>
      <c r="B473" s="19" t="inlineStr">
        <is>
          <t>Dramas</t>
        </is>
      </c>
      <c r="C473" s="19">
        <f>IFERROR(INDEX(tblNetflix[type],MATCH($A473,tblNetflix[show_id],0)),"")</f>
        <v/>
      </c>
      <c r="D473" s="19">
        <f>IFERROR(INDEX(tblNetflix[rating],MATCH($A473,tblNetflix[show_id],0)),"")</f>
        <v/>
      </c>
      <c r="E473" s="19">
        <f>IFERROR(INDEX(tblNetflix[year_added],MATCH($A473,tblNetflix[show_id],0)),"")</f>
        <v/>
      </c>
      <c r="F473" s="19">
        <f>IF(AND(OR(YearFilter="All",$E473=YearFilter),OR(RatingFilter="All",$D473=RatingFilter),OR(TypeFilter="All",$C473=TypeFilter)),1,0)</f>
        <v/>
      </c>
    </row>
    <row r="474" ht="15" customHeight="1" s="20">
      <c r="A474" s="19" t="inlineStr">
        <is>
          <t>s2268</t>
        </is>
      </c>
      <c r="B474" s="19" t="inlineStr">
        <is>
          <t>International Movies</t>
        </is>
      </c>
      <c r="C474" s="19">
        <f>IFERROR(INDEX(tblNetflix[type],MATCH($A474,tblNetflix[show_id],0)),"")</f>
        <v/>
      </c>
      <c r="D474" s="19">
        <f>IFERROR(INDEX(tblNetflix[rating],MATCH($A474,tblNetflix[show_id],0)),"")</f>
        <v/>
      </c>
      <c r="E474" s="19">
        <f>IFERROR(INDEX(tblNetflix[year_added],MATCH($A474,tblNetflix[show_id],0)),"")</f>
        <v/>
      </c>
      <c r="F474" s="19">
        <f>IF(AND(OR(YearFilter="All",$E474=YearFilter),OR(RatingFilter="All",$D474=RatingFilter),OR(TypeFilter="All",$C474=TypeFilter)),1,0)</f>
        <v/>
      </c>
    </row>
    <row r="475" ht="15" customHeight="1" s="20">
      <c r="A475" s="19" t="inlineStr">
        <is>
          <t>s2269</t>
        </is>
      </c>
      <c r="B475" s="19" t="inlineStr">
        <is>
          <t>Action &amp; Adventure</t>
        </is>
      </c>
      <c r="C475" s="19">
        <f>IFERROR(INDEX(tblNetflix[type],MATCH($A475,tblNetflix[show_id],0)),"")</f>
        <v/>
      </c>
      <c r="D475" s="19">
        <f>IFERROR(INDEX(tblNetflix[rating],MATCH($A475,tblNetflix[show_id],0)),"")</f>
        <v/>
      </c>
      <c r="E475" s="19">
        <f>IFERROR(INDEX(tblNetflix[year_added],MATCH($A475,tblNetflix[show_id],0)),"")</f>
        <v/>
      </c>
      <c r="F475" s="19">
        <f>IF(AND(OR(YearFilter="All",$E475=YearFilter),OR(RatingFilter="All",$D475=RatingFilter),OR(TypeFilter="All",$C475=TypeFilter)),1,0)</f>
        <v/>
      </c>
    </row>
    <row r="476" ht="15" customHeight="1" s="20">
      <c r="A476" s="19" t="inlineStr">
        <is>
          <t>s2269</t>
        </is>
      </c>
      <c r="B476" s="19" t="inlineStr">
        <is>
          <t>Comedies</t>
        </is>
      </c>
      <c r="C476" s="19">
        <f>IFERROR(INDEX(tblNetflix[type],MATCH($A476,tblNetflix[show_id],0)),"")</f>
        <v/>
      </c>
      <c r="D476" s="19">
        <f>IFERROR(INDEX(tblNetflix[rating],MATCH($A476,tblNetflix[show_id],0)),"")</f>
        <v/>
      </c>
      <c r="E476" s="19">
        <f>IFERROR(INDEX(tblNetflix[year_added],MATCH($A476,tblNetflix[show_id],0)),"")</f>
        <v/>
      </c>
      <c r="F476" s="19">
        <f>IF(AND(OR(YearFilter="All",$E476=YearFilter),OR(RatingFilter="All",$D476=RatingFilter),OR(TypeFilter="All",$C476=TypeFilter)),1,0)</f>
        <v/>
      </c>
    </row>
    <row r="477" ht="15" customHeight="1" s="20">
      <c r="A477" s="19" t="inlineStr">
        <is>
          <t>s2269</t>
        </is>
      </c>
      <c r="B477" s="19" t="inlineStr">
        <is>
          <t>Dramas</t>
        </is>
      </c>
      <c r="C477" s="19">
        <f>IFERROR(INDEX(tblNetflix[type],MATCH($A477,tblNetflix[show_id],0)),"")</f>
        <v/>
      </c>
      <c r="D477" s="19">
        <f>IFERROR(INDEX(tblNetflix[rating],MATCH($A477,tblNetflix[show_id],0)),"")</f>
        <v/>
      </c>
      <c r="E477" s="19">
        <f>IFERROR(INDEX(tblNetflix[year_added],MATCH($A477,tblNetflix[show_id],0)),"")</f>
        <v/>
      </c>
      <c r="F477" s="19">
        <f>IF(AND(OR(YearFilter="All",$E477=YearFilter),OR(RatingFilter="All",$D477=RatingFilter),OR(TypeFilter="All",$C477=TypeFilter)),1,0)</f>
        <v/>
      </c>
    </row>
    <row r="478" ht="15" customHeight="1" s="20">
      <c r="A478" s="19" t="inlineStr">
        <is>
          <t>s2270</t>
        </is>
      </c>
      <c r="B478" s="19" t="inlineStr">
        <is>
          <t>Dramas</t>
        </is>
      </c>
      <c r="C478" s="19">
        <f>IFERROR(INDEX(tblNetflix[type],MATCH($A478,tblNetflix[show_id],0)),"")</f>
        <v/>
      </c>
      <c r="D478" s="19">
        <f>IFERROR(INDEX(tblNetflix[rating],MATCH($A478,tblNetflix[show_id],0)),"")</f>
        <v/>
      </c>
      <c r="E478" s="19">
        <f>IFERROR(INDEX(tblNetflix[year_added],MATCH($A478,tblNetflix[show_id],0)),"")</f>
        <v/>
      </c>
      <c r="F478" s="19">
        <f>IF(AND(OR(YearFilter="All",$E478=YearFilter),OR(RatingFilter="All",$D478=RatingFilter),OR(TypeFilter="All",$C478=TypeFilter)),1,0)</f>
        <v/>
      </c>
    </row>
    <row r="479" ht="15" customHeight="1" s="20">
      <c r="A479" s="19" t="inlineStr">
        <is>
          <t>s2270</t>
        </is>
      </c>
      <c r="B479" s="19" t="inlineStr">
        <is>
          <t>Independent Movies</t>
        </is>
      </c>
      <c r="C479" s="19">
        <f>IFERROR(INDEX(tblNetflix[type],MATCH($A479,tblNetflix[show_id],0)),"")</f>
        <v/>
      </c>
      <c r="D479" s="19">
        <f>IFERROR(INDEX(tblNetflix[rating],MATCH($A479,tblNetflix[show_id],0)),"")</f>
        <v/>
      </c>
      <c r="E479" s="19">
        <f>IFERROR(INDEX(tblNetflix[year_added],MATCH($A479,tblNetflix[show_id],0)),"")</f>
        <v/>
      </c>
      <c r="F479" s="19">
        <f>IF(AND(OR(YearFilter="All",$E479=YearFilter),OR(RatingFilter="All",$D479=RatingFilter),OR(TypeFilter="All",$C479=TypeFilter)),1,0)</f>
        <v/>
      </c>
    </row>
    <row r="480" ht="15" customHeight="1" s="20">
      <c r="A480" s="19" t="inlineStr">
        <is>
          <t>s2270</t>
        </is>
      </c>
      <c r="B480" s="19" t="inlineStr">
        <is>
          <t>International Movies</t>
        </is>
      </c>
      <c r="C480" s="19">
        <f>IFERROR(INDEX(tblNetflix[type],MATCH($A480,tblNetflix[show_id],0)),"")</f>
        <v/>
      </c>
      <c r="D480" s="19">
        <f>IFERROR(INDEX(tblNetflix[rating],MATCH($A480,tblNetflix[show_id],0)),"")</f>
        <v/>
      </c>
      <c r="E480" s="19">
        <f>IFERROR(INDEX(tblNetflix[year_added],MATCH($A480,tblNetflix[show_id],0)),"")</f>
        <v/>
      </c>
      <c r="F480" s="19">
        <f>IF(AND(OR(YearFilter="All",$E480=YearFilter),OR(RatingFilter="All",$D480=RatingFilter),OR(TypeFilter="All",$C480=TypeFilter)),1,0)</f>
        <v/>
      </c>
    </row>
    <row r="481" ht="15" customHeight="1" s="20">
      <c r="A481" s="19" t="inlineStr">
        <is>
          <t>s2271</t>
        </is>
      </c>
      <c r="B481" s="19" t="inlineStr">
        <is>
          <t>Comedies</t>
        </is>
      </c>
      <c r="C481" s="19">
        <f>IFERROR(INDEX(tblNetflix[type],MATCH($A481,tblNetflix[show_id],0)),"")</f>
        <v/>
      </c>
      <c r="D481" s="19">
        <f>IFERROR(INDEX(tblNetflix[rating],MATCH($A481,tblNetflix[show_id],0)),"")</f>
        <v/>
      </c>
      <c r="E481" s="19">
        <f>IFERROR(INDEX(tblNetflix[year_added],MATCH($A481,tblNetflix[show_id],0)),"")</f>
        <v/>
      </c>
      <c r="F481" s="19">
        <f>IF(AND(OR(YearFilter="All",$E481=YearFilter),OR(RatingFilter="All",$D481=RatingFilter),OR(TypeFilter="All",$C481=TypeFilter)),1,0)</f>
        <v/>
      </c>
    </row>
    <row r="482" ht="15" customHeight="1" s="20">
      <c r="A482" s="19" t="inlineStr">
        <is>
          <t>s2271</t>
        </is>
      </c>
      <c r="B482" s="19" t="inlineStr">
        <is>
          <t>International Movies</t>
        </is>
      </c>
      <c r="C482" s="19">
        <f>IFERROR(INDEX(tblNetflix[type],MATCH($A482,tblNetflix[show_id],0)),"")</f>
        <v/>
      </c>
      <c r="D482" s="19">
        <f>IFERROR(INDEX(tblNetflix[rating],MATCH($A482,tblNetflix[show_id],0)),"")</f>
        <v/>
      </c>
      <c r="E482" s="19">
        <f>IFERROR(INDEX(tblNetflix[year_added],MATCH($A482,tblNetflix[show_id],0)),"")</f>
        <v/>
      </c>
      <c r="F482" s="19">
        <f>IF(AND(OR(YearFilter="All",$E482=YearFilter),OR(RatingFilter="All",$D482=RatingFilter),OR(TypeFilter="All",$C482=TypeFilter)),1,0)</f>
        <v/>
      </c>
    </row>
    <row r="483" ht="15" customHeight="1" s="20">
      <c r="A483" s="19" t="inlineStr">
        <is>
          <t>s2271</t>
        </is>
      </c>
      <c r="B483" s="19" t="inlineStr">
        <is>
          <t>Music &amp; Musicals</t>
        </is>
      </c>
      <c r="C483" s="19">
        <f>IFERROR(INDEX(tblNetflix[type],MATCH($A483,tblNetflix[show_id],0)),"")</f>
        <v/>
      </c>
      <c r="D483" s="19">
        <f>IFERROR(INDEX(tblNetflix[rating],MATCH($A483,tblNetflix[show_id],0)),"")</f>
        <v/>
      </c>
      <c r="E483" s="19">
        <f>IFERROR(INDEX(tblNetflix[year_added],MATCH($A483,tblNetflix[show_id],0)),"")</f>
        <v/>
      </c>
      <c r="F483" s="19">
        <f>IF(AND(OR(YearFilter="All",$E483=YearFilter),OR(RatingFilter="All",$D483=RatingFilter),OR(TypeFilter="All",$C483=TypeFilter)),1,0)</f>
        <v/>
      </c>
    </row>
    <row r="484" ht="15" customHeight="1" s="20">
      <c r="A484" s="19" t="inlineStr">
        <is>
          <t>s2272</t>
        </is>
      </c>
      <c r="B484" s="19" t="inlineStr">
        <is>
          <t>Comedies</t>
        </is>
      </c>
      <c r="C484" s="19">
        <f>IFERROR(INDEX(tblNetflix[type],MATCH($A484,tblNetflix[show_id],0)),"")</f>
        <v/>
      </c>
      <c r="D484" s="19">
        <f>IFERROR(INDEX(tblNetflix[rating],MATCH($A484,tblNetflix[show_id],0)),"")</f>
        <v/>
      </c>
      <c r="E484" s="19">
        <f>IFERROR(INDEX(tblNetflix[year_added],MATCH($A484,tblNetflix[show_id],0)),"")</f>
        <v/>
      </c>
      <c r="F484" s="19">
        <f>IF(AND(OR(YearFilter="All",$E484=YearFilter),OR(RatingFilter="All",$D484=RatingFilter),OR(TypeFilter="All",$C484=TypeFilter)),1,0)</f>
        <v/>
      </c>
    </row>
    <row r="485" ht="15" customHeight="1" s="20">
      <c r="A485" s="19" t="inlineStr">
        <is>
          <t>s2272</t>
        </is>
      </c>
      <c r="B485" s="19" t="inlineStr">
        <is>
          <t>Dramas</t>
        </is>
      </c>
      <c r="C485" s="19">
        <f>IFERROR(INDEX(tblNetflix[type],MATCH($A485,tblNetflix[show_id],0)),"")</f>
        <v/>
      </c>
      <c r="D485" s="19">
        <f>IFERROR(INDEX(tblNetflix[rating],MATCH($A485,tblNetflix[show_id],0)),"")</f>
        <v/>
      </c>
      <c r="E485" s="19">
        <f>IFERROR(INDEX(tblNetflix[year_added],MATCH($A485,tblNetflix[show_id],0)),"")</f>
        <v/>
      </c>
      <c r="F485" s="19">
        <f>IF(AND(OR(YearFilter="All",$E485=YearFilter),OR(RatingFilter="All",$D485=RatingFilter),OR(TypeFilter="All",$C485=TypeFilter)),1,0)</f>
        <v/>
      </c>
    </row>
    <row r="486" ht="15" customHeight="1" s="20">
      <c r="A486" s="19" t="inlineStr">
        <is>
          <t>s2272</t>
        </is>
      </c>
      <c r="B486" s="19" t="inlineStr">
        <is>
          <t>International Movies</t>
        </is>
      </c>
      <c r="C486" s="19">
        <f>IFERROR(INDEX(tblNetflix[type],MATCH($A486,tblNetflix[show_id],0)),"")</f>
        <v/>
      </c>
      <c r="D486" s="19">
        <f>IFERROR(INDEX(tblNetflix[rating],MATCH($A486,tblNetflix[show_id],0)),"")</f>
        <v/>
      </c>
      <c r="E486" s="19">
        <f>IFERROR(INDEX(tblNetflix[year_added],MATCH($A486,tblNetflix[show_id],0)),"")</f>
        <v/>
      </c>
      <c r="F486" s="19">
        <f>IF(AND(OR(YearFilter="All",$E486=YearFilter),OR(RatingFilter="All",$D486=RatingFilter),OR(TypeFilter="All",$C486=TypeFilter)),1,0)</f>
        <v/>
      </c>
    </row>
    <row r="487" ht="15" customHeight="1" s="20">
      <c r="A487" s="19" t="inlineStr">
        <is>
          <t>s2273</t>
        </is>
      </c>
      <c r="B487" s="19" t="inlineStr">
        <is>
          <t>Dramas</t>
        </is>
      </c>
      <c r="C487" s="19">
        <f>IFERROR(INDEX(tblNetflix[type],MATCH($A487,tblNetflix[show_id],0)),"")</f>
        <v/>
      </c>
      <c r="D487" s="19">
        <f>IFERROR(INDEX(tblNetflix[rating],MATCH($A487,tblNetflix[show_id],0)),"")</f>
        <v/>
      </c>
      <c r="E487" s="19">
        <f>IFERROR(INDEX(tblNetflix[year_added],MATCH($A487,tblNetflix[show_id],0)),"")</f>
        <v/>
      </c>
      <c r="F487" s="19">
        <f>IF(AND(OR(YearFilter="All",$E487=YearFilter),OR(RatingFilter="All",$D487=RatingFilter),OR(TypeFilter="All",$C487=TypeFilter)),1,0)</f>
        <v/>
      </c>
    </row>
    <row r="488" ht="15" customHeight="1" s="20">
      <c r="A488" s="19" t="inlineStr">
        <is>
          <t>s2273</t>
        </is>
      </c>
      <c r="B488" s="19" t="inlineStr">
        <is>
          <t>International Movies</t>
        </is>
      </c>
      <c r="C488" s="19">
        <f>IFERROR(INDEX(tblNetflix[type],MATCH($A488,tblNetflix[show_id],0)),"")</f>
        <v/>
      </c>
      <c r="D488" s="19">
        <f>IFERROR(INDEX(tblNetflix[rating],MATCH($A488,tblNetflix[show_id],0)),"")</f>
        <v/>
      </c>
      <c r="E488" s="19">
        <f>IFERROR(INDEX(tblNetflix[year_added],MATCH($A488,tblNetflix[show_id],0)),"")</f>
        <v/>
      </c>
      <c r="F488" s="19">
        <f>IF(AND(OR(YearFilter="All",$E488=YearFilter),OR(RatingFilter="All",$D488=RatingFilter),OR(TypeFilter="All",$C488=TypeFilter)),1,0)</f>
        <v/>
      </c>
    </row>
    <row r="489" ht="15" customHeight="1" s="20">
      <c r="A489" s="19" t="inlineStr">
        <is>
          <t>s2273</t>
        </is>
      </c>
      <c r="B489" s="19" t="inlineStr">
        <is>
          <t>Thrillers</t>
        </is>
      </c>
      <c r="C489" s="19">
        <f>IFERROR(INDEX(tblNetflix[type],MATCH($A489,tblNetflix[show_id],0)),"")</f>
        <v/>
      </c>
      <c r="D489" s="19">
        <f>IFERROR(INDEX(tblNetflix[rating],MATCH($A489,tblNetflix[show_id],0)),"")</f>
        <v/>
      </c>
      <c r="E489" s="19">
        <f>IFERROR(INDEX(tblNetflix[year_added],MATCH($A489,tblNetflix[show_id],0)),"")</f>
        <v/>
      </c>
      <c r="F489" s="19">
        <f>IF(AND(OR(YearFilter="All",$E489=YearFilter),OR(RatingFilter="All",$D489=RatingFilter),OR(TypeFilter="All",$C489=TypeFilter)),1,0)</f>
        <v/>
      </c>
    </row>
    <row r="490" ht="15" customHeight="1" s="20">
      <c r="A490" s="19" t="inlineStr">
        <is>
          <t>s2274</t>
        </is>
      </c>
      <c r="B490" s="19" t="inlineStr">
        <is>
          <t>Action &amp; Adventure</t>
        </is>
      </c>
      <c r="C490" s="19">
        <f>IFERROR(INDEX(tblNetflix[type],MATCH($A490,tblNetflix[show_id],0)),"")</f>
        <v/>
      </c>
      <c r="D490" s="19">
        <f>IFERROR(INDEX(tblNetflix[rating],MATCH($A490,tblNetflix[show_id],0)),"")</f>
        <v/>
      </c>
      <c r="E490" s="19">
        <f>IFERROR(INDEX(tblNetflix[year_added],MATCH($A490,tblNetflix[show_id],0)),"")</f>
        <v/>
      </c>
      <c r="F490" s="19">
        <f>IF(AND(OR(YearFilter="All",$E490=YearFilter),OR(RatingFilter="All",$D490=RatingFilter),OR(TypeFilter="All",$C490=TypeFilter)),1,0)</f>
        <v/>
      </c>
    </row>
    <row r="491" ht="15" customHeight="1" s="20">
      <c r="A491" s="19" t="inlineStr">
        <is>
          <t>s2274</t>
        </is>
      </c>
      <c r="B491" s="19" t="inlineStr">
        <is>
          <t>Dramas</t>
        </is>
      </c>
      <c r="C491" s="19">
        <f>IFERROR(INDEX(tblNetflix[type],MATCH($A491,tblNetflix[show_id],0)),"")</f>
        <v/>
      </c>
      <c r="D491" s="19">
        <f>IFERROR(INDEX(tblNetflix[rating],MATCH($A491,tblNetflix[show_id],0)),"")</f>
        <v/>
      </c>
      <c r="E491" s="19">
        <f>IFERROR(INDEX(tblNetflix[year_added],MATCH($A491,tblNetflix[show_id],0)),"")</f>
        <v/>
      </c>
      <c r="F491" s="19">
        <f>IF(AND(OR(YearFilter="All",$E491=YearFilter),OR(RatingFilter="All",$D491=RatingFilter),OR(TypeFilter="All",$C491=TypeFilter)),1,0)</f>
        <v/>
      </c>
    </row>
    <row r="492" ht="15" customHeight="1" s="20">
      <c r="A492" s="19" t="inlineStr">
        <is>
          <t>s2274</t>
        </is>
      </c>
      <c r="B492" s="19" t="inlineStr">
        <is>
          <t>International Movies</t>
        </is>
      </c>
      <c r="C492" s="19">
        <f>IFERROR(INDEX(tblNetflix[type],MATCH($A492,tblNetflix[show_id],0)),"")</f>
        <v/>
      </c>
      <c r="D492" s="19">
        <f>IFERROR(INDEX(tblNetflix[rating],MATCH($A492,tblNetflix[show_id],0)),"")</f>
        <v/>
      </c>
      <c r="E492" s="19">
        <f>IFERROR(INDEX(tblNetflix[year_added],MATCH($A492,tblNetflix[show_id],0)),"")</f>
        <v/>
      </c>
      <c r="F492" s="19">
        <f>IF(AND(OR(YearFilter="All",$E492=YearFilter),OR(RatingFilter="All",$D492=RatingFilter),OR(TypeFilter="All",$C492=TypeFilter)),1,0)</f>
        <v/>
      </c>
    </row>
    <row r="493" ht="15" customHeight="1" s="20">
      <c r="A493" s="19" t="inlineStr">
        <is>
          <t>s2275</t>
        </is>
      </c>
      <c r="B493" s="19" t="inlineStr">
        <is>
          <t>Action &amp; Adventure</t>
        </is>
      </c>
      <c r="C493" s="19">
        <f>IFERROR(INDEX(tblNetflix[type],MATCH($A493,tblNetflix[show_id],0)),"")</f>
        <v/>
      </c>
      <c r="D493" s="19">
        <f>IFERROR(INDEX(tblNetflix[rating],MATCH($A493,tblNetflix[show_id],0)),"")</f>
        <v/>
      </c>
      <c r="E493" s="19">
        <f>IFERROR(INDEX(tblNetflix[year_added],MATCH($A493,tblNetflix[show_id],0)),"")</f>
        <v/>
      </c>
      <c r="F493" s="19">
        <f>IF(AND(OR(YearFilter="All",$E493=YearFilter),OR(RatingFilter="All",$D493=RatingFilter),OR(TypeFilter="All",$C493=TypeFilter)),1,0)</f>
        <v/>
      </c>
    </row>
    <row r="494" ht="15" customHeight="1" s="20">
      <c r="A494" s="19" t="inlineStr">
        <is>
          <t>s2275</t>
        </is>
      </c>
      <c r="B494" s="19" t="inlineStr">
        <is>
          <t>Comedies</t>
        </is>
      </c>
      <c r="C494" s="19">
        <f>IFERROR(INDEX(tblNetflix[type],MATCH($A494,tblNetflix[show_id],0)),"")</f>
        <v/>
      </c>
      <c r="D494" s="19">
        <f>IFERROR(INDEX(tblNetflix[rating],MATCH($A494,tblNetflix[show_id],0)),"")</f>
        <v/>
      </c>
      <c r="E494" s="19">
        <f>IFERROR(INDEX(tblNetflix[year_added],MATCH($A494,tblNetflix[show_id],0)),"")</f>
        <v/>
      </c>
      <c r="F494" s="19">
        <f>IF(AND(OR(YearFilter="All",$E494=YearFilter),OR(RatingFilter="All",$D494=RatingFilter),OR(TypeFilter="All",$C494=TypeFilter)),1,0)</f>
        <v/>
      </c>
    </row>
    <row r="495" ht="15" customHeight="1" s="20">
      <c r="A495" s="19" t="inlineStr">
        <is>
          <t>s2275</t>
        </is>
      </c>
      <c r="B495" s="19" t="inlineStr">
        <is>
          <t>International Movies</t>
        </is>
      </c>
      <c r="C495" s="19">
        <f>IFERROR(INDEX(tblNetflix[type],MATCH($A495,tblNetflix[show_id],0)),"")</f>
        <v/>
      </c>
      <c r="D495" s="19">
        <f>IFERROR(INDEX(tblNetflix[rating],MATCH($A495,tblNetflix[show_id],0)),"")</f>
        <v/>
      </c>
      <c r="E495" s="19">
        <f>IFERROR(INDEX(tblNetflix[year_added],MATCH($A495,tblNetflix[show_id],0)),"")</f>
        <v/>
      </c>
      <c r="F495" s="19">
        <f>IF(AND(OR(YearFilter="All",$E495=YearFilter),OR(RatingFilter="All",$D495=RatingFilter),OR(TypeFilter="All",$C495=TypeFilter)),1,0)</f>
        <v/>
      </c>
    </row>
    <row r="496" ht="15" customHeight="1" s="20">
      <c r="A496" s="19" t="inlineStr">
        <is>
          <t>s2277</t>
        </is>
      </c>
      <c r="B496" s="19" t="inlineStr">
        <is>
          <t>Dramas</t>
        </is>
      </c>
      <c r="C496" s="19">
        <f>IFERROR(INDEX(tblNetflix[type],MATCH($A496,tblNetflix[show_id],0)),"")</f>
        <v/>
      </c>
      <c r="D496" s="19">
        <f>IFERROR(INDEX(tblNetflix[rating],MATCH($A496,tblNetflix[show_id],0)),"")</f>
        <v/>
      </c>
      <c r="E496" s="19">
        <f>IFERROR(INDEX(tblNetflix[year_added],MATCH($A496,tblNetflix[show_id],0)),"")</f>
        <v/>
      </c>
      <c r="F496" s="19">
        <f>IF(AND(OR(YearFilter="All",$E496=YearFilter),OR(RatingFilter="All",$D496=RatingFilter),OR(TypeFilter="All",$C496=TypeFilter)),1,0)</f>
        <v/>
      </c>
    </row>
    <row r="497" ht="15" customHeight="1" s="20">
      <c r="A497" s="19" t="inlineStr">
        <is>
          <t>s2277</t>
        </is>
      </c>
      <c r="B497" s="19" t="inlineStr">
        <is>
          <t>International Movies</t>
        </is>
      </c>
      <c r="C497" s="19">
        <f>IFERROR(INDEX(tblNetflix[type],MATCH($A497,tblNetflix[show_id],0)),"")</f>
        <v/>
      </c>
      <c r="D497" s="19">
        <f>IFERROR(INDEX(tblNetflix[rating],MATCH($A497,tblNetflix[show_id],0)),"")</f>
        <v/>
      </c>
      <c r="E497" s="19">
        <f>IFERROR(INDEX(tblNetflix[year_added],MATCH($A497,tblNetflix[show_id],0)),"")</f>
        <v/>
      </c>
      <c r="F497" s="19">
        <f>IF(AND(OR(YearFilter="All",$E497=YearFilter),OR(RatingFilter="All",$D497=RatingFilter),OR(TypeFilter="All",$C497=TypeFilter)),1,0)</f>
        <v/>
      </c>
    </row>
    <row r="498" ht="15" customHeight="1" s="20">
      <c r="A498" s="19" t="inlineStr">
        <is>
          <t>s2277</t>
        </is>
      </c>
      <c r="B498" s="19" t="inlineStr">
        <is>
          <t>Romantic Movies</t>
        </is>
      </c>
      <c r="C498" s="19">
        <f>IFERROR(INDEX(tblNetflix[type],MATCH($A498,tblNetflix[show_id],0)),"")</f>
        <v/>
      </c>
      <c r="D498" s="19">
        <f>IFERROR(INDEX(tblNetflix[rating],MATCH($A498,tblNetflix[show_id],0)),"")</f>
        <v/>
      </c>
      <c r="E498" s="19">
        <f>IFERROR(INDEX(tblNetflix[year_added],MATCH($A498,tblNetflix[show_id],0)),"")</f>
        <v/>
      </c>
      <c r="F498" s="19">
        <f>IF(AND(OR(YearFilter="All",$E498=YearFilter),OR(RatingFilter="All",$D498=RatingFilter),OR(TypeFilter="All",$C498=TypeFilter)),1,0)</f>
        <v/>
      </c>
    </row>
    <row r="499" ht="15" customHeight="1" s="20">
      <c r="A499" s="19" t="inlineStr">
        <is>
          <t>s2278</t>
        </is>
      </c>
      <c r="B499" s="19" t="inlineStr">
        <is>
          <t>Dramas</t>
        </is>
      </c>
      <c r="C499" s="19">
        <f>IFERROR(INDEX(tblNetflix[type],MATCH($A499,tblNetflix[show_id],0)),"")</f>
        <v/>
      </c>
      <c r="D499" s="19">
        <f>IFERROR(INDEX(tblNetflix[rating],MATCH($A499,tblNetflix[show_id],0)),"")</f>
        <v/>
      </c>
      <c r="E499" s="19">
        <f>IFERROR(INDEX(tblNetflix[year_added],MATCH($A499,tblNetflix[show_id],0)),"")</f>
        <v/>
      </c>
      <c r="F499" s="19">
        <f>IF(AND(OR(YearFilter="All",$E499=YearFilter),OR(RatingFilter="All",$D499=RatingFilter),OR(TypeFilter="All",$C499=TypeFilter)),1,0)</f>
        <v/>
      </c>
    </row>
    <row r="500" ht="15" customHeight="1" s="20">
      <c r="A500" s="19" t="inlineStr">
        <is>
          <t>s2278</t>
        </is>
      </c>
      <c r="B500" s="19" t="inlineStr">
        <is>
          <t>International Movies</t>
        </is>
      </c>
      <c r="C500" s="19">
        <f>IFERROR(INDEX(tblNetflix[type],MATCH($A500,tblNetflix[show_id],0)),"")</f>
        <v/>
      </c>
      <c r="D500" s="19">
        <f>IFERROR(INDEX(tblNetflix[rating],MATCH($A500,tblNetflix[show_id],0)),"")</f>
        <v/>
      </c>
      <c r="E500" s="19">
        <f>IFERROR(INDEX(tblNetflix[year_added],MATCH($A500,tblNetflix[show_id],0)),"")</f>
        <v/>
      </c>
      <c r="F500" s="19">
        <f>IF(AND(OR(YearFilter="All",$E500=YearFilter),OR(RatingFilter="All",$D500=RatingFilter),OR(TypeFilter="All",$C500=TypeFilter)),1,0)</f>
        <v/>
      </c>
    </row>
    <row r="501" ht="15" customHeight="1" s="20">
      <c r="A501" s="19" t="inlineStr">
        <is>
          <t>s2278</t>
        </is>
      </c>
      <c r="B501" s="19" t="inlineStr">
        <is>
          <t>Thrillers</t>
        </is>
      </c>
      <c r="C501" s="19">
        <f>IFERROR(INDEX(tblNetflix[type],MATCH($A501,tblNetflix[show_id],0)),"")</f>
        <v/>
      </c>
      <c r="D501" s="19">
        <f>IFERROR(INDEX(tblNetflix[rating],MATCH($A501,tblNetflix[show_id],0)),"")</f>
        <v/>
      </c>
      <c r="E501" s="19">
        <f>IFERROR(INDEX(tblNetflix[year_added],MATCH($A501,tblNetflix[show_id],0)),"")</f>
        <v/>
      </c>
      <c r="F501" s="19">
        <f>IF(AND(OR(YearFilter="All",$E501=YearFilter),OR(RatingFilter="All",$D501=RatingFilter),OR(TypeFilter="All",$C501=TypeFilter)),1,0)</f>
        <v/>
      </c>
    </row>
    <row r="502" ht="15" customHeight="1" s="20">
      <c r="A502" s="19" t="inlineStr">
        <is>
          <t>s2279</t>
        </is>
      </c>
      <c r="B502" s="19" t="inlineStr">
        <is>
          <t>Dramas</t>
        </is>
      </c>
      <c r="C502" s="19">
        <f>IFERROR(INDEX(tblNetflix[type],MATCH($A502,tblNetflix[show_id],0)),"")</f>
        <v/>
      </c>
      <c r="D502" s="19">
        <f>IFERROR(INDEX(tblNetflix[rating],MATCH($A502,tblNetflix[show_id],0)),"")</f>
        <v/>
      </c>
      <c r="E502" s="19">
        <f>IFERROR(INDEX(tblNetflix[year_added],MATCH($A502,tblNetflix[show_id],0)),"")</f>
        <v/>
      </c>
      <c r="F502" s="19">
        <f>IF(AND(OR(YearFilter="All",$E502=YearFilter),OR(RatingFilter="All",$D502=RatingFilter),OR(TypeFilter="All",$C502=TypeFilter)),1,0)</f>
        <v/>
      </c>
    </row>
    <row r="503" ht="15" customHeight="1" s="20">
      <c r="A503" s="19" t="inlineStr">
        <is>
          <t>s2279</t>
        </is>
      </c>
      <c r="B503" s="19" t="inlineStr">
        <is>
          <t>International Movies</t>
        </is>
      </c>
      <c r="C503" s="19">
        <f>IFERROR(INDEX(tblNetflix[type],MATCH($A503,tblNetflix[show_id],0)),"")</f>
        <v/>
      </c>
      <c r="D503" s="19">
        <f>IFERROR(INDEX(tblNetflix[rating],MATCH($A503,tblNetflix[show_id],0)),"")</f>
        <v/>
      </c>
      <c r="E503" s="19">
        <f>IFERROR(INDEX(tblNetflix[year_added],MATCH($A503,tblNetflix[show_id],0)),"")</f>
        <v/>
      </c>
      <c r="F503" s="19">
        <f>IF(AND(OR(YearFilter="All",$E503=YearFilter),OR(RatingFilter="All",$D503=RatingFilter),OR(TypeFilter="All",$C503=TypeFilter)),1,0)</f>
        <v/>
      </c>
    </row>
    <row r="504" ht="15" customHeight="1" s="20">
      <c r="A504" s="19" t="inlineStr">
        <is>
          <t>s2279</t>
        </is>
      </c>
      <c r="B504" s="19" t="inlineStr">
        <is>
          <t>Sports Movies</t>
        </is>
      </c>
      <c r="C504" s="19">
        <f>IFERROR(INDEX(tblNetflix[type],MATCH($A504,tblNetflix[show_id],0)),"")</f>
        <v/>
      </c>
      <c r="D504" s="19">
        <f>IFERROR(INDEX(tblNetflix[rating],MATCH($A504,tblNetflix[show_id],0)),"")</f>
        <v/>
      </c>
      <c r="E504" s="19">
        <f>IFERROR(INDEX(tblNetflix[year_added],MATCH($A504,tblNetflix[show_id],0)),"")</f>
        <v/>
      </c>
      <c r="F504" s="19">
        <f>IF(AND(OR(YearFilter="All",$E504=YearFilter),OR(RatingFilter="All",$D504=RatingFilter),OR(TypeFilter="All",$C504=TypeFilter)),1,0)</f>
        <v/>
      </c>
    </row>
    <row r="505" ht="15" customHeight="1" s="20">
      <c r="A505" s="19" t="inlineStr">
        <is>
          <t>s2280</t>
        </is>
      </c>
      <c r="B505" s="19" t="inlineStr">
        <is>
          <t>Dramas</t>
        </is>
      </c>
      <c r="C505" s="19">
        <f>IFERROR(INDEX(tblNetflix[type],MATCH($A505,tblNetflix[show_id],0)),"")</f>
        <v/>
      </c>
      <c r="D505" s="19">
        <f>IFERROR(INDEX(tblNetflix[rating],MATCH($A505,tblNetflix[show_id],0)),"")</f>
        <v/>
      </c>
      <c r="E505" s="19">
        <f>IFERROR(INDEX(tblNetflix[year_added],MATCH($A505,tblNetflix[show_id],0)),"")</f>
        <v/>
      </c>
      <c r="F505" s="19">
        <f>IF(AND(OR(YearFilter="All",$E505=YearFilter),OR(RatingFilter="All",$D505=RatingFilter),OR(TypeFilter="All",$C505=TypeFilter)),1,0)</f>
        <v/>
      </c>
    </row>
    <row r="506" ht="15" customHeight="1" s="20">
      <c r="A506" s="19" t="inlineStr">
        <is>
          <t>s2280</t>
        </is>
      </c>
      <c r="B506" s="19" t="inlineStr">
        <is>
          <t>Independent Movies</t>
        </is>
      </c>
      <c r="C506" s="19">
        <f>IFERROR(INDEX(tblNetflix[type],MATCH($A506,tblNetflix[show_id],0)),"")</f>
        <v/>
      </c>
      <c r="D506" s="19">
        <f>IFERROR(INDEX(tblNetflix[rating],MATCH($A506,tblNetflix[show_id],0)),"")</f>
        <v/>
      </c>
      <c r="E506" s="19">
        <f>IFERROR(INDEX(tblNetflix[year_added],MATCH($A506,tblNetflix[show_id],0)),"")</f>
        <v/>
      </c>
      <c r="F506" s="19">
        <f>IF(AND(OR(YearFilter="All",$E506=YearFilter),OR(RatingFilter="All",$D506=RatingFilter),OR(TypeFilter="All",$C506=TypeFilter)),1,0)</f>
        <v/>
      </c>
    </row>
    <row r="507" ht="15" customHeight="1" s="20">
      <c r="A507" s="19" t="inlineStr">
        <is>
          <t>s2280</t>
        </is>
      </c>
      <c r="B507" s="19" t="inlineStr">
        <is>
          <t>International Movies</t>
        </is>
      </c>
      <c r="C507" s="19">
        <f>IFERROR(INDEX(tblNetflix[type],MATCH($A507,tblNetflix[show_id],0)),"")</f>
        <v/>
      </c>
      <c r="D507" s="19">
        <f>IFERROR(INDEX(tblNetflix[rating],MATCH($A507,tblNetflix[show_id],0)),"")</f>
        <v/>
      </c>
      <c r="E507" s="19">
        <f>IFERROR(INDEX(tblNetflix[year_added],MATCH($A507,tblNetflix[show_id],0)),"")</f>
        <v/>
      </c>
      <c r="F507" s="19">
        <f>IF(AND(OR(YearFilter="All",$E507=YearFilter),OR(RatingFilter="All",$D507=RatingFilter),OR(TypeFilter="All",$C507=TypeFilter)),1,0)</f>
        <v/>
      </c>
    </row>
    <row r="508" ht="15" customHeight="1" s="20">
      <c r="A508" s="19" t="inlineStr">
        <is>
          <t>s2281</t>
        </is>
      </c>
      <c r="B508" s="19" t="inlineStr">
        <is>
          <t>Comedies</t>
        </is>
      </c>
      <c r="C508" s="19">
        <f>IFERROR(INDEX(tblNetflix[type],MATCH($A508,tblNetflix[show_id],0)),"")</f>
        <v/>
      </c>
      <c r="D508" s="19">
        <f>IFERROR(INDEX(tblNetflix[rating],MATCH($A508,tblNetflix[show_id],0)),"")</f>
        <v/>
      </c>
      <c r="E508" s="19">
        <f>IFERROR(INDEX(tblNetflix[year_added],MATCH($A508,tblNetflix[show_id],0)),"")</f>
        <v/>
      </c>
      <c r="F508" s="19">
        <f>IF(AND(OR(YearFilter="All",$E508=YearFilter),OR(RatingFilter="All",$D508=RatingFilter),OR(TypeFilter="All",$C508=TypeFilter)),1,0)</f>
        <v/>
      </c>
    </row>
    <row r="509" ht="15" customHeight="1" s="20">
      <c r="A509" s="19" t="inlineStr">
        <is>
          <t>s2281</t>
        </is>
      </c>
      <c r="B509" s="19" t="inlineStr">
        <is>
          <t>International Movies</t>
        </is>
      </c>
      <c r="C509" s="19">
        <f>IFERROR(INDEX(tblNetflix[type],MATCH($A509,tblNetflix[show_id],0)),"")</f>
        <v/>
      </c>
      <c r="D509" s="19">
        <f>IFERROR(INDEX(tblNetflix[rating],MATCH($A509,tblNetflix[show_id],0)),"")</f>
        <v/>
      </c>
      <c r="E509" s="19">
        <f>IFERROR(INDEX(tblNetflix[year_added],MATCH($A509,tblNetflix[show_id],0)),"")</f>
        <v/>
      </c>
      <c r="F509" s="19">
        <f>IF(AND(OR(YearFilter="All",$E509=YearFilter),OR(RatingFilter="All",$D509=RatingFilter),OR(TypeFilter="All",$C509=TypeFilter)),1,0)</f>
        <v/>
      </c>
    </row>
    <row r="510" ht="15" customHeight="1" s="20">
      <c r="A510" s="19" t="inlineStr">
        <is>
          <t>s2281</t>
        </is>
      </c>
      <c r="B510" s="19" t="inlineStr">
        <is>
          <t>Romantic Movies</t>
        </is>
      </c>
      <c r="C510" s="19">
        <f>IFERROR(INDEX(tblNetflix[type],MATCH($A510,tblNetflix[show_id],0)),"")</f>
        <v/>
      </c>
      <c r="D510" s="19">
        <f>IFERROR(INDEX(tblNetflix[rating],MATCH($A510,tblNetflix[show_id],0)),"")</f>
        <v/>
      </c>
      <c r="E510" s="19">
        <f>IFERROR(INDEX(tblNetflix[year_added],MATCH($A510,tblNetflix[show_id],0)),"")</f>
        <v/>
      </c>
      <c r="F510" s="19">
        <f>IF(AND(OR(YearFilter="All",$E510=YearFilter),OR(RatingFilter="All",$D510=RatingFilter),OR(TypeFilter="All",$C510=TypeFilter)),1,0)</f>
        <v/>
      </c>
    </row>
    <row r="511" ht="15" customHeight="1" s="20">
      <c r="A511" s="19" t="inlineStr">
        <is>
          <t>s2282</t>
        </is>
      </c>
      <c r="B511" s="19" t="inlineStr">
        <is>
          <t>Comedies</t>
        </is>
      </c>
      <c r="C511" s="19">
        <f>IFERROR(INDEX(tblNetflix[type],MATCH($A511,tblNetflix[show_id],0)),"")</f>
        <v/>
      </c>
      <c r="D511" s="19">
        <f>IFERROR(INDEX(tblNetflix[rating],MATCH($A511,tblNetflix[show_id],0)),"")</f>
        <v/>
      </c>
      <c r="E511" s="19">
        <f>IFERROR(INDEX(tblNetflix[year_added],MATCH($A511,tblNetflix[show_id],0)),"")</f>
        <v/>
      </c>
      <c r="F511" s="19">
        <f>IF(AND(OR(YearFilter="All",$E511=YearFilter),OR(RatingFilter="All",$D511=RatingFilter),OR(TypeFilter="All",$C511=TypeFilter)),1,0)</f>
        <v/>
      </c>
    </row>
    <row r="512" ht="15" customHeight="1" s="20">
      <c r="A512" s="19" t="inlineStr">
        <is>
          <t>s2282</t>
        </is>
      </c>
      <c r="B512" s="19" t="inlineStr">
        <is>
          <t>Dramas</t>
        </is>
      </c>
      <c r="C512" s="19">
        <f>IFERROR(INDEX(tblNetflix[type],MATCH($A512,tblNetflix[show_id],0)),"")</f>
        <v/>
      </c>
      <c r="D512" s="19">
        <f>IFERROR(INDEX(tblNetflix[rating],MATCH($A512,tblNetflix[show_id],0)),"")</f>
        <v/>
      </c>
      <c r="E512" s="19">
        <f>IFERROR(INDEX(tblNetflix[year_added],MATCH($A512,tblNetflix[show_id],0)),"")</f>
        <v/>
      </c>
      <c r="F512" s="19">
        <f>IF(AND(OR(YearFilter="All",$E512=YearFilter),OR(RatingFilter="All",$D512=RatingFilter),OR(TypeFilter="All",$C512=TypeFilter)),1,0)</f>
        <v/>
      </c>
    </row>
    <row r="513" ht="15" customHeight="1" s="20">
      <c r="A513" s="19" t="inlineStr">
        <is>
          <t>s2282</t>
        </is>
      </c>
      <c r="B513" s="19" t="inlineStr">
        <is>
          <t>International Movies</t>
        </is>
      </c>
      <c r="C513" s="19">
        <f>IFERROR(INDEX(tblNetflix[type],MATCH($A513,tblNetflix[show_id],0)),"")</f>
        <v/>
      </c>
      <c r="D513" s="19">
        <f>IFERROR(INDEX(tblNetflix[rating],MATCH($A513,tblNetflix[show_id],0)),"")</f>
        <v/>
      </c>
      <c r="E513" s="19">
        <f>IFERROR(INDEX(tblNetflix[year_added],MATCH($A513,tblNetflix[show_id],0)),"")</f>
        <v/>
      </c>
      <c r="F513" s="19">
        <f>IF(AND(OR(YearFilter="All",$E513=YearFilter),OR(RatingFilter="All",$D513=RatingFilter),OR(TypeFilter="All",$C513=TypeFilter)),1,0)</f>
        <v/>
      </c>
    </row>
    <row r="514" ht="15" customHeight="1" s="20">
      <c r="A514" s="19" t="inlineStr">
        <is>
          <t>s2283</t>
        </is>
      </c>
      <c r="B514" s="19" t="inlineStr">
        <is>
          <t>Comedies</t>
        </is>
      </c>
      <c r="C514" s="19">
        <f>IFERROR(INDEX(tblNetflix[type],MATCH($A514,tblNetflix[show_id],0)),"")</f>
        <v/>
      </c>
      <c r="D514" s="19">
        <f>IFERROR(INDEX(tblNetflix[rating],MATCH($A514,tblNetflix[show_id],0)),"")</f>
        <v/>
      </c>
      <c r="E514" s="19">
        <f>IFERROR(INDEX(tblNetflix[year_added],MATCH($A514,tblNetflix[show_id],0)),"")</f>
        <v/>
      </c>
      <c r="F514" s="19">
        <f>IF(AND(OR(YearFilter="All",$E514=YearFilter),OR(RatingFilter="All",$D514=RatingFilter),OR(TypeFilter="All",$C514=TypeFilter)),1,0)</f>
        <v/>
      </c>
    </row>
    <row r="515" ht="15" customHeight="1" s="20">
      <c r="A515" s="19" t="inlineStr">
        <is>
          <t>s2283</t>
        </is>
      </c>
      <c r="B515" s="19" t="inlineStr">
        <is>
          <t>Dramas</t>
        </is>
      </c>
      <c r="C515" s="19">
        <f>IFERROR(INDEX(tblNetflix[type],MATCH($A515,tblNetflix[show_id],0)),"")</f>
        <v/>
      </c>
      <c r="D515" s="19">
        <f>IFERROR(INDEX(tblNetflix[rating],MATCH($A515,tblNetflix[show_id],0)),"")</f>
        <v/>
      </c>
      <c r="E515" s="19">
        <f>IFERROR(INDEX(tblNetflix[year_added],MATCH($A515,tblNetflix[show_id],0)),"")</f>
        <v/>
      </c>
      <c r="F515" s="19">
        <f>IF(AND(OR(YearFilter="All",$E515=YearFilter),OR(RatingFilter="All",$D515=RatingFilter),OR(TypeFilter="All",$C515=TypeFilter)),1,0)</f>
        <v/>
      </c>
    </row>
    <row r="516" ht="15" customHeight="1" s="20">
      <c r="A516" s="19" t="inlineStr">
        <is>
          <t>s2283</t>
        </is>
      </c>
      <c r="B516" s="19" t="inlineStr">
        <is>
          <t>International Movies</t>
        </is>
      </c>
      <c r="C516" s="19">
        <f>IFERROR(INDEX(tblNetflix[type],MATCH($A516,tblNetflix[show_id],0)),"")</f>
        <v/>
      </c>
      <c r="D516" s="19">
        <f>IFERROR(INDEX(tblNetflix[rating],MATCH($A516,tblNetflix[show_id],0)),"")</f>
        <v/>
      </c>
      <c r="E516" s="19">
        <f>IFERROR(INDEX(tblNetflix[year_added],MATCH($A516,tblNetflix[show_id],0)),"")</f>
        <v/>
      </c>
      <c r="F516" s="19">
        <f>IF(AND(OR(YearFilter="All",$E516=YearFilter),OR(RatingFilter="All",$D516=RatingFilter),OR(TypeFilter="All",$C516=TypeFilter)),1,0)</f>
        <v/>
      </c>
    </row>
    <row r="517" ht="15" customHeight="1" s="20">
      <c r="A517" s="19" t="inlineStr">
        <is>
          <t>s2285</t>
        </is>
      </c>
      <c r="B517" s="19" t="inlineStr">
        <is>
          <t>Dramas</t>
        </is>
      </c>
      <c r="C517" s="19">
        <f>IFERROR(INDEX(tblNetflix[type],MATCH($A517,tblNetflix[show_id],0)),"")</f>
        <v/>
      </c>
      <c r="D517" s="19">
        <f>IFERROR(INDEX(tblNetflix[rating],MATCH($A517,tblNetflix[show_id],0)),"")</f>
        <v/>
      </c>
      <c r="E517" s="19">
        <f>IFERROR(INDEX(tblNetflix[year_added],MATCH($A517,tblNetflix[show_id],0)),"")</f>
        <v/>
      </c>
      <c r="F517" s="19">
        <f>IF(AND(OR(YearFilter="All",$E517=YearFilter),OR(RatingFilter="All",$D517=RatingFilter),OR(TypeFilter="All",$C517=TypeFilter)),1,0)</f>
        <v/>
      </c>
    </row>
    <row r="518" ht="15" customHeight="1" s="20">
      <c r="A518" s="19" t="inlineStr">
        <is>
          <t>s2285</t>
        </is>
      </c>
      <c r="B518" s="19" t="inlineStr">
        <is>
          <t>Independent Movies</t>
        </is>
      </c>
      <c r="C518" s="19">
        <f>IFERROR(INDEX(tblNetflix[type],MATCH($A518,tblNetflix[show_id],0)),"")</f>
        <v/>
      </c>
      <c r="D518" s="19">
        <f>IFERROR(INDEX(tblNetflix[rating],MATCH($A518,tblNetflix[show_id],0)),"")</f>
        <v/>
      </c>
      <c r="E518" s="19">
        <f>IFERROR(INDEX(tblNetflix[year_added],MATCH($A518,tblNetflix[show_id],0)),"")</f>
        <v/>
      </c>
      <c r="F518" s="19">
        <f>IF(AND(OR(YearFilter="All",$E518=YearFilter),OR(RatingFilter="All",$D518=RatingFilter),OR(TypeFilter="All",$C518=TypeFilter)),1,0)</f>
        <v/>
      </c>
    </row>
    <row r="519" ht="15" customHeight="1" s="20">
      <c r="A519" s="19" t="inlineStr">
        <is>
          <t>s2285</t>
        </is>
      </c>
      <c r="B519" s="19" t="inlineStr">
        <is>
          <t>International Movies</t>
        </is>
      </c>
      <c r="C519" s="19">
        <f>IFERROR(INDEX(tblNetflix[type],MATCH($A519,tblNetflix[show_id],0)),"")</f>
        <v/>
      </c>
      <c r="D519" s="19">
        <f>IFERROR(INDEX(tblNetflix[rating],MATCH($A519,tblNetflix[show_id],0)),"")</f>
        <v/>
      </c>
      <c r="E519" s="19">
        <f>IFERROR(INDEX(tblNetflix[year_added],MATCH($A519,tblNetflix[show_id],0)),"")</f>
        <v/>
      </c>
      <c r="F519" s="19">
        <f>IF(AND(OR(YearFilter="All",$E519=YearFilter),OR(RatingFilter="All",$D519=RatingFilter),OR(TypeFilter="All",$C519=TypeFilter)),1,0)</f>
        <v/>
      </c>
    </row>
    <row r="520" ht="15" customHeight="1" s="20">
      <c r="A520" s="19" t="inlineStr">
        <is>
          <t>s2286</t>
        </is>
      </c>
      <c r="B520" s="19" t="inlineStr">
        <is>
          <t>Action &amp; Adventure</t>
        </is>
      </c>
      <c r="C520" s="19">
        <f>IFERROR(INDEX(tblNetflix[type],MATCH($A520,tblNetflix[show_id],0)),"")</f>
        <v/>
      </c>
      <c r="D520" s="19">
        <f>IFERROR(INDEX(tblNetflix[rating],MATCH($A520,tblNetflix[show_id],0)),"")</f>
        <v/>
      </c>
      <c r="E520" s="19">
        <f>IFERROR(INDEX(tblNetflix[year_added],MATCH($A520,tblNetflix[show_id],0)),"")</f>
        <v/>
      </c>
      <c r="F520" s="19">
        <f>IF(AND(OR(YearFilter="All",$E520=YearFilter),OR(RatingFilter="All",$D520=RatingFilter),OR(TypeFilter="All",$C520=TypeFilter)),1,0)</f>
        <v/>
      </c>
    </row>
    <row r="521" ht="15" customHeight="1" s="20">
      <c r="A521" s="19" t="inlineStr">
        <is>
          <t>s2286</t>
        </is>
      </c>
      <c r="B521" s="19" t="inlineStr">
        <is>
          <t>International Movies</t>
        </is>
      </c>
      <c r="C521" s="19">
        <f>IFERROR(INDEX(tblNetflix[type],MATCH($A521,tblNetflix[show_id],0)),"")</f>
        <v/>
      </c>
      <c r="D521" s="19">
        <f>IFERROR(INDEX(tblNetflix[rating],MATCH($A521,tblNetflix[show_id],0)),"")</f>
        <v/>
      </c>
      <c r="E521" s="19">
        <f>IFERROR(INDEX(tblNetflix[year_added],MATCH($A521,tblNetflix[show_id],0)),"")</f>
        <v/>
      </c>
      <c r="F521" s="19">
        <f>IF(AND(OR(YearFilter="All",$E521=YearFilter),OR(RatingFilter="All",$D521=RatingFilter),OR(TypeFilter="All",$C521=TypeFilter)),1,0)</f>
        <v/>
      </c>
    </row>
    <row r="522" ht="15" customHeight="1" s="20">
      <c r="A522" s="19" t="inlineStr">
        <is>
          <t>s2287</t>
        </is>
      </c>
      <c r="B522" s="19" t="inlineStr">
        <is>
          <t>Comedies</t>
        </is>
      </c>
      <c r="C522" s="19">
        <f>IFERROR(INDEX(tblNetflix[type],MATCH($A522,tblNetflix[show_id],0)),"")</f>
        <v/>
      </c>
      <c r="D522" s="19">
        <f>IFERROR(INDEX(tblNetflix[rating],MATCH($A522,tblNetflix[show_id],0)),"")</f>
        <v/>
      </c>
      <c r="E522" s="19">
        <f>IFERROR(INDEX(tblNetflix[year_added],MATCH($A522,tblNetflix[show_id],0)),"")</f>
        <v/>
      </c>
      <c r="F522" s="19">
        <f>IF(AND(OR(YearFilter="All",$E522=YearFilter),OR(RatingFilter="All",$D522=RatingFilter),OR(TypeFilter="All",$C522=TypeFilter)),1,0)</f>
        <v/>
      </c>
    </row>
    <row r="523" ht="15" customHeight="1" s="20">
      <c r="A523" s="19" t="inlineStr">
        <is>
          <t>s2287</t>
        </is>
      </c>
      <c r="B523" s="19" t="inlineStr">
        <is>
          <t>Dramas</t>
        </is>
      </c>
      <c r="C523" s="19">
        <f>IFERROR(INDEX(tblNetflix[type],MATCH($A523,tblNetflix[show_id],0)),"")</f>
        <v/>
      </c>
      <c r="D523" s="19">
        <f>IFERROR(INDEX(tblNetflix[rating],MATCH($A523,tblNetflix[show_id],0)),"")</f>
        <v/>
      </c>
      <c r="E523" s="19">
        <f>IFERROR(INDEX(tblNetflix[year_added],MATCH($A523,tblNetflix[show_id],0)),"")</f>
        <v/>
      </c>
      <c r="F523" s="19">
        <f>IF(AND(OR(YearFilter="All",$E523=YearFilter),OR(RatingFilter="All",$D523=RatingFilter),OR(TypeFilter="All",$C523=TypeFilter)),1,0)</f>
        <v/>
      </c>
    </row>
    <row r="524" ht="15" customHeight="1" s="20">
      <c r="A524" s="19" t="inlineStr">
        <is>
          <t>s2287</t>
        </is>
      </c>
      <c r="B524" s="19" t="inlineStr">
        <is>
          <t>International Movies</t>
        </is>
      </c>
      <c r="C524" s="19">
        <f>IFERROR(INDEX(tblNetflix[type],MATCH($A524,tblNetflix[show_id],0)),"")</f>
        <v/>
      </c>
      <c r="D524" s="19">
        <f>IFERROR(INDEX(tblNetflix[rating],MATCH($A524,tblNetflix[show_id],0)),"")</f>
        <v/>
      </c>
      <c r="E524" s="19">
        <f>IFERROR(INDEX(tblNetflix[year_added],MATCH($A524,tblNetflix[show_id],0)),"")</f>
        <v/>
      </c>
      <c r="F524" s="19">
        <f>IF(AND(OR(YearFilter="All",$E524=YearFilter),OR(RatingFilter="All",$D524=RatingFilter),OR(TypeFilter="All",$C524=TypeFilter)),1,0)</f>
        <v/>
      </c>
    </row>
    <row r="525" ht="15" customHeight="1" s="20">
      <c r="A525" s="19" t="inlineStr">
        <is>
          <t>s2288</t>
        </is>
      </c>
      <c r="B525" s="19" t="inlineStr">
        <is>
          <t>Comedies</t>
        </is>
      </c>
      <c r="C525" s="19">
        <f>IFERROR(INDEX(tblNetflix[type],MATCH($A525,tblNetflix[show_id],0)),"")</f>
        <v/>
      </c>
      <c r="D525" s="19">
        <f>IFERROR(INDEX(tblNetflix[rating],MATCH($A525,tblNetflix[show_id],0)),"")</f>
        <v/>
      </c>
      <c r="E525" s="19">
        <f>IFERROR(INDEX(tblNetflix[year_added],MATCH($A525,tblNetflix[show_id],0)),"")</f>
        <v/>
      </c>
      <c r="F525" s="19">
        <f>IF(AND(OR(YearFilter="All",$E525=YearFilter),OR(RatingFilter="All",$D525=RatingFilter),OR(TypeFilter="All",$C525=TypeFilter)),1,0)</f>
        <v/>
      </c>
    </row>
    <row r="526" ht="15" customHeight="1" s="20">
      <c r="A526" s="19" t="inlineStr">
        <is>
          <t>s2288</t>
        </is>
      </c>
      <c r="B526" s="19" t="inlineStr">
        <is>
          <t>Dramas</t>
        </is>
      </c>
      <c r="C526" s="19">
        <f>IFERROR(INDEX(tblNetflix[type],MATCH($A526,tblNetflix[show_id],0)),"")</f>
        <v/>
      </c>
      <c r="D526" s="19">
        <f>IFERROR(INDEX(tblNetflix[rating],MATCH($A526,tblNetflix[show_id],0)),"")</f>
        <v/>
      </c>
      <c r="E526" s="19">
        <f>IFERROR(INDEX(tblNetflix[year_added],MATCH($A526,tblNetflix[show_id],0)),"")</f>
        <v/>
      </c>
      <c r="F526" s="19">
        <f>IF(AND(OR(YearFilter="All",$E526=YearFilter),OR(RatingFilter="All",$D526=RatingFilter),OR(TypeFilter="All",$C526=TypeFilter)),1,0)</f>
        <v/>
      </c>
    </row>
    <row r="527" ht="15" customHeight="1" s="20">
      <c r="A527" s="19" t="inlineStr">
        <is>
          <t>s2288</t>
        </is>
      </c>
      <c r="B527" s="19" t="inlineStr">
        <is>
          <t>International Movies</t>
        </is>
      </c>
      <c r="C527" s="19">
        <f>IFERROR(INDEX(tblNetflix[type],MATCH($A527,tblNetflix[show_id],0)),"")</f>
        <v/>
      </c>
      <c r="D527" s="19">
        <f>IFERROR(INDEX(tblNetflix[rating],MATCH($A527,tblNetflix[show_id],0)),"")</f>
        <v/>
      </c>
      <c r="E527" s="19">
        <f>IFERROR(INDEX(tblNetflix[year_added],MATCH($A527,tblNetflix[show_id],0)),"")</f>
        <v/>
      </c>
      <c r="F527" s="19">
        <f>IF(AND(OR(YearFilter="All",$E527=YearFilter),OR(RatingFilter="All",$D527=RatingFilter),OR(TypeFilter="All",$C527=TypeFilter)),1,0)</f>
        <v/>
      </c>
    </row>
    <row r="528" ht="15" customHeight="1" s="20">
      <c r="A528" s="19" t="inlineStr">
        <is>
          <t>s2289</t>
        </is>
      </c>
      <c r="B528" s="19" t="inlineStr">
        <is>
          <t>Action &amp; Adventure</t>
        </is>
      </c>
      <c r="C528" s="19">
        <f>IFERROR(INDEX(tblNetflix[type],MATCH($A528,tblNetflix[show_id],0)),"")</f>
        <v/>
      </c>
      <c r="D528" s="19">
        <f>IFERROR(INDEX(tblNetflix[rating],MATCH($A528,tblNetflix[show_id],0)),"")</f>
        <v/>
      </c>
      <c r="E528" s="19">
        <f>IFERROR(INDEX(tblNetflix[year_added],MATCH($A528,tblNetflix[show_id],0)),"")</f>
        <v/>
      </c>
      <c r="F528" s="19">
        <f>IF(AND(OR(YearFilter="All",$E528=YearFilter),OR(RatingFilter="All",$D528=RatingFilter),OR(TypeFilter="All",$C528=TypeFilter)),1,0)</f>
        <v/>
      </c>
    </row>
    <row r="529" ht="15" customHeight="1" s="20">
      <c r="A529" s="19" t="inlineStr">
        <is>
          <t>s2289</t>
        </is>
      </c>
      <c r="B529" s="19" t="inlineStr">
        <is>
          <t>Dramas</t>
        </is>
      </c>
      <c r="C529" s="19">
        <f>IFERROR(INDEX(tblNetflix[type],MATCH($A529,tblNetflix[show_id],0)),"")</f>
        <v/>
      </c>
      <c r="D529" s="19">
        <f>IFERROR(INDEX(tblNetflix[rating],MATCH($A529,tblNetflix[show_id],0)),"")</f>
        <v/>
      </c>
      <c r="E529" s="19">
        <f>IFERROR(INDEX(tblNetflix[year_added],MATCH($A529,tblNetflix[show_id],0)),"")</f>
        <v/>
      </c>
      <c r="F529" s="19">
        <f>IF(AND(OR(YearFilter="All",$E529=YearFilter),OR(RatingFilter="All",$D529=RatingFilter),OR(TypeFilter="All",$C529=TypeFilter)),1,0)</f>
        <v/>
      </c>
    </row>
    <row r="530" ht="15" customHeight="1" s="20">
      <c r="A530" s="19" t="inlineStr">
        <is>
          <t>s2289</t>
        </is>
      </c>
      <c r="B530" s="19" t="inlineStr">
        <is>
          <t>Independent Movies</t>
        </is>
      </c>
      <c r="C530" s="19">
        <f>IFERROR(INDEX(tblNetflix[type],MATCH($A530,tblNetflix[show_id],0)),"")</f>
        <v/>
      </c>
      <c r="D530" s="19">
        <f>IFERROR(INDEX(tblNetflix[rating],MATCH($A530,tblNetflix[show_id],0)),"")</f>
        <v/>
      </c>
      <c r="E530" s="19">
        <f>IFERROR(INDEX(tblNetflix[year_added],MATCH($A530,tblNetflix[show_id],0)),"")</f>
        <v/>
      </c>
      <c r="F530" s="19">
        <f>IF(AND(OR(YearFilter="All",$E530=YearFilter),OR(RatingFilter="All",$D530=RatingFilter),OR(TypeFilter="All",$C530=TypeFilter)),1,0)</f>
        <v/>
      </c>
    </row>
    <row r="531" ht="15" customHeight="1" s="20">
      <c r="A531" s="19" t="inlineStr">
        <is>
          <t>s2290</t>
        </is>
      </c>
      <c r="B531" s="19" t="inlineStr">
        <is>
          <t>Dramas</t>
        </is>
      </c>
      <c r="C531" s="19">
        <f>IFERROR(INDEX(tblNetflix[type],MATCH($A531,tblNetflix[show_id],0)),"")</f>
        <v/>
      </c>
      <c r="D531" s="19">
        <f>IFERROR(INDEX(tblNetflix[rating],MATCH($A531,tblNetflix[show_id],0)),"")</f>
        <v/>
      </c>
      <c r="E531" s="19">
        <f>IFERROR(INDEX(tblNetflix[year_added],MATCH($A531,tblNetflix[show_id],0)),"")</f>
        <v/>
      </c>
      <c r="F531" s="19">
        <f>IF(AND(OR(YearFilter="All",$E531=YearFilter),OR(RatingFilter="All",$D531=RatingFilter),OR(TypeFilter="All",$C531=TypeFilter)),1,0)</f>
        <v/>
      </c>
    </row>
    <row r="532" ht="15" customHeight="1" s="20">
      <c r="A532" s="19" t="inlineStr">
        <is>
          <t>s2290</t>
        </is>
      </c>
      <c r="B532" s="19" t="inlineStr">
        <is>
          <t>International Movies</t>
        </is>
      </c>
      <c r="C532" s="19">
        <f>IFERROR(INDEX(tblNetflix[type],MATCH($A532,tblNetflix[show_id],0)),"")</f>
        <v/>
      </c>
      <c r="D532" s="19">
        <f>IFERROR(INDEX(tblNetflix[rating],MATCH($A532,tblNetflix[show_id],0)),"")</f>
        <v/>
      </c>
      <c r="E532" s="19">
        <f>IFERROR(INDEX(tblNetflix[year_added],MATCH($A532,tblNetflix[show_id],0)),"")</f>
        <v/>
      </c>
      <c r="F532" s="19">
        <f>IF(AND(OR(YearFilter="All",$E532=YearFilter),OR(RatingFilter="All",$D532=RatingFilter),OR(TypeFilter="All",$C532=TypeFilter)),1,0)</f>
        <v/>
      </c>
    </row>
    <row r="533" ht="15" customHeight="1" s="20">
      <c r="A533" s="19" t="inlineStr">
        <is>
          <t>s2290</t>
        </is>
      </c>
      <c r="B533" s="19" t="inlineStr">
        <is>
          <t>Thrillers</t>
        </is>
      </c>
      <c r="C533" s="19">
        <f>IFERROR(INDEX(tblNetflix[type],MATCH($A533,tblNetflix[show_id],0)),"")</f>
        <v/>
      </c>
      <c r="D533" s="19">
        <f>IFERROR(INDEX(tblNetflix[rating],MATCH($A533,tblNetflix[show_id],0)),"")</f>
        <v/>
      </c>
      <c r="E533" s="19">
        <f>IFERROR(INDEX(tblNetflix[year_added],MATCH($A533,tblNetflix[show_id],0)),"")</f>
        <v/>
      </c>
      <c r="F533" s="19">
        <f>IF(AND(OR(YearFilter="All",$E533=YearFilter),OR(RatingFilter="All",$D533=RatingFilter),OR(TypeFilter="All",$C533=TypeFilter)),1,0)</f>
        <v/>
      </c>
    </row>
    <row r="534" ht="15" customHeight="1" s="20">
      <c r="A534" s="19" t="inlineStr">
        <is>
          <t>s2291</t>
        </is>
      </c>
      <c r="B534" s="19" t="inlineStr">
        <is>
          <t>Comedies</t>
        </is>
      </c>
      <c r="C534" s="19">
        <f>IFERROR(INDEX(tblNetflix[type],MATCH($A534,tblNetflix[show_id],0)),"")</f>
        <v/>
      </c>
      <c r="D534" s="19">
        <f>IFERROR(INDEX(tblNetflix[rating],MATCH($A534,tblNetflix[show_id],0)),"")</f>
        <v/>
      </c>
      <c r="E534" s="19">
        <f>IFERROR(INDEX(tblNetflix[year_added],MATCH($A534,tblNetflix[show_id],0)),"")</f>
        <v/>
      </c>
      <c r="F534" s="19">
        <f>IF(AND(OR(YearFilter="All",$E534=YearFilter),OR(RatingFilter="All",$D534=RatingFilter),OR(TypeFilter="All",$C534=TypeFilter)),1,0)</f>
        <v/>
      </c>
    </row>
    <row r="535" ht="15" customHeight="1" s="20">
      <c r="A535" s="19" t="inlineStr">
        <is>
          <t>s2291</t>
        </is>
      </c>
      <c r="B535" s="19" t="inlineStr">
        <is>
          <t>Dramas</t>
        </is>
      </c>
      <c r="C535" s="19">
        <f>IFERROR(INDEX(tblNetflix[type],MATCH($A535,tblNetflix[show_id],0)),"")</f>
        <v/>
      </c>
      <c r="D535" s="19">
        <f>IFERROR(INDEX(tblNetflix[rating],MATCH($A535,tblNetflix[show_id],0)),"")</f>
        <v/>
      </c>
      <c r="E535" s="19">
        <f>IFERROR(INDEX(tblNetflix[year_added],MATCH($A535,tblNetflix[show_id],0)),"")</f>
        <v/>
      </c>
      <c r="F535" s="19">
        <f>IF(AND(OR(YearFilter="All",$E535=YearFilter),OR(RatingFilter="All",$D535=RatingFilter),OR(TypeFilter="All",$C535=TypeFilter)),1,0)</f>
        <v/>
      </c>
    </row>
    <row r="536" ht="15" customHeight="1" s="20">
      <c r="A536" s="19" t="inlineStr">
        <is>
          <t>s2291</t>
        </is>
      </c>
      <c r="B536" s="19" t="inlineStr">
        <is>
          <t>International Movies</t>
        </is>
      </c>
      <c r="C536" s="19">
        <f>IFERROR(INDEX(tblNetflix[type],MATCH($A536,tblNetflix[show_id],0)),"")</f>
        <v/>
      </c>
      <c r="D536" s="19">
        <f>IFERROR(INDEX(tblNetflix[rating],MATCH($A536,tblNetflix[show_id],0)),"")</f>
        <v/>
      </c>
      <c r="E536" s="19">
        <f>IFERROR(INDEX(tblNetflix[year_added],MATCH($A536,tblNetflix[show_id],0)),"")</f>
        <v/>
      </c>
      <c r="F536" s="19">
        <f>IF(AND(OR(YearFilter="All",$E536=YearFilter),OR(RatingFilter="All",$D536=RatingFilter),OR(TypeFilter="All",$C536=TypeFilter)),1,0)</f>
        <v/>
      </c>
    </row>
    <row r="537" ht="15" customHeight="1" s="20">
      <c r="A537" s="19" t="inlineStr">
        <is>
          <t>s2292</t>
        </is>
      </c>
      <c r="B537" s="19" t="inlineStr">
        <is>
          <t>Comedies</t>
        </is>
      </c>
      <c r="C537" s="19">
        <f>IFERROR(INDEX(tblNetflix[type],MATCH($A537,tblNetflix[show_id],0)),"")</f>
        <v/>
      </c>
      <c r="D537" s="19">
        <f>IFERROR(INDEX(tblNetflix[rating],MATCH($A537,tblNetflix[show_id],0)),"")</f>
        <v/>
      </c>
      <c r="E537" s="19">
        <f>IFERROR(INDEX(tblNetflix[year_added],MATCH($A537,tblNetflix[show_id],0)),"")</f>
        <v/>
      </c>
      <c r="F537" s="19">
        <f>IF(AND(OR(YearFilter="All",$E537=YearFilter),OR(RatingFilter="All",$D537=RatingFilter),OR(TypeFilter="All",$C537=TypeFilter)),1,0)</f>
        <v/>
      </c>
    </row>
    <row r="538" ht="15" customHeight="1" s="20">
      <c r="A538" s="19" t="inlineStr">
        <is>
          <t>s2292</t>
        </is>
      </c>
      <c r="B538" s="19" t="inlineStr">
        <is>
          <t>International Movies</t>
        </is>
      </c>
      <c r="C538" s="19">
        <f>IFERROR(INDEX(tblNetflix[type],MATCH($A538,tblNetflix[show_id],0)),"")</f>
        <v/>
      </c>
      <c r="D538" s="19">
        <f>IFERROR(INDEX(tblNetflix[rating],MATCH($A538,tblNetflix[show_id],0)),"")</f>
        <v/>
      </c>
      <c r="E538" s="19">
        <f>IFERROR(INDEX(tblNetflix[year_added],MATCH($A538,tblNetflix[show_id],0)),"")</f>
        <v/>
      </c>
      <c r="F538" s="19">
        <f>IF(AND(OR(YearFilter="All",$E538=YearFilter),OR(RatingFilter="All",$D538=RatingFilter),OR(TypeFilter="All",$C538=TypeFilter)),1,0)</f>
        <v/>
      </c>
    </row>
    <row r="539" ht="15" customHeight="1" s="20">
      <c r="A539" s="19" t="inlineStr">
        <is>
          <t>s2293</t>
        </is>
      </c>
      <c r="B539" s="19" t="inlineStr">
        <is>
          <t>Kids' TV</t>
        </is>
      </c>
      <c r="C539" s="19">
        <f>IFERROR(INDEX(tblNetflix[type],MATCH($A539,tblNetflix[show_id],0)),"")</f>
        <v/>
      </c>
      <c r="D539" s="19">
        <f>IFERROR(INDEX(tblNetflix[rating],MATCH($A539,tblNetflix[show_id],0)),"")</f>
        <v/>
      </c>
      <c r="E539" s="19">
        <f>IFERROR(INDEX(tblNetflix[year_added],MATCH($A539,tblNetflix[show_id],0)),"")</f>
        <v/>
      </c>
      <c r="F539" s="19">
        <f>IF(AND(OR(YearFilter="All",$E539=YearFilter),OR(RatingFilter="All",$D539=RatingFilter),OR(TypeFilter="All",$C539=TypeFilter)),1,0)</f>
        <v/>
      </c>
    </row>
    <row r="540" ht="15" customHeight="1" s="20">
      <c r="A540" s="19" t="inlineStr">
        <is>
          <t>s2293</t>
        </is>
      </c>
      <c r="B540" s="19" t="inlineStr">
        <is>
          <t>TV Comedies</t>
        </is>
      </c>
      <c r="C540" s="19">
        <f>IFERROR(INDEX(tblNetflix[type],MATCH($A540,tblNetflix[show_id],0)),"")</f>
        <v/>
      </c>
      <c r="D540" s="19">
        <f>IFERROR(INDEX(tblNetflix[rating],MATCH($A540,tblNetflix[show_id],0)),"")</f>
        <v/>
      </c>
      <c r="E540" s="19">
        <f>IFERROR(INDEX(tblNetflix[year_added],MATCH($A540,tblNetflix[show_id],0)),"")</f>
        <v/>
      </c>
      <c r="F540" s="19">
        <f>IF(AND(OR(YearFilter="All",$E540=YearFilter),OR(RatingFilter="All",$D540=RatingFilter),OR(TypeFilter="All",$C540=TypeFilter)),1,0)</f>
        <v/>
      </c>
    </row>
    <row r="541" ht="15" customHeight="1" s="20">
      <c r="A541" s="19" t="inlineStr">
        <is>
          <t>s2335</t>
        </is>
      </c>
      <c r="B541" s="19" t="inlineStr">
        <is>
          <t>Dramas</t>
        </is>
      </c>
      <c r="C541" s="19">
        <f>IFERROR(INDEX(tblNetflix[type],MATCH($A541,tblNetflix[show_id],0)),"")</f>
        <v/>
      </c>
      <c r="D541" s="19">
        <f>IFERROR(INDEX(tblNetflix[rating],MATCH($A541,tblNetflix[show_id],0)),"")</f>
        <v/>
      </c>
      <c r="E541" s="19">
        <f>IFERROR(INDEX(tblNetflix[year_added],MATCH($A541,tblNetflix[show_id],0)),"")</f>
        <v/>
      </c>
      <c r="F541" s="19">
        <f>IF(AND(OR(YearFilter="All",$E541=YearFilter),OR(RatingFilter="All",$D541=RatingFilter),OR(TypeFilter="All",$C541=TypeFilter)),1,0)</f>
        <v/>
      </c>
    </row>
    <row r="542" ht="15" customHeight="1" s="20">
      <c r="A542" s="19" t="inlineStr">
        <is>
          <t>s2335</t>
        </is>
      </c>
      <c r="B542" s="19" t="inlineStr">
        <is>
          <t>International Movies</t>
        </is>
      </c>
      <c r="C542" s="19">
        <f>IFERROR(INDEX(tblNetflix[type],MATCH($A542,tblNetflix[show_id],0)),"")</f>
        <v/>
      </c>
      <c r="D542" s="19">
        <f>IFERROR(INDEX(tblNetflix[rating],MATCH($A542,tblNetflix[show_id],0)),"")</f>
        <v/>
      </c>
      <c r="E542" s="19">
        <f>IFERROR(INDEX(tblNetflix[year_added],MATCH($A542,tblNetflix[show_id],0)),"")</f>
        <v/>
      </c>
      <c r="F542" s="19">
        <f>IF(AND(OR(YearFilter="All",$E542=YearFilter),OR(RatingFilter="All",$D542=RatingFilter),OR(TypeFilter="All",$C542=TypeFilter)),1,0)</f>
        <v/>
      </c>
    </row>
    <row r="543" ht="15" customHeight="1" s="20">
      <c r="A543" s="19" t="inlineStr">
        <is>
          <t>s2335</t>
        </is>
      </c>
      <c r="B543" s="19" t="inlineStr">
        <is>
          <t>Romantic Movies</t>
        </is>
      </c>
      <c r="C543" s="19">
        <f>IFERROR(INDEX(tblNetflix[type],MATCH($A543,tblNetflix[show_id],0)),"")</f>
        <v/>
      </c>
      <c r="D543" s="19">
        <f>IFERROR(INDEX(tblNetflix[rating],MATCH($A543,tblNetflix[show_id],0)),"")</f>
        <v/>
      </c>
      <c r="E543" s="19">
        <f>IFERROR(INDEX(tblNetflix[year_added],MATCH($A543,tblNetflix[show_id],0)),"")</f>
        <v/>
      </c>
      <c r="F543" s="19">
        <f>IF(AND(OR(YearFilter="All",$E543=YearFilter),OR(RatingFilter="All",$D543=RatingFilter),OR(TypeFilter="All",$C543=TypeFilter)),1,0)</f>
        <v/>
      </c>
    </row>
    <row r="544" ht="15" customHeight="1" s="20">
      <c r="A544" s="19" t="inlineStr">
        <is>
          <t>s2337</t>
        </is>
      </c>
      <c r="B544" s="19" t="inlineStr">
        <is>
          <t>Dramas</t>
        </is>
      </c>
      <c r="C544" s="19">
        <f>IFERROR(INDEX(tblNetflix[type],MATCH($A544,tblNetflix[show_id],0)),"")</f>
        <v/>
      </c>
      <c r="D544" s="19">
        <f>IFERROR(INDEX(tblNetflix[rating],MATCH($A544,tblNetflix[show_id],0)),"")</f>
        <v/>
      </c>
      <c r="E544" s="19">
        <f>IFERROR(INDEX(tblNetflix[year_added],MATCH($A544,tblNetflix[show_id],0)),"")</f>
        <v/>
      </c>
      <c r="F544" s="19">
        <f>IF(AND(OR(YearFilter="All",$E544=YearFilter),OR(RatingFilter="All",$D544=RatingFilter),OR(TypeFilter="All",$C544=TypeFilter)),1,0)</f>
        <v/>
      </c>
    </row>
    <row r="545" ht="15" customHeight="1" s="20">
      <c r="A545" s="19" t="inlineStr">
        <is>
          <t>s2337</t>
        </is>
      </c>
      <c r="B545" s="19" t="inlineStr">
        <is>
          <t>International Movies</t>
        </is>
      </c>
      <c r="C545" s="19">
        <f>IFERROR(INDEX(tblNetflix[type],MATCH($A545,tblNetflix[show_id],0)),"")</f>
        <v/>
      </c>
      <c r="D545" s="19">
        <f>IFERROR(INDEX(tblNetflix[rating],MATCH($A545,tblNetflix[show_id],0)),"")</f>
        <v/>
      </c>
      <c r="E545" s="19">
        <f>IFERROR(INDEX(tblNetflix[year_added],MATCH($A545,tblNetflix[show_id],0)),"")</f>
        <v/>
      </c>
      <c r="F545" s="19">
        <f>IF(AND(OR(YearFilter="All",$E545=YearFilter),OR(RatingFilter="All",$D545=RatingFilter),OR(TypeFilter="All",$C545=TypeFilter)),1,0)</f>
        <v/>
      </c>
    </row>
    <row r="546" ht="15" customHeight="1" s="20">
      <c r="A546" s="19" t="inlineStr">
        <is>
          <t>s2339</t>
        </is>
      </c>
      <c r="B546" s="19" t="inlineStr">
        <is>
          <t>International Movies</t>
        </is>
      </c>
      <c r="C546" s="19">
        <f>IFERROR(INDEX(tblNetflix[type],MATCH($A546,tblNetflix[show_id],0)),"")</f>
        <v/>
      </c>
      <c r="D546" s="19">
        <f>IFERROR(INDEX(tblNetflix[rating],MATCH($A546,tblNetflix[show_id],0)),"")</f>
        <v/>
      </c>
      <c r="E546" s="19">
        <f>IFERROR(INDEX(tblNetflix[year_added],MATCH($A546,tblNetflix[show_id],0)),"")</f>
        <v/>
      </c>
      <c r="F546" s="19">
        <f>IF(AND(OR(YearFilter="All",$E546=YearFilter),OR(RatingFilter="All",$D546=RatingFilter),OR(TypeFilter="All",$C546=TypeFilter)),1,0)</f>
        <v/>
      </c>
    </row>
    <row r="547" ht="15" customHeight="1" s="20">
      <c r="A547" s="19" t="inlineStr">
        <is>
          <t>s2339</t>
        </is>
      </c>
      <c r="B547" s="19" t="inlineStr">
        <is>
          <t>Romantic Movies</t>
        </is>
      </c>
      <c r="C547" s="19">
        <f>IFERROR(INDEX(tblNetflix[type],MATCH($A547,tblNetflix[show_id],0)),"")</f>
        <v/>
      </c>
      <c r="D547" s="19">
        <f>IFERROR(INDEX(tblNetflix[rating],MATCH($A547,tblNetflix[show_id],0)),"")</f>
        <v/>
      </c>
      <c r="E547" s="19">
        <f>IFERROR(INDEX(tblNetflix[year_added],MATCH($A547,tblNetflix[show_id],0)),"")</f>
        <v/>
      </c>
      <c r="F547" s="19">
        <f>IF(AND(OR(YearFilter="All",$E547=YearFilter),OR(RatingFilter="All",$D547=RatingFilter),OR(TypeFilter="All",$C547=TypeFilter)),1,0)</f>
        <v/>
      </c>
    </row>
    <row r="548" ht="15" customHeight="1" s="20">
      <c r="A548" s="19" t="inlineStr">
        <is>
          <t>s2340</t>
        </is>
      </c>
      <c r="B548" s="19" t="inlineStr">
        <is>
          <t>Action &amp; Adventure</t>
        </is>
      </c>
      <c r="C548" s="19">
        <f>IFERROR(INDEX(tblNetflix[type],MATCH($A548,tblNetflix[show_id],0)),"")</f>
        <v/>
      </c>
      <c r="D548" s="19">
        <f>IFERROR(INDEX(tblNetflix[rating],MATCH($A548,tblNetflix[show_id],0)),"")</f>
        <v/>
      </c>
      <c r="E548" s="19">
        <f>IFERROR(INDEX(tblNetflix[year_added],MATCH($A548,tblNetflix[show_id],0)),"")</f>
        <v/>
      </c>
      <c r="F548" s="19">
        <f>IF(AND(OR(YearFilter="All",$E548=YearFilter),OR(RatingFilter="All",$D548=RatingFilter),OR(TypeFilter="All",$C548=TypeFilter)),1,0)</f>
        <v/>
      </c>
    </row>
    <row r="549" ht="15" customHeight="1" s="20">
      <c r="A549" s="19" t="inlineStr">
        <is>
          <t>s2340</t>
        </is>
      </c>
      <c r="B549" s="19" t="inlineStr">
        <is>
          <t>Dramas</t>
        </is>
      </c>
      <c r="C549" s="19">
        <f>IFERROR(INDEX(tblNetflix[type],MATCH($A549,tblNetflix[show_id],0)),"")</f>
        <v/>
      </c>
      <c r="D549" s="19">
        <f>IFERROR(INDEX(tblNetflix[rating],MATCH($A549,tblNetflix[show_id],0)),"")</f>
        <v/>
      </c>
      <c r="E549" s="19">
        <f>IFERROR(INDEX(tblNetflix[year_added],MATCH($A549,tblNetflix[show_id],0)),"")</f>
        <v/>
      </c>
      <c r="F549" s="19">
        <f>IF(AND(OR(YearFilter="All",$E549=YearFilter),OR(RatingFilter="All",$D549=RatingFilter),OR(TypeFilter="All",$C549=TypeFilter)),1,0)</f>
        <v/>
      </c>
    </row>
    <row r="550" ht="15" customHeight="1" s="20">
      <c r="A550" s="19" t="inlineStr">
        <is>
          <t>s2340</t>
        </is>
      </c>
      <c r="B550" s="19" t="inlineStr">
        <is>
          <t>International Movies</t>
        </is>
      </c>
      <c r="C550" s="19">
        <f>IFERROR(INDEX(tblNetflix[type],MATCH($A550,tblNetflix[show_id],0)),"")</f>
        <v/>
      </c>
      <c r="D550" s="19">
        <f>IFERROR(INDEX(tblNetflix[rating],MATCH($A550,tblNetflix[show_id],0)),"")</f>
        <v/>
      </c>
      <c r="E550" s="19">
        <f>IFERROR(INDEX(tblNetflix[year_added],MATCH($A550,tblNetflix[show_id],0)),"")</f>
        <v/>
      </c>
      <c r="F550" s="19">
        <f>IF(AND(OR(YearFilter="All",$E550=YearFilter),OR(RatingFilter="All",$D550=RatingFilter),OR(TypeFilter="All",$C550=TypeFilter)),1,0)</f>
        <v/>
      </c>
    </row>
    <row r="551" ht="15" customHeight="1" s="20">
      <c r="A551" s="19" t="inlineStr">
        <is>
          <t>s2341</t>
        </is>
      </c>
      <c r="B551" s="19" t="inlineStr">
        <is>
          <t>Dramas</t>
        </is>
      </c>
      <c r="C551" s="19">
        <f>IFERROR(INDEX(tblNetflix[type],MATCH($A551,tblNetflix[show_id],0)),"")</f>
        <v/>
      </c>
      <c r="D551" s="19">
        <f>IFERROR(INDEX(tblNetflix[rating],MATCH($A551,tblNetflix[show_id],0)),"")</f>
        <v/>
      </c>
      <c r="E551" s="19">
        <f>IFERROR(INDEX(tblNetflix[year_added],MATCH($A551,tblNetflix[show_id],0)),"")</f>
        <v/>
      </c>
      <c r="F551" s="19">
        <f>IF(AND(OR(YearFilter="All",$E551=YearFilter),OR(RatingFilter="All",$D551=RatingFilter),OR(TypeFilter="All",$C551=TypeFilter)),1,0)</f>
        <v/>
      </c>
    </row>
    <row r="552" ht="15" customHeight="1" s="20">
      <c r="A552" s="19" t="inlineStr">
        <is>
          <t>s2341</t>
        </is>
      </c>
      <c r="B552" s="19" t="inlineStr">
        <is>
          <t>International Movies</t>
        </is>
      </c>
      <c r="C552" s="19">
        <f>IFERROR(INDEX(tblNetflix[type],MATCH($A552,tblNetflix[show_id],0)),"")</f>
        <v/>
      </c>
      <c r="D552" s="19">
        <f>IFERROR(INDEX(tblNetflix[rating],MATCH($A552,tblNetflix[show_id],0)),"")</f>
        <v/>
      </c>
      <c r="E552" s="19">
        <f>IFERROR(INDEX(tblNetflix[year_added],MATCH($A552,tblNetflix[show_id],0)),"")</f>
        <v/>
      </c>
      <c r="F552" s="19">
        <f>IF(AND(OR(YearFilter="All",$E552=YearFilter),OR(RatingFilter="All",$D552=RatingFilter),OR(TypeFilter="All",$C552=TypeFilter)),1,0)</f>
        <v/>
      </c>
    </row>
    <row r="553" ht="15" customHeight="1" s="20">
      <c r="A553" s="19" t="inlineStr">
        <is>
          <t>s2341</t>
        </is>
      </c>
      <c r="B553" s="19" t="inlineStr">
        <is>
          <t>Romantic Movies</t>
        </is>
      </c>
      <c r="C553" s="19">
        <f>IFERROR(INDEX(tblNetflix[type],MATCH($A553,tblNetflix[show_id],0)),"")</f>
        <v/>
      </c>
      <c r="D553" s="19">
        <f>IFERROR(INDEX(tblNetflix[rating],MATCH($A553,tblNetflix[show_id],0)),"")</f>
        <v/>
      </c>
      <c r="E553" s="19">
        <f>IFERROR(INDEX(tblNetflix[year_added],MATCH($A553,tblNetflix[show_id],0)),"")</f>
        <v/>
      </c>
      <c r="F553" s="19">
        <f>IF(AND(OR(YearFilter="All",$E553=YearFilter),OR(RatingFilter="All",$D553=RatingFilter),OR(TypeFilter="All",$C553=TypeFilter)),1,0)</f>
        <v/>
      </c>
    </row>
    <row r="554" ht="15" customHeight="1" s="20">
      <c r="A554" s="19" t="inlineStr">
        <is>
          <t>s2343</t>
        </is>
      </c>
      <c r="B554" s="19" t="inlineStr">
        <is>
          <t>Horror Movies</t>
        </is>
      </c>
      <c r="C554" s="19">
        <f>IFERROR(INDEX(tblNetflix[type],MATCH($A554,tblNetflix[show_id],0)),"")</f>
        <v/>
      </c>
      <c r="D554" s="19">
        <f>IFERROR(INDEX(tblNetflix[rating],MATCH($A554,tblNetflix[show_id],0)),"")</f>
        <v/>
      </c>
      <c r="E554" s="19">
        <f>IFERROR(INDEX(tblNetflix[year_added],MATCH($A554,tblNetflix[show_id],0)),"")</f>
        <v/>
      </c>
      <c r="F554" s="19">
        <f>IF(AND(OR(YearFilter="All",$E554=YearFilter),OR(RatingFilter="All",$D554=RatingFilter),OR(TypeFilter="All",$C554=TypeFilter)),1,0)</f>
        <v/>
      </c>
    </row>
    <row r="555" ht="15" customHeight="1" s="20">
      <c r="A555" s="19" t="inlineStr">
        <is>
          <t>s2343</t>
        </is>
      </c>
      <c r="B555" s="19" t="inlineStr">
        <is>
          <t>International Movies</t>
        </is>
      </c>
      <c r="C555" s="19">
        <f>IFERROR(INDEX(tblNetflix[type],MATCH($A555,tblNetflix[show_id],0)),"")</f>
        <v/>
      </c>
      <c r="D555" s="19">
        <f>IFERROR(INDEX(tblNetflix[rating],MATCH($A555,tblNetflix[show_id],0)),"")</f>
        <v/>
      </c>
      <c r="E555" s="19">
        <f>IFERROR(INDEX(tblNetflix[year_added],MATCH($A555,tblNetflix[show_id],0)),"")</f>
        <v/>
      </c>
      <c r="F555" s="19">
        <f>IF(AND(OR(YearFilter="All",$E555=YearFilter),OR(RatingFilter="All",$D555=RatingFilter),OR(TypeFilter="All",$C555=TypeFilter)),1,0)</f>
        <v/>
      </c>
    </row>
    <row r="556" ht="15" customHeight="1" s="20">
      <c r="A556" s="19" t="inlineStr">
        <is>
          <t>s2348</t>
        </is>
      </c>
      <c r="B556" s="19" t="inlineStr">
        <is>
          <t>Dramas</t>
        </is>
      </c>
      <c r="C556" s="19">
        <f>IFERROR(INDEX(tblNetflix[type],MATCH($A556,tblNetflix[show_id],0)),"")</f>
        <v/>
      </c>
      <c r="D556" s="19">
        <f>IFERROR(INDEX(tblNetflix[rating],MATCH($A556,tblNetflix[show_id],0)),"")</f>
        <v/>
      </c>
      <c r="E556" s="19">
        <f>IFERROR(INDEX(tblNetflix[year_added],MATCH($A556,tblNetflix[show_id],0)),"")</f>
        <v/>
      </c>
      <c r="F556" s="19">
        <f>IF(AND(OR(YearFilter="All",$E556=YearFilter),OR(RatingFilter="All",$D556=RatingFilter),OR(TypeFilter="All",$C556=TypeFilter)),1,0)</f>
        <v/>
      </c>
    </row>
    <row r="557" ht="15" customHeight="1" s="20">
      <c r="A557" s="19" t="inlineStr">
        <is>
          <t>s2348</t>
        </is>
      </c>
      <c r="B557" s="19" t="inlineStr">
        <is>
          <t>Independent Movies</t>
        </is>
      </c>
      <c r="C557" s="19">
        <f>IFERROR(INDEX(tblNetflix[type],MATCH($A557,tblNetflix[show_id],0)),"")</f>
        <v/>
      </c>
      <c r="D557" s="19">
        <f>IFERROR(INDEX(tblNetflix[rating],MATCH($A557,tblNetflix[show_id],0)),"")</f>
        <v/>
      </c>
      <c r="E557" s="19">
        <f>IFERROR(INDEX(tblNetflix[year_added],MATCH($A557,tblNetflix[show_id],0)),"")</f>
        <v/>
      </c>
      <c r="F557" s="19">
        <f>IF(AND(OR(YearFilter="All",$E557=YearFilter),OR(RatingFilter="All",$D557=RatingFilter),OR(TypeFilter="All",$C557=TypeFilter)),1,0)</f>
        <v/>
      </c>
    </row>
    <row r="558" ht="15" customHeight="1" s="20">
      <c r="A558" s="19" t="inlineStr">
        <is>
          <t>s2348</t>
        </is>
      </c>
      <c r="B558" s="19" t="inlineStr">
        <is>
          <t>International Movies</t>
        </is>
      </c>
      <c r="C558" s="19">
        <f>IFERROR(INDEX(tblNetflix[type],MATCH($A558,tblNetflix[show_id],0)),"")</f>
        <v/>
      </c>
      <c r="D558" s="19">
        <f>IFERROR(INDEX(tblNetflix[rating],MATCH($A558,tblNetflix[show_id],0)),"")</f>
        <v/>
      </c>
      <c r="E558" s="19">
        <f>IFERROR(INDEX(tblNetflix[year_added],MATCH($A558,tblNetflix[show_id],0)),"")</f>
        <v/>
      </c>
      <c r="F558" s="19">
        <f>IF(AND(OR(YearFilter="All",$E558=YearFilter),OR(RatingFilter="All",$D558=RatingFilter),OR(TypeFilter="All",$C558=TypeFilter)),1,0)</f>
        <v/>
      </c>
    </row>
    <row r="559" ht="15" customHeight="1" s="20">
      <c r="A559" s="19" t="inlineStr">
        <is>
          <t>s2354</t>
        </is>
      </c>
      <c r="B559" s="19" t="inlineStr">
        <is>
          <t>Comedies</t>
        </is>
      </c>
      <c r="C559" s="19">
        <f>IFERROR(INDEX(tblNetflix[type],MATCH($A559,tblNetflix[show_id],0)),"")</f>
        <v/>
      </c>
      <c r="D559" s="19">
        <f>IFERROR(INDEX(tblNetflix[rating],MATCH($A559,tblNetflix[show_id],0)),"")</f>
        <v/>
      </c>
      <c r="E559" s="19">
        <f>IFERROR(INDEX(tblNetflix[year_added],MATCH($A559,tblNetflix[show_id],0)),"")</f>
        <v/>
      </c>
      <c r="F559" s="19">
        <f>IF(AND(OR(YearFilter="All",$E559=YearFilter),OR(RatingFilter="All",$D559=RatingFilter),OR(TypeFilter="All",$C559=TypeFilter)),1,0)</f>
        <v/>
      </c>
    </row>
    <row r="560" ht="15" customHeight="1" s="20">
      <c r="A560" s="19" t="inlineStr">
        <is>
          <t>s2354</t>
        </is>
      </c>
      <c r="B560" s="19" t="inlineStr">
        <is>
          <t>Dramas</t>
        </is>
      </c>
      <c r="C560" s="19">
        <f>IFERROR(INDEX(tblNetflix[type],MATCH($A560,tblNetflix[show_id],0)),"")</f>
        <v/>
      </c>
      <c r="D560" s="19">
        <f>IFERROR(INDEX(tblNetflix[rating],MATCH($A560,tblNetflix[show_id],0)),"")</f>
        <v/>
      </c>
      <c r="E560" s="19">
        <f>IFERROR(INDEX(tblNetflix[year_added],MATCH($A560,tblNetflix[show_id],0)),"")</f>
        <v/>
      </c>
      <c r="F560" s="19">
        <f>IF(AND(OR(YearFilter="All",$E560=YearFilter),OR(RatingFilter="All",$D560=RatingFilter),OR(TypeFilter="All",$C560=TypeFilter)),1,0)</f>
        <v/>
      </c>
    </row>
    <row r="561" ht="15" customHeight="1" s="20">
      <c r="A561" s="19" t="inlineStr">
        <is>
          <t>s2354</t>
        </is>
      </c>
      <c r="B561" s="19" t="inlineStr">
        <is>
          <t>International Movies</t>
        </is>
      </c>
      <c r="C561" s="19">
        <f>IFERROR(INDEX(tblNetflix[type],MATCH($A561,tblNetflix[show_id],0)),"")</f>
        <v/>
      </c>
      <c r="D561" s="19">
        <f>IFERROR(INDEX(tblNetflix[rating],MATCH($A561,tblNetflix[show_id],0)),"")</f>
        <v/>
      </c>
      <c r="E561" s="19">
        <f>IFERROR(INDEX(tblNetflix[year_added],MATCH($A561,tblNetflix[show_id],0)),"")</f>
        <v/>
      </c>
      <c r="F561" s="19">
        <f>IF(AND(OR(YearFilter="All",$E561=YearFilter),OR(RatingFilter="All",$D561=RatingFilter),OR(TypeFilter="All",$C561=TypeFilter)),1,0)</f>
        <v/>
      </c>
    </row>
    <row r="562" ht="15" customHeight="1" s="20">
      <c r="A562" s="19" t="inlineStr">
        <is>
          <t>s2390</t>
        </is>
      </c>
      <c r="B562" s="19" t="inlineStr">
        <is>
          <t>Dramas</t>
        </is>
      </c>
      <c r="C562" s="19">
        <f>IFERROR(INDEX(tblNetflix[type],MATCH($A562,tblNetflix[show_id],0)),"")</f>
        <v/>
      </c>
      <c r="D562" s="19">
        <f>IFERROR(INDEX(tblNetflix[rating],MATCH($A562,tblNetflix[show_id],0)),"")</f>
        <v/>
      </c>
      <c r="E562" s="19">
        <f>IFERROR(INDEX(tblNetflix[year_added],MATCH($A562,tblNetflix[show_id],0)),"")</f>
        <v/>
      </c>
      <c r="F562" s="19">
        <f>IF(AND(OR(YearFilter="All",$E562=YearFilter),OR(RatingFilter="All",$D562=RatingFilter),OR(TypeFilter="All",$C562=TypeFilter)),1,0)</f>
        <v/>
      </c>
    </row>
    <row r="563" ht="15" customHeight="1" s="20">
      <c r="A563" s="19" t="inlineStr">
        <is>
          <t>s2390</t>
        </is>
      </c>
      <c r="B563" s="19" t="inlineStr">
        <is>
          <t>International Movies</t>
        </is>
      </c>
      <c r="C563" s="19">
        <f>IFERROR(INDEX(tblNetflix[type],MATCH($A563,tblNetflix[show_id],0)),"")</f>
        <v/>
      </c>
      <c r="D563" s="19">
        <f>IFERROR(INDEX(tblNetflix[rating],MATCH($A563,tblNetflix[show_id],0)),"")</f>
        <v/>
      </c>
      <c r="E563" s="19">
        <f>IFERROR(INDEX(tblNetflix[year_added],MATCH($A563,tblNetflix[show_id],0)),"")</f>
        <v/>
      </c>
      <c r="F563" s="19">
        <f>IF(AND(OR(YearFilter="All",$E563=YearFilter),OR(RatingFilter="All",$D563=RatingFilter),OR(TypeFilter="All",$C563=TypeFilter)),1,0)</f>
        <v/>
      </c>
    </row>
    <row r="564" ht="15" customHeight="1" s="20">
      <c r="A564" s="19" t="inlineStr">
        <is>
          <t>s2393</t>
        </is>
      </c>
      <c r="B564" s="19" t="inlineStr">
        <is>
          <t>Comedies</t>
        </is>
      </c>
      <c r="C564" s="19">
        <f>IFERROR(INDEX(tblNetflix[type],MATCH($A564,tblNetflix[show_id],0)),"")</f>
        <v/>
      </c>
      <c r="D564" s="19">
        <f>IFERROR(INDEX(tblNetflix[rating],MATCH($A564,tblNetflix[show_id],0)),"")</f>
        <v/>
      </c>
      <c r="E564" s="19">
        <f>IFERROR(INDEX(tblNetflix[year_added],MATCH($A564,tblNetflix[show_id],0)),"")</f>
        <v/>
      </c>
      <c r="F564" s="19">
        <f>IF(AND(OR(YearFilter="All",$E564=YearFilter),OR(RatingFilter="All",$D564=RatingFilter),OR(TypeFilter="All",$C564=TypeFilter)),1,0)</f>
        <v/>
      </c>
    </row>
    <row r="565" ht="15" customHeight="1" s="20">
      <c r="A565" s="19" t="inlineStr">
        <is>
          <t>s2393</t>
        </is>
      </c>
      <c r="B565" s="19" t="inlineStr">
        <is>
          <t>Dramas</t>
        </is>
      </c>
      <c r="C565" s="19">
        <f>IFERROR(INDEX(tblNetflix[type],MATCH($A565,tblNetflix[show_id],0)),"")</f>
        <v/>
      </c>
      <c r="D565" s="19">
        <f>IFERROR(INDEX(tblNetflix[rating],MATCH($A565,tblNetflix[show_id],0)),"")</f>
        <v/>
      </c>
      <c r="E565" s="19">
        <f>IFERROR(INDEX(tblNetflix[year_added],MATCH($A565,tblNetflix[show_id],0)),"")</f>
        <v/>
      </c>
      <c r="F565" s="19">
        <f>IF(AND(OR(YearFilter="All",$E565=YearFilter),OR(RatingFilter="All",$D565=RatingFilter),OR(TypeFilter="All",$C565=TypeFilter)),1,0)</f>
        <v/>
      </c>
    </row>
    <row r="566" ht="15" customHeight="1" s="20">
      <c r="A566" s="19" t="inlineStr">
        <is>
          <t>s2393</t>
        </is>
      </c>
      <c r="B566" s="19" t="inlineStr">
        <is>
          <t>Independent Movies</t>
        </is>
      </c>
      <c r="C566" s="19">
        <f>IFERROR(INDEX(tblNetflix[type],MATCH($A566,tblNetflix[show_id],0)),"")</f>
        <v/>
      </c>
      <c r="D566" s="19">
        <f>IFERROR(INDEX(tblNetflix[rating],MATCH($A566,tblNetflix[show_id],0)),"")</f>
        <v/>
      </c>
      <c r="E566" s="19">
        <f>IFERROR(INDEX(tblNetflix[year_added],MATCH($A566,tblNetflix[show_id],0)),"")</f>
        <v/>
      </c>
      <c r="F566" s="19">
        <f>IF(AND(OR(YearFilter="All",$E566=YearFilter),OR(RatingFilter="All",$D566=RatingFilter),OR(TypeFilter="All",$C566=TypeFilter)),1,0)</f>
        <v/>
      </c>
    </row>
    <row r="567" ht="15" customHeight="1" s="20">
      <c r="A567" s="19" t="inlineStr">
        <is>
          <t>s2414</t>
        </is>
      </c>
      <c r="B567" s="19" t="inlineStr">
        <is>
          <t>International Movies</t>
        </is>
      </c>
      <c r="C567" s="19">
        <f>IFERROR(INDEX(tblNetflix[type],MATCH($A567,tblNetflix[show_id],0)),"")</f>
        <v/>
      </c>
      <c r="D567" s="19">
        <f>IFERROR(INDEX(tblNetflix[rating],MATCH($A567,tblNetflix[show_id],0)),"")</f>
        <v/>
      </c>
      <c r="E567" s="19">
        <f>IFERROR(INDEX(tblNetflix[year_added],MATCH($A567,tblNetflix[show_id],0)),"")</f>
        <v/>
      </c>
      <c r="F567" s="19">
        <f>IF(AND(OR(YearFilter="All",$E567=YearFilter),OR(RatingFilter="All",$D567=RatingFilter),OR(TypeFilter="All",$C567=TypeFilter)),1,0)</f>
        <v/>
      </c>
    </row>
    <row r="568" ht="15" customHeight="1" s="20">
      <c r="A568" s="19" t="inlineStr">
        <is>
          <t>s2414</t>
        </is>
      </c>
      <c r="B568" s="19" t="inlineStr">
        <is>
          <t>Thrillers</t>
        </is>
      </c>
      <c r="C568" s="19">
        <f>IFERROR(INDEX(tblNetflix[type],MATCH($A568,tblNetflix[show_id],0)),"")</f>
        <v/>
      </c>
      <c r="D568" s="19">
        <f>IFERROR(INDEX(tblNetflix[rating],MATCH($A568,tblNetflix[show_id],0)),"")</f>
        <v/>
      </c>
      <c r="E568" s="19">
        <f>IFERROR(INDEX(tblNetflix[year_added],MATCH($A568,tblNetflix[show_id],0)),"")</f>
        <v/>
      </c>
      <c r="F568" s="19">
        <f>IF(AND(OR(YearFilter="All",$E568=YearFilter),OR(RatingFilter="All",$D568=RatingFilter),OR(TypeFilter="All",$C568=TypeFilter)),1,0)</f>
        <v/>
      </c>
    </row>
    <row r="569" ht="15" customHeight="1" s="20">
      <c r="A569" s="19" t="inlineStr">
        <is>
          <t>s2415</t>
        </is>
      </c>
      <c r="B569" s="19" t="inlineStr">
        <is>
          <t>Dramas</t>
        </is>
      </c>
      <c r="C569" s="19">
        <f>IFERROR(INDEX(tblNetflix[type],MATCH($A569,tblNetflix[show_id],0)),"")</f>
        <v/>
      </c>
      <c r="D569" s="19">
        <f>IFERROR(INDEX(tblNetflix[rating],MATCH($A569,tblNetflix[show_id],0)),"")</f>
        <v/>
      </c>
      <c r="E569" s="19">
        <f>IFERROR(INDEX(tblNetflix[year_added],MATCH($A569,tblNetflix[show_id],0)),"")</f>
        <v/>
      </c>
      <c r="F569" s="19">
        <f>IF(AND(OR(YearFilter="All",$E569=YearFilter),OR(RatingFilter="All",$D569=RatingFilter),OR(TypeFilter="All",$C569=TypeFilter)),1,0)</f>
        <v/>
      </c>
    </row>
    <row r="570" ht="15" customHeight="1" s="20">
      <c r="A570" s="19" t="inlineStr">
        <is>
          <t>s2415</t>
        </is>
      </c>
      <c r="B570" s="19" t="inlineStr">
        <is>
          <t>Independent Movies</t>
        </is>
      </c>
      <c r="C570" s="19">
        <f>IFERROR(INDEX(tblNetflix[type],MATCH($A570,tblNetflix[show_id],0)),"")</f>
        <v/>
      </c>
      <c r="D570" s="19">
        <f>IFERROR(INDEX(tblNetflix[rating],MATCH($A570,tblNetflix[show_id],0)),"")</f>
        <v/>
      </c>
      <c r="E570" s="19">
        <f>IFERROR(INDEX(tblNetflix[year_added],MATCH($A570,tblNetflix[show_id],0)),"")</f>
        <v/>
      </c>
      <c r="F570" s="19">
        <f>IF(AND(OR(YearFilter="All",$E570=YearFilter),OR(RatingFilter="All",$D570=RatingFilter),OR(TypeFilter="All",$C570=TypeFilter)),1,0)</f>
        <v/>
      </c>
    </row>
    <row r="571" ht="15" customHeight="1" s="20">
      <c r="A571" s="19" t="inlineStr">
        <is>
          <t>s2415</t>
        </is>
      </c>
      <c r="B571" s="19" t="inlineStr">
        <is>
          <t>International Movies</t>
        </is>
      </c>
      <c r="C571" s="19">
        <f>IFERROR(INDEX(tblNetflix[type],MATCH($A571,tblNetflix[show_id],0)),"")</f>
        <v/>
      </c>
      <c r="D571" s="19">
        <f>IFERROR(INDEX(tblNetflix[rating],MATCH($A571,tblNetflix[show_id],0)),"")</f>
        <v/>
      </c>
      <c r="E571" s="19">
        <f>IFERROR(INDEX(tblNetflix[year_added],MATCH($A571,tblNetflix[show_id],0)),"")</f>
        <v/>
      </c>
      <c r="F571" s="19">
        <f>IF(AND(OR(YearFilter="All",$E571=YearFilter),OR(RatingFilter="All",$D571=RatingFilter),OR(TypeFilter="All",$C571=TypeFilter)),1,0)</f>
        <v/>
      </c>
    </row>
    <row r="572" ht="15" customHeight="1" s="20">
      <c r="A572" s="19" t="inlineStr">
        <is>
          <t>s2421</t>
        </is>
      </c>
      <c r="B572" s="19" t="inlineStr">
        <is>
          <t>Dramas</t>
        </is>
      </c>
      <c r="C572" s="19">
        <f>IFERROR(INDEX(tblNetflix[type],MATCH($A572,tblNetflix[show_id],0)),"")</f>
        <v/>
      </c>
      <c r="D572" s="19">
        <f>IFERROR(INDEX(tblNetflix[rating],MATCH($A572,tblNetflix[show_id],0)),"")</f>
        <v/>
      </c>
      <c r="E572" s="19">
        <f>IFERROR(INDEX(tblNetflix[year_added],MATCH($A572,tblNetflix[show_id],0)),"")</f>
        <v/>
      </c>
      <c r="F572" s="19">
        <f>IF(AND(OR(YearFilter="All",$E572=YearFilter),OR(RatingFilter="All",$D572=RatingFilter),OR(TypeFilter="All",$C572=TypeFilter)),1,0)</f>
        <v/>
      </c>
    </row>
    <row r="573" ht="15" customHeight="1" s="20">
      <c r="A573" s="19" t="inlineStr">
        <is>
          <t>s2421</t>
        </is>
      </c>
      <c r="B573" s="19" t="inlineStr">
        <is>
          <t>International Movies</t>
        </is>
      </c>
      <c r="C573" s="19">
        <f>IFERROR(INDEX(tblNetflix[type],MATCH($A573,tblNetflix[show_id],0)),"")</f>
        <v/>
      </c>
      <c r="D573" s="19">
        <f>IFERROR(INDEX(tblNetflix[rating],MATCH($A573,tblNetflix[show_id],0)),"")</f>
        <v/>
      </c>
      <c r="E573" s="19">
        <f>IFERROR(INDEX(tblNetflix[year_added],MATCH($A573,tblNetflix[show_id],0)),"")</f>
        <v/>
      </c>
      <c r="F573" s="19">
        <f>IF(AND(OR(YearFilter="All",$E573=YearFilter),OR(RatingFilter="All",$D573=RatingFilter),OR(TypeFilter="All",$C573=TypeFilter)),1,0)</f>
        <v/>
      </c>
    </row>
    <row r="574" ht="15" customHeight="1" s="20">
      <c r="A574" s="19" t="inlineStr">
        <is>
          <t>s2446</t>
        </is>
      </c>
      <c r="B574" s="19" t="inlineStr">
        <is>
          <t>Comedies</t>
        </is>
      </c>
      <c r="C574" s="19">
        <f>IFERROR(INDEX(tblNetflix[type],MATCH($A574,tblNetflix[show_id],0)),"")</f>
        <v/>
      </c>
      <c r="D574" s="19">
        <f>IFERROR(INDEX(tblNetflix[rating],MATCH($A574,tblNetflix[show_id],0)),"")</f>
        <v/>
      </c>
      <c r="E574" s="19">
        <f>IFERROR(INDEX(tblNetflix[year_added],MATCH($A574,tblNetflix[show_id],0)),"")</f>
        <v/>
      </c>
      <c r="F574" s="19">
        <f>IF(AND(OR(YearFilter="All",$E574=YearFilter),OR(RatingFilter="All",$D574=RatingFilter),OR(TypeFilter="All",$C574=TypeFilter)),1,0)</f>
        <v/>
      </c>
    </row>
    <row r="575" ht="15" customHeight="1" s="20">
      <c r="A575" s="19" t="inlineStr">
        <is>
          <t>s2446</t>
        </is>
      </c>
      <c r="B575" s="19" t="inlineStr">
        <is>
          <t>Dramas</t>
        </is>
      </c>
      <c r="C575" s="19">
        <f>IFERROR(INDEX(tblNetflix[type],MATCH($A575,tblNetflix[show_id],0)),"")</f>
        <v/>
      </c>
      <c r="D575" s="19">
        <f>IFERROR(INDEX(tblNetflix[rating],MATCH($A575,tblNetflix[show_id],0)),"")</f>
        <v/>
      </c>
      <c r="E575" s="19">
        <f>IFERROR(INDEX(tblNetflix[year_added],MATCH($A575,tblNetflix[show_id],0)),"")</f>
        <v/>
      </c>
      <c r="F575" s="19">
        <f>IF(AND(OR(YearFilter="All",$E575=YearFilter),OR(RatingFilter="All",$D575=RatingFilter),OR(TypeFilter="All",$C575=TypeFilter)),1,0)</f>
        <v/>
      </c>
    </row>
    <row r="576" ht="15" customHeight="1" s="20">
      <c r="A576" s="19" t="inlineStr">
        <is>
          <t>s2446</t>
        </is>
      </c>
      <c r="B576" s="19" t="inlineStr">
        <is>
          <t>Independent Movies</t>
        </is>
      </c>
      <c r="C576" s="19">
        <f>IFERROR(INDEX(tblNetflix[type],MATCH($A576,tblNetflix[show_id],0)),"")</f>
        <v/>
      </c>
      <c r="D576" s="19">
        <f>IFERROR(INDEX(tblNetflix[rating],MATCH($A576,tblNetflix[show_id],0)),"")</f>
        <v/>
      </c>
      <c r="E576" s="19">
        <f>IFERROR(INDEX(tblNetflix[year_added],MATCH($A576,tblNetflix[show_id],0)),"")</f>
        <v/>
      </c>
      <c r="F576" s="19">
        <f>IF(AND(OR(YearFilter="All",$E576=YearFilter),OR(RatingFilter="All",$D576=RatingFilter),OR(TypeFilter="All",$C576=TypeFilter)),1,0)</f>
        <v/>
      </c>
    </row>
    <row r="577" ht="15" customHeight="1" s="20">
      <c r="A577" s="19" t="inlineStr">
        <is>
          <t>s2459</t>
        </is>
      </c>
      <c r="B577" s="19" t="inlineStr">
        <is>
          <t>Stand-Up Comedy</t>
        </is>
      </c>
      <c r="C577" s="19">
        <f>IFERROR(INDEX(tblNetflix[type],MATCH($A577,tblNetflix[show_id],0)),"")</f>
        <v/>
      </c>
      <c r="D577" s="19">
        <f>IFERROR(INDEX(tblNetflix[rating],MATCH($A577,tblNetflix[show_id],0)),"")</f>
        <v/>
      </c>
      <c r="E577" s="19">
        <f>IFERROR(INDEX(tblNetflix[year_added],MATCH($A577,tblNetflix[show_id],0)),"")</f>
        <v/>
      </c>
      <c r="F577" s="19">
        <f>IF(AND(OR(YearFilter="All",$E577=YearFilter),OR(RatingFilter="All",$D577=RatingFilter),OR(TypeFilter="All",$C577=TypeFilter)),1,0)</f>
        <v/>
      </c>
    </row>
    <row r="578" ht="15" customHeight="1" s="20">
      <c r="A578" s="19" t="inlineStr">
        <is>
          <t>s2473</t>
        </is>
      </c>
      <c r="B578" s="19" t="inlineStr">
        <is>
          <t>International TV Shows</t>
        </is>
      </c>
      <c r="C578" s="19">
        <f>IFERROR(INDEX(tblNetflix[type],MATCH($A578,tblNetflix[show_id],0)),"")</f>
        <v/>
      </c>
      <c r="D578" s="19">
        <f>IFERROR(INDEX(tblNetflix[rating],MATCH($A578,tblNetflix[show_id],0)),"")</f>
        <v/>
      </c>
      <c r="E578" s="19">
        <f>IFERROR(INDEX(tblNetflix[year_added],MATCH($A578,tblNetflix[show_id],0)),"")</f>
        <v/>
      </c>
      <c r="F578" s="19">
        <f>IF(AND(OR(YearFilter="All",$E578=YearFilter),OR(RatingFilter="All",$D578=RatingFilter),OR(TypeFilter="All",$C578=TypeFilter)),1,0)</f>
        <v/>
      </c>
    </row>
    <row r="579" ht="15" customHeight="1" s="20">
      <c r="A579" s="19" t="inlineStr">
        <is>
          <t>s2473</t>
        </is>
      </c>
      <c r="B579" s="19" t="inlineStr">
        <is>
          <t>TV Action &amp; Adventure</t>
        </is>
      </c>
      <c r="C579" s="19">
        <f>IFERROR(INDEX(tblNetflix[type],MATCH($A579,tblNetflix[show_id],0)),"")</f>
        <v/>
      </c>
      <c r="D579" s="19">
        <f>IFERROR(INDEX(tblNetflix[rating],MATCH($A579,tblNetflix[show_id],0)),"")</f>
        <v/>
      </c>
      <c r="E579" s="19">
        <f>IFERROR(INDEX(tblNetflix[year_added],MATCH($A579,tblNetflix[show_id],0)),"")</f>
        <v/>
      </c>
      <c r="F579" s="19">
        <f>IF(AND(OR(YearFilter="All",$E579=YearFilter),OR(RatingFilter="All",$D579=RatingFilter),OR(TypeFilter="All",$C579=TypeFilter)),1,0)</f>
        <v/>
      </c>
    </row>
    <row r="580" ht="15" customHeight="1" s="20">
      <c r="A580" s="19" t="inlineStr">
        <is>
          <t>s2473</t>
        </is>
      </c>
      <c r="B580" s="19" t="inlineStr">
        <is>
          <t>TV Horror</t>
        </is>
      </c>
      <c r="C580" s="19">
        <f>IFERROR(INDEX(tblNetflix[type],MATCH($A580,tblNetflix[show_id],0)),"")</f>
        <v/>
      </c>
      <c r="D580" s="19">
        <f>IFERROR(INDEX(tblNetflix[rating],MATCH($A580,tblNetflix[show_id],0)),"")</f>
        <v/>
      </c>
      <c r="E580" s="19">
        <f>IFERROR(INDEX(tblNetflix[year_added],MATCH($A580,tblNetflix[show_id],0)),"")</f>
        <v/>
      </c>
      <c r="F580" s="19">
        <f>IF(AND(OR(YearFilter="All",$E580=YearFilter),OR(RatingFilter="All",$D580=RatingFilter),OR(TypeFilter="All",$C580=TypeFilter)),1,0)</f>
        <v/>
      </c>
    </row>
    <row r="581" ht="15" customHeight="1" s="20">
      <c r="A581" s="19" t="inlineStr">
        <is>
          <t>s2501</t>
        </is>
      </c>
      <c r="B581" s="19" t="inlineStr">
        <is>
          <t>Comedies</t>
        </is>
      </c>
      <c r="C581" s="19">
        <f>IFERROR(INDEX(tblNetflix[type],MATCH($A581,tblNetflix[show_id],0)),"")</f>
        <v/>
      </c>
      <c r="D581" s="19">
        <f>IFERROR(INDEX(tblNetflix[rating],MATCH($A581,tblNetflix[show_id],0)),"")</f>
        <v/>
      </c>
      <c r="E581" s="19">
        <f>IFERROR(INDEX(tblNetflix[year_added],MATCH($A581,tblNetflix[show_id],0)),"")</f>
        <v/>
      </c>
      <c r="F581" s="19">
        <f>IF(AND(OR(YearFilter="All",$E581=YearFilter),OR(RatingFilter="All",$D581=RatingFilter),OR(TypeFilter="All",$C581=TypeFilter)),1,0)</f>
        <v/>
      </c>
    </row>
    <row r="582" ht="15" customHeight="1" s="20">
      <c r="A582" s="19" t="inlineStr">
        <is>
          <t>s2501</t>
        </is>
      </c>
      <c r="B582" s="19" t="inlineStr">
        <is>
          <t>Dramas</t>
        </is>
      </c>
      <c r="C582" s="19">
        <f>IFERROR(INDEX(tblNetflix[type],MATCH($A582,tblNetflix[show_id],0)),"")</f>
        <v/>
      </c>
      <c r="D582" s="19">
        <f>IFERROR(INDEX(tblNetflix[rating],MATCH($A582,tblNetflix[show_id],0)),"")</f>
        <v/>
      </c>
      <c r="E582" s="19">
        <f>IFERROR(INDEX(tblNetflix[year_added],MATCH($A582,tblNetflix[show_id],0)),"")</f>
        <v/>
      </c>
      <c r="F582" s="19">
        <f>IF(AND(OR(YearFilter="All",$E582=YearFilter),OR(RatingFilter="All",$D582=RatingFilter),OR(TypeFilter="All",$C582=TypeFilter)),1,0)</f>
        <v/>
      </c>
    </row>
    <row r="583" ht="15" customHeight="1" s="20">
      <c r="A583" s="19" t="inlineStr">
        <is>
          <t>s2501</t>
        </is>
      </c>
      <c r="B583" s="19" t="inlineStr">
        <is>
          <t>Independent Movies</t>
        </is>
      </c>
      <c r="C583" s="19">
        <f>IFERROR(INDEX(tblNetflix[type],MATCH($A583,tblNetflix[show_id],0)),"")</f>
        <v/>
      </c>
      <c r="D583" s="19">
        <f>IFERROR(INDEX(tblNetflix[rating],MATCH($A583,tblNetflix[show_id],0)),"")</f>
        <v/>
      </c>
      <c r="E583" s="19">
        <f>IFERROR(INDEX(tblNetflix[year_added],MATCH($A583,tblNetflix[show_id],0)),"")</f>
        <v/>
      </c>
      <c r="F583" s="19">
        <f>IF(AND(OR(YearFilter="All",$E583=YearFilter),OR(RatingFilter="All",$D583=RatingFilter),OR(TypeFilter="All",$C583=TypeFilter)),1,0)</f>
        <v/>
      </c>
    </row>
    <row r="584" ht="15" customHeight="1" s="20">
      <c r="A584" s="19" t="inlineStr">
        <is>
          <t>s2535</t>
        </is>
      </c>
      <c r="B584" s="19" t="inlineStr">
        <is>
          <t>Action &amp; Adventure</t>
        </is>
      </c>
      <c r="C584" s="19">
        <f>IFERROR(INDEX(tblNetflix[type],MATCH($A584,tblNetflix[show_id],0)),"")</f>
        <v/>
      </c>
      <c r="D584" s="19">
        <f>IFERROR(INDEX(tblNetflix[rating],MATCH($A584,tblNetflix[show_id],0)),"")</f>
        <v/>
      </c>
      <c r="E584" s="19">
        <f>IFERROR(INDEX(tblNetflix[year_added],MATCH($A584,tblNetflix[show_id],0)),"")</f>
        <v/>
      </c>
      <c r="F584" s="19">
        <f>IF(AND(OR(YearFilter="All",$E584=YearFilter),OR(RatingFilter="All",$D584=RatingFilter),OR(TypeFilter="All",$C584=TypeFilter)),1,0)</f>
        <v/>
      </c>
    </row>
    <row r="585" ht="15" customHeight="1" s="20">
      <c r="A585" s="19" t="inlineStr">
        <is>
          <t>s2535</t>
        </is>
      </c>
      <c r="B585" s="19" t="inlineStr">
        <is>
          <t>International Movies</t>
        </is>
      </c>
      <c r="C585" s="19">
        <f>IFERROR(INDEX(tblNetflix[type],MATCH($A585,tblNetflix[show_id],0)),"")</f>
        <v/>
      </c>
      <c r="D585" s="19">
        <f>IFERROR(INDEX(tblNetflix[rating],MATCH($A585,tblNetflix[show_id],0)),"")</f>
        <v/>
      </c>
      <c r="E585" s="19">
        <f>IFERROR(INDEX(tblNetflix[year_added],MATCH($A585,tblNetflix[show_id],0)),"")</f>
        <v/>
      </c>
      <c r="F585" s="19">
        <f>IF(AND(OR(YearFilter="All",$E585=YearFilter),OR(RatingFilter="All",$D585=RatingFilter),OR(TypeFilter="All",$C585=TypeFilter)),1,0)</f>
        <v/>
      </c>
    </row>
    <row r="586" ht="15" customHeight="1" s="20">
      <c r="A586" s="19" t="inlineStr">
        <is>
          <t>s2535</t>
        </is>
      </c>
      <c r="B586" s="19" t="inlineStr">
        <is>
          <t>Romantic Movies</t>
        </is>
      </c>
      <c r="C586" s="19">
        <f>IFERROR(INDEX(tblNetflix[type],MATCH($A586,tblNetflix[show_id],0)),"")</f>
        <v/>
      </c>
      <c r="D586" s="19">
        <f>IFERROR(INDEX(tblNetflix[rating],MATCH($A586,tblNetflix[show_id],0)),"")</f>
        <v/>
      </c>
      <c r="E586" s="19">
        <f>IFERROR(INDEX(tblNetflix[year_added],MATCH($A586,tblNetflix[show_id],0)),"")</f>
        <v/>
      </c>
      <c r="F586" s="19">
        <f>IF(AND(OR(YearFilter="All",$E586=YearFilter),OR(RatingFilter="All",$D586=RatingFilter),OR(TypeFilter="All",$C586=TypeFilter)),1,0)</f>
        <v/>
      </c>
    </row>
    <row r="587" ht="15" customHeight="1" s="20">
      <c r="A587" s="19" t="inlineStr">
        <is>
          <t>s2540</t>
        </is>
      </c>
      <c r="B587" s="19" t="inlineStr">
        <is>
          <t>Documentaries</t>
        </is>
      </c>
      <c r="C587" s="19">
        <f>IFERROR(INDEX(tblNetflix[type],MATCH($A587,tblNetflix[show_id],0)),"")</f>
        <v/>
      </c>
      <c r="D587" s="19">
        <f>IFERROR(INDEX(tblNetflix[rating],MATCH($A587,tblNetflix[show_id],0)),"")</f>
        <v/>
      </c>
      <c r="E587" s="19">
        <f>IFERROR(INDEX(tblNetflix[year_added],MATCH($A587,tblNetflix[show_id],0)),"")</f>
        <v/>
      </c>
      <c r="F587" s="19">
        <f>IF(AND(OR(YearFilter="All",$E587=YearFilter),OR(RatingFilter="All",$D587=RatingFilter),OR(TypeFilter="All",$C587=TypeFilter)),1,0)</f>
        <v/>
      </c>
    </row>
    <row r="588" ht="15" customHeight="1" s="20">
      <c r="A588" s="19" t="inlineStr">
        <is>
          <t>s2540</t>
        </is>
      </c>
      <c r="B588" s="19" t="inlineStr">
        <is>
          <t>International Movies</t>
        </is>
      </c>
      <c r="C588" s="19">
        <f>IFERROR(INDEX(tblNetflix[type],MATCH($A588,tblNetflix[show_id],0)),"")</f>
        <v/>
      </c>
      <c r="D588" s="19">
        <f>IFERROR(INDEX(tblNetflix[rating],MATCH($A588,tblNetflix[show_id],0)),"")</f>
        <v/>
      </c>
      <c r="E588" s="19">
        <f>IFERROR(INDEX(tblNetflix[year_added],MATCH($A588,tblNetflix[show_id],0)),"")</f>
        <v/>
      </c>
      <c r="F588" s="19">
        <f>IF(AND(OR(YearFilter="All",$E588=YearFilter),OR(RatingFilter="All",$D588=RatingFilter),OR(TypeFilter="All",$C588=TypeFilter)),1,0)</f>
        <v/>
      </c>
    </row>
    <row r="589" ht="15" customHeight="1" s="20">
      <c r="A589" s="19" t="inlineStr">
        <is>
          <t>s2545</t>
        </is>
      </c>
      <c r="B589" s="19" t="inlineStr">
        <is>
          <t>Children &amp; Family Movies</t>
        </is>
      </c>
      <c r="C589" s="19">
        <f>IFERROR(INDEX(tblNetflix[type],MATCH($A589,tblNetflix[show_id],0)),"")</f>
        <v/>
      </c>
      <c r="D589" s="19">
        <f>IFERROR(INDEX(tblNetflix[rating],MATCH($A589,tblNetflix[show_id],0)),"")</f>
        <v/>
      </c>
      <c r="E589" s="19">
        <f>IFERROR(INDEX(tblNetflix[year_added],MATCH($A589,tblNetflix[show_id],0)),"")</f>
        <v/>
      </c>
      <c r="F589" s="19">
        <f>IF(AND(OR(YearFilter="All",$E589=YearFilter),OR(RatingFilter="All",$D589=RatingFilter),OR(TypeFilter="All",$C589=TypeFilter)),1,0)</f>
        <v/>
      </c>
    </row>
    <row r="590" ht="15" customHeight="1" s="20">
      <c r="A590" s="19" t="inlineStr">
        <is>
          <t>s2545</t>
        </is>
      </c>
      <c r="B590" s="19" t="inlineStr">
        <is>
          <t>Comedies</t>
        </is>
      </c>
      <c r="C590" s="19">
        <f>IFERROR(INDEX(tblNetflix[type],MATCH($A590,tblNetflix[show_id],0)),"")</f>
        <v/>
      </c>
      <c r="D590" s="19">
        <f>IFERROR(INDEX(tblNetflix[rating],MATCH($A590,tblNetflix[show_id],0)),"")</f>
        <v/>
      </c>
      <c r="E590" s="19">
        <f>IFERROR(INDEX(tblNetflix[year_added],MATCH($A590,tblNetflix[show_id],0)),"")</f>
        <v/>
      </c>
      <c r="F590" s="19">
        <f>IF(AND(OR(YearFilter="All",$E590=YearFilter),OR(RatingFilter="All",$D590=RatingFilter),OR(TypeFilter="All",$C590=TypeFilter)),1,0)</f>
        <v/>
      </c>
    </row>
    <row r="591" ht="15" customHeight="1" s="20">
      <c r="A591" s="19" t="inlineStr">
        <is>
          <t>s2545</t>
        </is>
      </c>
      <c r="B591" s="19" t="inlineStr">
        <is>
          <t>International Movies</t>
        </is>
      </c>
      <c r="C591" s="19">
        <f>IFERROR(INDEX(tblNetflix[type],MATCH($A591,tblNetflix[show_id],0)),"")</f>
        <v/>
      </c>
      <c r="D591" s="19">
        <f>IFERROR(INDEX(tblNetflix[rating],MATCH($A591,tblNetflix[show_id],0)),"")</f>
        <v/>
      </c>
      <c r="E591" s="19">
        <f>IFERROR(INDEX(tblNetflix[year_added],MATCH($A591,tblNetflix[show_id],0)),"")</f>
        <v/>
      </c>
      <c r="F591" s="19">
        <f>IF(AND(OR(YearFilter="All",$E591=YearFilter),OR(RatingFilter="All",$D591=RatingFilter),OR(TypeFilter="All",$C591=TypeFilter)),1,0)</f>
        <v/>
      </c>
    </row>
    <row r="592" ht="15" customHeight="1" s="20">
      <c r="A592" s="19" t="inlineStr">
        <is>
          <t>s2546</t>
        </is>
      </c>
      <c r="B592" s="19" t="inlineStr">
        <is>
          <t>Action &amp; Adventure</t>
        </is>
      </c>
      <c r="C592" s="19">
        <f>IFERROR(INDEX(tblNetflix[type],MATCH($A592,tblNetflix[show_id],0)),"")</f>
        <v/>
      </c>
      <c r="D592" s="19">
        <f>IFERROR(INDEX(tblNetflix[rating],MATCH($A592,tblNetflix[show_id],0)),"")</f>
        <v/>
      </c>
      <c r="E592" s="19">
        <f>IFERROR(INDEX(tblNetflix[year_added],MATCH($A592,tblNetflix[show_id],0)),"")</f>
        <v/>
      </c>
      <c r="F592" s="19">
        <f>IF(AND(OR(YearFilter="All",$E592=YearFilter),OR(RatingFilter="All",$D592=RatingFilter),OR(TypeFilter="All",$C592=TypeFilter)),1,0)</f>
        <v/>
      </c>
    </row>
    <row r="593" ht="15" customHeight="1" s="20">
      <c r="A593" s="19" t="inlineStr">
        <is>
          <t>s2546</t>
        </is>
      </c>
      <c r="B593" s="19" t="inlineStr">
        <is>
          <t>Comedies</t>
        </is>
      </c>
      <c r="C593" s="19">
        <f>IFERROR(INDEX(tblNetflix[type],MATCH($A593,tblNetflix[show_id],0)),"")</f>
        <v/>
      </c>
      <c r="D593" s="19">
        <f>IFERROR(INDEX(tblNetflix[rating],MATCH($A593,tblNetflix[show_id],0)),"")</f>
        <v/>
      </c>
      <c r="E593" s="19">
        <f>IFERROR(INDEX(tblNetflix[year_added],MATCH($A593,tblNetflix[show_id],0)),"")</f>
        <v/>
      </c>
      <c r="F593" s="19">
        <f>IF(AND(OR(YearFilter="All",$E593=YearFilter),OR(RatingFilter="All",$D593=RatingFilter),OR(TypeFilter="All",$C593=TypeFilter)),1,0)</f>
        <v/>
      </c>
    </row>
    <row r="594" ht="15" customHeight="1" s="20">
      <c r="A594" s="19" t="inlineStr">
        <is>
          <t>s2546</t>
        </is>
      </c>
      <c r="B594" s="19" t="inlineStr">
        <is>
          <t>Cult Movies</t>
        </is>
      </c>
      <c r="C594" s="19">
        <f>IFERROR(INDEX(tblNetflix[type],MATCH($A594,tblNetflix[show_id],0)),"")</f>
        <v/>
      </c>
      <c r="D594" s="19">
        <f>IFERROR(INDEX(tblNetflix[rating],MATCH($A594,tblNetflix[show_id],0)),"")</f>
        <v/>
      </c>
      <c r="E594" s="19">
        <f>IFERROR(INDEX(tblNetflix[year_added],MATCH($A594,tblNetflix[show_id],0)),"")</f>
        <v/>
      </c>
      <c r="F594" s="19">
        <f>IF(AND(OR(YearFilter="All",$E594=YearFilter),OR(RatingFilter="All",$D594=RatingFilter),OR(TypeFilter="All",$C594=TypeFilter)),1,0)</f>
        <v/>
      </c>
    </row>
    <row r="595" ht="15" customHeight="1" s="20">
      <c r="A595" s="19" t="inlineStr">
        <is>
          <t>s2563</t>
        </is>
      </c>
      <c r="B595" s="19" t="inlineStr">
        <is>
          <t>Children &amp; Family Movies</t>
        </is>
      </c>
      <c r="C595" s="19">
        <f>IFERROR(INDEX(tblNetflix[type],MATCH($A595,tblNetflix[show_id],0)),"")</f>
        <v/>
      </c>
      <c r="D595" s="19">
        <f>IFERROR(INDEX(tblNetflix[rating],MATCH($A595,tblNetflix[show_id],0)),"")</f>
        <v/>
      </c>
      <c r="E595" s="19">
        <f>IFERROR(INDEX(tblNetflix[year_added],MATCH($A595,tblNetflix[show_id],0)),"")</f>
        <v/>
      </c>
      <c r="F595" s="19">
        <f>IF(AND(OR(YearFilter="All",$E595=YearFilter),OR(RatingFilter="All",$D595=RatingFilter),OR(TypeFilter="All",$C595=TypeFilter)),1,0)</f>
        <v/>
      </c>
    </row>
    <row r="596" ht="15" customHeight="1" s="20">
      <c r="A596" s="19" t="inlineStr">
        <is>
          <t>s2563</t>
        </is>
      </c>
      <c r="B596" s="19" t="inlineStr">
        <is>
          <t>Comedies</t>
        </is>
      </c>
      <c r="C596" s="19">
        <f>IFERROR(INDEX(tblNetflix[type],MATCH($A596,tblNetflix[show_id],0)),"")</f>
        <v/>
      </c>
      <c r="D596" s="19">
        <f>IFERROR(INDEX(tblNetflix[rating],MATCH($A596,tblNetflix[show_id],0)),"")</f>
        <v/>
      </c>
      <c r="E596" s="19">
        <f>IFERROR(INDEX(tblNetflix[year_added],MATCH($A596,tblNetflix[show_id],0)),"")</f>
        <v/>
      </c>
      <c r="F596" s="19">
        <f>IF(AND(OR(YearFilter="All",$E596=YearFilter),OR(RatingFilter="All",$D596=RatingFilter),OR(TypeFilter="All",$C596=TypeFilter)),1,0)</f>
        <v/>
      </c>
    </row>
    <row r="597" ht="15" customHeight="1" s="20">
      <c r="A597" s="19" t="inlineStr">
        <is>
          <t>s2565</t>
        </is>
      </c>
      <c r="B597" s="19" t="inlineStr">
        <is>
          <t>Dramas</t>
        </is>
      </c>
      <c r="C597" s="19">
        <f>IFERROR(INDEX(tblNetflix[type],MATCH($A597,tblNetflix[show_id],0)),"")</f>
        <v/>
      </c>
      <c r="D597" s="19">
        <f>IFERROR(INDEX(tblNetflix[rating],MATCH($A597,tblNetflix[show_id],0)),"")</f>
        <v/>
      </c>
      <c r="E597" s="19">
        <f>IFERROR(INDEX(tblNetflix[year_added],MATCH($A597,tblNetflix[show_id],0)),"")</f>
        <v/>
      </c>
      <c r="F597" s="19">
        <f>IF(AND(OR(YearFilter="All",$E597=YearFilter),OR(RatingFilter="All",$D597=RatingFilter),OR(TypeFilter="All",$C597=TypeFilter)),1,0)</f>
        <v/>
      </c>
    </row>
    <row r="598" ht="15" customHeight="1" s="20">
      <c r="A598" s="19" t="inlineStr">
        <is>
          <t>s2565</t>
        </is>
      </c>
      <c r="B598" s="19" t="inlineStr">
        <is>
          <t>International Movies</t>
        </is>
      </c>
      <c r="C598" s="19">
        <f>IFERROR(INDEX(tblNetflix[type],MATCH($A598,tblNetflix[show_id],0)),"")</f>
        <v/>
      </c>
      <c r="D598" s="19">
        <f>IFERROR(INDEX(tblNetflix[rating],MATCH($A598,tblNetflix[show_id],0)),"")</f>
        <v/>
      </c>
      <c r="E598" s="19">
        <f>IFERROR(INDEX(tblNetflix[year_added],MATCH($A598,tblNetflix[show_id],0)),"")</f>
        <v/>
      </c>
      <c r="F598" s="19">
        <f>IF(AND(OR(YearFilter="All",$E598=YearFilter),OR(RatingFilter="All",$D598=RatingFilter),OR(TypeFilter="All",$C598=TypeFilter)),1,0)</f>
        <v/>
      </c>
    </row>
    <row r="599" ht="15" customHeight="1" s="20">
      <c r="A599" s="19" t="inlineStr">
        <is>
          <t>s2588</t>
        </is>
      </c>
      <c r="B599" s="19" t="inlineStr">
        <is>
          <t>International Movies</t>
        </is>
      </c>
      <c r="C599" s="19">
        <f>IFERROR(INDEX(tblNetflix[type],MATCH($A599,tblNetflix[show_id],0)),"")</f>
        <v/>
      </c>
      <c r="D599" s="19">
        <f>IFERROR(INDEX(tblNetflix[rating],MATCH($A599,tblNetflix[show_id],0)),"")</f>
        <v/>
      </c>
      <c r="E599" s="19">
        <f>IFERROR(INDEX(tblNetflix[year_added],MATCH($A599,tblNetflix[show_id],0)),"")</f>
        <v/>
      </c>
      <c r="F599" s="19">
        <f>IF(AND(OR(YearFilter="All",$E599=YearFilter),OR(RatingFilter="All",$D599=RatingFilter),OR(TypeFilter="All",$C599=TypeFilter)),1,0)</f>
        <v/>
      </c>
    </row>
    <row r="600" ht="15" customHeight="1" s="20">
      <c r="A600" s="19" t="inlineStr">
        <is>
          <t>s2588</t>
        </is>
      </c>
      <c r="B600" s="19" t="inlineStr">
        <is>
          <t>Thrillers</t>
        </is>
      </c>
      <c r="C600" s="19">
        <f>IFERROR(INDEX(tblNetflix[type],MATCH($A600,tblNetflix[show_id],0)),"")</f>
        <v/>
      </c>
      <c r="D600" s="19">
        <f>IFERROR(INDEX(tblNetflix[rating],MATCH($A600,tblNetflix[show_id],0)),"")</f>
        <v/>
      </c>
      <c r="E600" s="19">
        <f>IFERROR(INDEX(tblNetflix[year_added],MATCH($A600,tblNetflix[show_id],0)),"")</f>
        <v/>
      </c>
      <c r="F600" s="19">
        <f>IF(AND(OR(YearFilter="All",$E600=YearFilter),OR(RatingFilter="All",$D600=RatingFilter),OR(TypeFilter="All",$C600=TypeFilter)),1,0)</f>
        <v/>
      </c>
    </row>
    <row r="601" ht="15" customHeight="1" s="20">
      <c r="A601" s="19" t="inlineStr">
        <is>
          <t>s2590</t>
        </is>
      </c>
      <c r="B601" s="19" t="inlineStr">
        <is>
          <t>Horror Movies</t>
        </is>
      </c>
      <c r="C601" s="19">
        <f>IFERROR(INDEX(tblNetflix[type],MATCH($A601,tblNetflix[show_id],0)),"")</f>
        <v/>
      </c>
      <c r="D601" s="19">
        <f>IFERROR(INDEX(tblNetflix[rating],MATCH($A601,tblNetflix[show_id],0)),"")</f>
        <v/>
      </c>
      <c r="E601" s="19">
        <f>IFERROR(INDEX(tblNetflix[year_added],MATCH($A601,tblNetflix[show_id],0)),"")</f>
        <v/>
      </c>
      <c r="F601" s="19">
        <f>IF(AND(OR(YearFilter="All",$E601=YearFilter),OR(RatingFilter="All",$D601=RatingFilter),OR(TypeFilter="All",$C601=TypeFilter)),1,0)</f>
        <v/>
      </c>
    </row>
    <row r="602" ht="15" customHeight="1" s="20">
      <c r="A602" s="19" t="inlineStr">
        <is>
          <t>s2590</t>
        </is>
      </c>
      <c r="B602" s="19" t="inlineStr">
        <is>
          <t>International Movies</t>
        </is>
      </c>
      <c r="C602" s="19">
        <f>IFERROR(INDEX(tblNetflix[type],MATCH($A602,tblNetflix[show_id],0)),"")</f>
        <v/>
      </c>
      <c r="D602" s="19">
        <f>IFERROR(INDEX(tblNetflix[rating],MATCH($A602,tblNetflix[show_id],0)),"")</f>
        <v/>
      </c>
      <c r="E602" s="19">
        <f>IFERROR(INDEX(tblNetflix[year_added],MATCH($A602,tblNetflix[show_id],0)),"")</f>
        <v/>
      </c>
      <c r="F602" s="19">
        <f>IF(AND(OR(YearFilter="All",$E602=YearFilter),OR(RatingFilter="All",$D602=RatingFilter),OR(TypeFilter="All",$C602=TypeFilter)),1,0)</f>
        <v/>
      </c>
    </row>
    <row r="603" ht="15" customHeight="1" s="20">
      <c r="A603" s="19" t="inlineStr">
        <is>
          <t>s2590</t>
        </is>
      </c>
      <c r="B603" s="19" t="inlineStr">
        <is>
          <t>Thrillers</t>
        </is>
      </c>
      <c r="C603" s="19">
        <f>IFERROR(INDEX(tblNetflix[type],MATCH($A603,tblNetflix[show_id],0)),"")</f>
        <v/>
      </c>
      <c r="D603" s="19">
        <f>IFERROR(INDEX(tblNetflix[rating],MATCH($A603,tblNetflix[show_id],0)),"")</f>
        <v/>
      </c>
      <c r="E603" s="19">
        <f>IFERROR(INDEX(tblNetflix[year_added],MATCH($A603,tblNetflix[show_id],0)),"")</f>
        <v/>
      </c>
      <c r="F603" s="19">
        <f>IF(AND(OR(YearFilter="All",$E603=YearFilter),OR(RatingFilter="All",$D603=RatingFilter),OR(TypeFilter="All",$C603=TypeFilter)),1,0)</f>
        <v/>
      </c>
    </row>
    <row r="604" ht="15" customHeight="1" s="20">
      <c r="A604" s="19" t="inlineStr">
        <is>
          <t>s2611</t>
        </is>
      </c>
      <c r="B604" s="19" t="inlineStr">
        <is>
          <t>Action &amp; Adventure</t>
        </is>
      </c>
      <c r="C604" s="19">
        <f>IFERROR(INDEX(tblNetflix[type],MATCH($A604,tblNetflix[show_id],0)),"")</f>
        <v/>
      </c>
      <c r="D604" s="19">
        <f>IFERROR(INDEX(tblNetflix[rating],MATCH($A604,tblNetflix[show_id],0)),"")</f>
        <v/>
      </c>
      <c r="E604" s="19">
        <f>IFERROR(INDEX(tblNetflix[year_added],MATCH($A604,tblNetflix[show_id],0)),"")</f>
        <v/>
      </c>
      <c r="F604" s="19">
        <f>IF(AND(OR(YearFilter="All",$E604=YearFilter),OR(RatingFilter="All",$D604=RatingFilter),OR(TypeFilter="All",$C604=TypeFilter)),1,0)</f>
        <v/>
      </c>
    </row>
    <row r="605" ht="15" customHeight="1" s="20">
      <c r="A605" s="19" t="inlineStr">
        <is>
          <t>s2611</t>
        </is>
      </c>
      <c r="B605" s="19" t="inlineStr">
        <is>
          <t>Comedies</t>
        </is>
      </c>
      <c r="C605" s="19">
        <f>IFERROR(INDEX(tblNetflix[type],MATCH($A605,tblNetflix[show_id],0)),"")</f>
        <v/>
      </c>
      <c r="D605" s="19">
        <f>IFERROR(INDEX(tblNetflix[rating],MATCH($A605,tblNetflix[show_id],0)),"")</f>
        <v/>
      </c>
      <c r="E605" s="19">
        <f>IFERROR(INDEX(tblNetflix[year_added],MATCH($A605,tblNetflix[show_id],0)),"")</f>
        <v/>
      </c>
      <c r="F605" s="19">
        <f>IF(AND(OR(YearFilter="All",$E605=YearFilter),OR(RatingFilter="All",$D605=RatingFilter),OR(TypeFilter="All",$C605=TypeFilter)),1,0)</f>
        <v/>
      </c>
    </row>
    <row r="606" ht="15" customHeight="1" s="20">
      <c r="A606" s="19" t="inlineStr">
        <is>
          <t>s2611</t>
        </is>
      </c>
      <c r="B606" s="19" t="inlineStr">
        <is>
          <t>Dramas</t>
        </is>
      </c>
      <c r="C606" s="19">
        <f>IFERROR(INDEX(tblNetflix[type],MATCH($A606,tblNetflix[show_id],0)),"")</f>
        <v/>
      </c>
      <c r="D606" s="19">
        <f>IFERROR(INDEX(tblNetflix[rating],MATCH($A606,tblNetflix[show_id],0)),"")</f>
        <v/>
      </c>
      <c r="E606" s="19">
        <f>IFERROR(INDEX(tblNetflix[year_added],MATCH($A606,tblNetflix[show_id],0)),"")</f>
        <v/>
      </c>
      <c r="F606" s="19">
        <f>IF(AND(OR(YearFilter="All",$E606=YearFilter),OR(RatingFilter="All",$D606=RatingFilter),OR(TypeFilter="All",$C606=TypeFilter)),1,0)</f>
        <v/>
      </c>
    </row>
    <row r="607" ht="15" customHeight="1" s="20">
      <c r="A607" s="19" t="inlineStr">
        <is>
          <t>s2614</t>
        </is>
      </c>
      <c r="B607" s="19" t="inlineStr">
        <is>
          <t>Action &amp; Adventure</t>
        </is>
      </c>
      <c r="C607" s="19">
        <f>IFERROR(INDEX(tblNetflix[type],MATCH($A607,tblNetflix[show_id],0)),"")</f>
        <v/>
      </c>
      <c r="D607" s="19">
        <f>IFERROR(INDEX(tblNetflix[rating],MATCH($A607,tblNetflix[show_id],0)),"")</f>
        <v/>
      </c>
      <c r="E607" s="19">
        <f>IFERROR(INDEX(tblNetflix[year_added],MATCH($A607,tblNetflix[show_id],0)),"")</f>
        <v/>
      </c>
      <c r="F607" s="19">
        <f>IF(AND(OR(YearFilter="All",$E607=YearFilter),OR(RatingFilter="All",$D607=RatingFilter),OR(TypeFilter="All",$C607=TypeFilter)),1,0)</f>
        <v/>
      </c>
    </row>
    <row r="608" ht="15" customHeight="1" s="20">
      <c r="A608" s="19" t="inlineStr">
        <is>
          <t>s2614</t>
        </is>
      </c>
      <c r="B608" s="19" t="inlineStr">
        <is>
          <t>Comedies</t>
        </is>
      </c>
      <c r="C608" s="19">
        <f>IFERROR(INDEX(tblNetflix[type],MATCH($A608,tblNetflix[show_id],0)),"")</f>
        <v/>
      </c>
      <c r="D608" s="19">
        <f>IFERROR(INDEX(tblNetflix[rating],MATCH($A608,tblNetflix[show_id],0)),"")</f>
        <v/>
      </c>
      <c r="E608" s="19">
        <f>IFERROR(INDEX(tblNetflix[year_added],MATCH($A608,tblNetflix[show_id],0)),"")</f>
        <v/>
      </c>
      <c r="F608" s="19">
        <f>IF(AND(OR(YearFilter="All",$E608=YearFilter),OR(RatingFilter="All",$D608=RatingFilter),OR(TypeFilter="All",$C608=TypeFilter)),1,0)</f>
        <v/>
      </c>
    </row>
    <row r="609" ht="15" customHeight="1" s="20">
      <c r="A609" s="19" t="inlineStr">
        <is>
          <t>s2614</t>
        </is>
      </c>
      <c r="B609" s="19" t="inlineStr">
        <is>
          <t>International Movies</t>
        </is>
      </c>
      <c r="C609" s="19">
        <f>IFERROR(INDEX(tblNetflix[type],MATCH($A609,tblNetflix[show_id],0)),"")</f>
        <v/>
      </c>
      <c r="D609" s="19">
        <f>IFERROR(INDEX(tblNetflix[rating],MATCH($A609,tblNetflix[show_id],0)),"")</f>
        <v/>
      </c>
      <c r="E609" s="19">
        <f>IFERROR(INDEX(tblNetflix[year_added],MATCH($A609,tblNetflix[show_id],0)),"")</f>
        <v/>
      </c>
      <c r="F609" s="19">
        <f>IF(AND(OR(YearFilter="All",$E609=YearFilter),OR(RatingFilter="All",$D609=RatingFilter),OR(TypeFilter="All",$C609=TypeFilter)),1,0)</f>
        <v/>
      </c>
    </row>
    <row r="610" ht="15" customHeight="1" s="20">
      <c r="A610" s="19" t="inlineStr">
        <is>
          <t>s2626</t>
        </is>
      </c>
      <c r="B610" s="19" t="inlineStr">
        <is>
          <t>Dramas</t>
        </is>
      </c>
      <c r="C610" s="19">
        <f>IFERROR(INDEX(tblNetflix[type],MATCH($A610,tblNetflix[show_id],0)),"")</f>
        <v/>
      </c>
      <c r="D610" s="19">
        <f>IFERROR(INDEX(tblNetflix[rating],MATCH($A610,tblNetflix[show_id],0)),"")</f>
        <v/>
      </c>
      <c r="E610" s="19">
        <f>IFERROR(INDEX(tblNetflix[year_added],MATCH($A610,tblNetflix[show_id],0)),"")</f>
        <v/>
      </c>
      <c r="F610" s="19">
        <f>IF(AND(OR(YearFilter="All",$E610=YearFilter),OR(RatingFilter="All",$D610=RatingFilter),OR(TypeFilter="All",$C610=TypeFilter)),1,0)</f>
        <v/>
      </c>
    </row>
    <row r="611" ht="15" customHeight="1" s="20">
      <c r="A611" s="19" t="inlineStr">
        <is>
          <t>s2626</t>
        </is>
      </c>
      <c r="B611" s="19" t="inlineStr">
        <is>
          <t>International Movies</t>
        </is>
      </c>
      <c r="C611" s="19">
        <f>IFERROR(INDEX(tblNetflix[type],MATCH($A611,tblNetflix[show_id],0)),"")</f>
        <v/>
      </c>
      <c r="D611" s="19">
        <f>IFERROR(INDEX(tblNetflix[rating],MATCH($A611,tblNetflix[show_id],0)),"")</f>
        <v/>
      </c>
      <c r="E611" s="19">
        <f>IFERROR(INDEX(tblNetflix[year_added],MATCH($A611,tblNetflix[show_id],0)),"")</f>
        <v/>
      </c>
      <c r="F611" s="19">
        <f>IF(AND(OR(YearFilter="All",$E611=YearFilter),OR(RatingFilter="All",$D611=RatingFilter),OR(TypeFilter="All",$C611=TypeFilter)),1,0)</f>
        <v/>
      </c>
    </row>
    <row r="612" ht="15" customHeight="1" s="20">
      <c r="A612" s="19" t="inlineStr">
        <is>
          <t>s2626</t>
        </is>
      </c>
      <c r="B612" s="19" t="inlineStr">
        <is>
          <t>Romantic Movies</t>
        </is>
      </c>
      <c r="C612" s="19">
        <f>IFERROR(INDEX(tblNetflix[type],MATCH($A612,tblNetflix[show_id],0)),"")</f>
        <v/>
      </c>
      <c r="D612" s="19">
        <f>IFERROR(INDEX(tblNetflix[rating],MATCH($A612,tblNetflix[show_id],0)),"")</f>
        <v/>
      </c>
      <c r="E612" s="19">
        <f>IFERROR(INDEX(tblNetflix[year_added],MATCH($A612,tblNetflix[show_id],0)),"")</f>
        <v/>
      </c>
      <c r="F612" s="19">
        <f>IF(AND(OR(YearFilter="All",$E612=YearFilter),OR(RatingFilter="All",$D612=RatingFilter),OR(TypeFilter="All",$C612=TypeFilter)),1,0)</f>
        <v/>
      </c>
    </row>
    <row r="613" ht="15" customHeight="1" s="20">
      <c r="A613" s="19" t="inlineStr">
        <is>
          <t>s2627</t>
        </is>
      </c>
      <c r="B613" s="19" t="inlineStr">
        <is>
          <t>Dramas</t>
        </is>
      </c>
      <c r="C613" s="19">
        <f>IFERROR(INDEX(tblNetflix[type],MATCH($A613,tblNetflix[show_id],0)),"")</f>
        <v/>
      </c>
      <c r="D613" s="19">
        <f>IFERROR(INDEX(tblNetflix[rating],MATCH($A613,tblNetflix[show_id],0)),"")</f>
        <v/>
      </c>
      <c r="E613" s="19">
        <f>IFERROR(INDEX(tblNetflix[year_added],MATCH($A613,tblNetflix[show_id],0)),"")</f>
        <v/>
      </c>
      <c r="F613" s="19">
        <f>IF(AND(OR(YearFilter="All",$E613=YearFilter),OR(RatingFilter="All",$D613=RatingFilter),OR(TypeFilter="All",$C613=TypeFilter)),1,0)</f>
        <v/>
      </c>
    </row>
    <row r="614" ht="15" customHeight="1" s="20">
      <c r="A614" s="19" t="inlineStr">
        <is>
          <t>s2627</t>
        </is>
      </c>
      <c r="B614" s="19" t="inlineStr">
        <is>
          <t>Independent Movies</t>
        </is>
      </c>
      <c r="C614" s="19">
        <f>IFERROR(INDEX(tblNetflix[type],MATCH($A614,tblNetflix[show_id],0)),"")</f>
        <v/>
      </c>
      <c r="D614" s="19">
        <f>IFERROR(INDEX(tblNetflix[rating],MATCH($A614,tblNetflix[show_id],0)),"")</f>
        <v/>
      </c>
      <c r="E614" s="19">
        <f>IFERROR(INDEX(tblNetflix[year_added],MATCH($A614,tblNetflix[show_id],0)),"")</f>
        <v/>
      </c>
      <c r="F614" s="19">
        <f>IF(AND(OR(YearFilter="All",$E614=YearFilter),OR(RatingFilter="All",$D614=RatingFilter),OR(TypeFilter="All",$C614=TypeFilter)),1,0)</f>
        <v/>
      </c>
    </row>
    <row r="615" ht="15" customHeight="1" s="20">
      <c r="A615" s="19" t="inlineStr">
        <is>
          <t>s2627</t>
        </is>
      </c>
      <c r="B615" s="19" t="inlineStr">
        <is>
          <t>International Movies</t>
        </is>
      </c>
      <c r="C615" s="19">
        <f>IFERROR(INDEX(tblNetflix[type],MATCH($A615,tblNetflix[show_id],0)),"")</f>
        <v/>
      </c>
      <c r="D615" s="19">
        <f>IFERROR(INDEX(tblNetflix[rating],MATCH($A615,tblNetflix[show_id],0)),"")</f>
        <v/>
      </c>
      <c r="E615" s="19">
        <f>IFERROR(INDEX(tblNetflix[year_added],MATCH($A615,tblNetflix[show_id],0)),"")</f>
        <v/>
      </c>
      <c r="F615" s="19">
        <f>IF(AND(OR(YearFilter="All",$E615=YearFilter),OR(RatingFilter="All",$D615=RatingFilter),OR(TypeFilter="All",$C615=TypeFilter)),1,0)</f>
        <v/>
      </c>
    </row>
    <row r="616" ht="15" customHeight="1" s="20">
      <c r="A616" s="19" t="inlineStr">
        <is>
          <t>s2630</t>
        </is>
      </c>
      <c r="B616" s="19" t="inlineStr">
        <is>
          <t>Action &amp; Adventure</t>
        </is>
      </c>
      <c r="C616" s="19">
        <f>IFERROR(INDEX(tblNetflix[type],MATCH($A616,tblNetflix[show_id],0)),"")</f>
        <v/>
      </c>
      <c r="D616" s="19">
        <f>IFERROR(INDEX(tblNetflix[rating],MATCH($A616,tblNetflix[show_id],0)),"")</f>
        <v/>
      </c>
      <c r="E616" s="19">
        <f>IFERROR(INDEX(tblNetflix[year_added],MATCH($A616,tblNetflix[show_id],0)),"")</f>
        <v/>
      </c>
      <c r="F616" s="19">
        <f>IF(AND(OR(YearFilter="All",$E616=YearFilter),OR(RatingFilter="All",$D616=RatingFilter),OR(TypeFilter="All",$C616=TypeFilter)),1,0)</f>
        <v/>
      </c>
    </row>
    <row r="617" ht="15" customHeight="1" s="20">
      <c r="A617" s="19" t="inlineStr">
        <is>
          <t>s2630</t>
        </is>
      </c>
      <c r="B617" s="19" t="inlineStr">
        <is>
          <t>Comedies</t>
        </is>
      </c>
      <c r="C617" s="19">
        <f>IFERROR(INDEX(tblNetflix[type],MATCH($A617,tblNetflix[show_id],0)),"")</f>
        <v/>
      </c>
      <c r="D617" s="19">
        <f>IFERROR(INDEX(tblNetflix[rating],MATCH($A617,tblNetflix[show_id],0)),"")</f>
        <v/>
      </c>
      <c r="E617" s="19">
        <f>IFERROR(INDEX(tblNetflix[year_added],MATCH($A617,tblNetflix[show_id],0)),"")</f>
        <v/>
      </c>
      <c r="F617" s="19">
        <f>IF(AND(OR(YearFilter="All",$E617=YearFilter),OR(RatingFilter="All",$D617=RatingFilter),OR(TypeFilter="All",$C617=TypeFilter)),1,0)</f>
        <v/>
      </c>
    </row>
    <row r="618" ht="15" customHeight="1" s="20">
      <c r="A618" s="19" t="inlineStr">
        <is>
          <t>s2630</t>
        </is>
      </c>
      <c r="B618" s="19" t="inlineStr">
        <is>
          <t>International Movies</t>
        </is>
      </c>
      <c r="C618" s="19">
        <f>IFERROR(INDEX(tblNetflix[type],MATCH($A618,tblNetflix[show_id],0)),"")</f>
        <v/>
      </c>
      <c r="D618" s="19">
        <f>IFERROR(INDEX(tblNetflix[rating],MATCH($A618,tblNetflix[show_id],0)),"")</f>
        <v/>
      </c>
      <c r="E618" s="19">
        <f>IFERROR(INDEX(tblNetflix[year_added],MATCH($A618,tblNetflix[show_id],0)),"")</f>
        <v/>
      </c>
      <c r="F618" s="19">
        <f>IF(AND(OR(YearFilter="All",$E618=YearFilter),OR(RatingFilter="All",$D618=RatingFilter),OR(TypeFilter="All",$C618=TypeFilter)),1,0)</f>
        <v/>
      </c>
    </row>
    <row r="619" ht="15" customHeight="1" s="20">
      <c r="A619" s="19" t="inlineStr">
        <is>
          <t>s2643</t>
        </is>
      </c>
      <c r="B619" s="19" t="inlineStr">
        <is>
          <t>International Movies</t>
        </is>
      </c>
      <c r="C619" s="19">
        <f>IFERROR(INDEX(tblNetflix[type],MATCH($A619,tblNetflix[show_id],0)),"")</f>
        <v/>
      </c>
      <c r="D619" s="19">
        <f>IFERROR(INDEX(tblNetflix[rating],MATCH($A619,tblNetflix[show_id],0)),"")</f>
        <v/>
      </c>
      <c r="E619" s="19">
        <f>IFERROR(INDEX(tblNetflix[year_added],MATCH($A619,tblNetflix[show_id],0)),"")</f>
        <v/>
      </c>
      <c r="F619" s="19">
        <f>IF(AND(OR(YearFilter="All",$E619=YearFilter),OR(RatingFilter="All",$D619=RatingFilter),OR(TypeFilter="All",$C619=TypeFilter)),1,0)</f>
        <v/>
      </c>
    </row>
    <row r="620" ht="15" customHeight="1" s="20">
      <c r="A620" s="19" t="inlineStr">
        <is>
          <t>s2643</t>
        </is>
      </c>
      <c r="B620" s="19" t="inlineStr">
        <is>
          <t>Thrillers</t>
        </is>
      </c>
      <c r="C620" s="19">
        <f>IFERROR(INDEX(tblNetflix[type],MATCH($A620,tblNetflix[show_id],0)),"")</f>
        <v/>
      </c>
      <c r="D620" s="19">
        <f>IFERROR(INDEX(tblNetflix[rating],MATCH($A620,tblNetflix[show_id],0)),"")</f>
        <v/>
      </c>
      <c r="E620" s="19">
        <f>IFERROR(INDEX(tblNetflix[year_added],MATCH($A620,tblNetflix[show_id],0)),"")</f>
        <v/>
      </c>
      <c r="F620" s="19">
        <f>IF(AND(OR(YearFilter="All",$E620=YearFilter),OR(RatingFilter="All",$D620=RatingFilter),OR(TypeFilter="All",$C620=TypeFilter)),1,0)</f>
        <v/>
      </c>
    </row>
    <row r="621" ht="15" customHeight="1" s="20">
      <c r="A621" s="19" t="inlineStr">
        <is>
          <t>s2645</t>
        </is>
      </c>
      <c r="B621" s="19" t="inlineStr">
        <is>
          <t>Stand-Up Comedy</t>
        </is>
      </c>
      <c r="C621" s="19">
        <f>IFERROR(INDEX(tblNetflix[type],MATCH($A621,tblNetflix[show_id],0)),"")</f>
        <v/>
      </c>
      <c r="D621" s="19">
        <f>IFERROR(INDEX(tblNetflix[rating],MATCH($A621,tblNetflix[show_id],0)),"")</f>
        <v/>
      </c>
      <c r="E621" s="19">
        <f>IFERROR(INDEX(tblNetflix[year_added],MATCH($A621,tblNetflix[show_id],0)),"")</f>
        <v/>
      </c>
      <c r="F621" s="19">
        <f>IF(AND(OR(YearFilter="All",$E621=YearFilter),OR(RatingFilter="All",$D621=RatingFilter),OR(TypeFilter="All",$C621=TypeFilter)),1,0)</f>
        <v/>
      </c>
    </row>
    <row r="622" ht="15" customHeight="1" s="20">
      <c r="A622" s="19" t="inlineStr">
        <is>
          <t>s2664</t>
        </is>
      </c>
      <c r="B622" s="19" t="inlineStr">
        <is>
          <t>Comedies</t>
        </is>
      </c>
      <c r="C622" s="19">
        <f>IFERROR(INDEX(tblNetflix[type],MATCH($A622,tblNetflix[show_id],0)),"")</f>
        <v/>
      </c>
      <c r="D622" s="19">
        <f>IFERROR(INDEX(tblNetflix[rating],MATCH($A622,tblNetflix[show_id],0)),"")</f>
        <v/>
      </c>
      <c r="E622" s="19">
        <f>IFERROR(INDEX(tblNetflix[year_added],MATCH($A622,tblNetflix[show_id],0)),"")</f>
        <v/>
      </c>
      <c r="F622" s="19">
        <f>IF(AND(OR(YearFilter="All",$E622=YearFilter),OR(RatingFilter="All",$D622=RatingFilter),OR(TypeFilter="All",$C622=TypeFilter)),1,0)</f>
        <v/>
      </c>
    </row>
    <row r="623" ht="15" customHeight="1" s="20">
      <c r="A623" s="19" t="inlineStr">
        <is>
          <t>s2664</t>
        </is>
      </c>
      <c r="B623" s="19" t="inlineStr">
        <is>
          <t>Dramas</t>
        </is>
      </c>
      <c r="C623" s="19">
        <f>IFERROR(INDEX(tblNetflix[type],MATCH($A623,tblNetflix[show_id],0)),"")</f>
        <v/>
      </c>
      <c r="D623" s="19">
        <f>IFERROR(INDEX(tblNetflix[rating],MATCH($A623,tblNetflix[show_id],0)),"")</f>
        <v/>
      </c>
      <c r="E623" s="19">
        <f>IFERROR(INDEX(tblNetflix[year_added],MATCH($A623,tblNetflix[show_id],0)),"")</f>
        <v/>
      </c>
      <c r="F623" s="19">
        <f>IF(AND(OR(YearFilter="All",$E623=YearFilter),OR(RatingFilter="All",$D623=RatingFilter),OR(TypeFilter="All",$C623=TypeFilter)),1,0)</f>
        <v/>
      </c>
    </row>
    <row r="624" ht="15" customHeight="1" s="20">
      <c r="A624" s="19" t="inlineStr">
        <is>
          <t>s2664</t>
        </is>
      </c>
      <c r="B624" s="19" t="inlineStr">
        <is>
          <t>International Movies</t>
        </is>
      </c>
      <c r="C624" s="19">
        <f>IFERROR(INDEX(tblNetflix[type],MATCH($A624,tblNetflix[show_id],0)),"")</f>
        <v/>
      </c>
      <c r="D624" s="19">
        <f>IFERROR(INDEX(tblNetflix[rating],MATCH($A624,tblNetflix[show_id],0)),"")</f>
        <v/>
      </c>
      <c r="E624" s="19">
        <f>IFERROR(INDEX(tblNetflix[year_added],MATCH($A624,tblNetflix[show_id],0)),"")</f>
        <v/>
      </c>
      <c r="F624" s="19">
        <f>IF(AND(OR(YearFilter="All",$E624=YearFilter),OR(RatingFilter="All",$D624=RatingFilter),OR(TypeFilter="All",$C624=TypeFilter)),1,0)</f>
        <v/>
      </c>
    </row>
    <row r="625" ht="15" customHeight="1" s="20">
      <c r="A625" s="19" t="inlineStr">
        <is>
          <t>s2665</t>
        </is>
      </c>
      <c r="B625" s="19" t="inlineStr">
        <is>
          <t>Kids' TV</t>
        </is>
      </c>
      <c r="C625" s="19">
        <f>IFERROR(INDEX(tblNetflix[type],MATCH($A625,tblNetflix[show_id],0)),"")</f>
        <v/>
      </c>
      <c r="D625" s="19">
        <f>IFERROR(INDEX(tblNetflix[rating],MATCH($A625,tblNetflix[show_id],0)),"")</f>
        <v/>
      </c>
      <c r="E625" s="19">
        <f>IFERROR(INDEX(tblNetflix[year_added],MATCH($A625,tblNetflix[show_id],0)),"")</f>
        <v/>
      </c>
      <c r="F625" s="19">
        <f>IF(AND(OR(YearFilter="All",$E625=YearFilter),OR(RatingFilter="All",$D625=RatingFilter),OR(TypeFilter="All",$C625=TypeFilter)),1,0)</f>
        <v/>
      </c>
    </row>
    <row r="626" ht="15" customHeight="1" s="20">
      <c r="A626" s="19" t="inlineStr">
        <is>
          <t>s2671</t>
        </is>
      </c>
      <c r="B626" s="19" t="inlineStr">
        <is>
          <t>Crime TV Shows</t>
        </is>
      </c>
      <c r="C626" s="19">
        <f>IFERROR(INDEX(tblNetflix[type],MATCH($A626,tblNetflix[show_id],0)),"")</f>
        <v/>
      </c>
      <c r="D626" s="19">
        <f>IFERROR(INDEX(tblNetflix[rating],MATCH($A626,tblNetflix[show_id],0)),"")</f>
        <v/>
      </c>
      <c r="E626" s="19">
        <f>IFERROR(INDEX(tblNetflix[year_added],MATCH($A626,tblNetflix[show_id],0)),"")</f>
        <v/>
      </c>
      <c r="F626" s="19">
        <f>IF(AND(OR(YearFilter="All",$E626=YearFilter),OR(RatingFilter="All",$D626=RatingFilter),OR(TypeFilter="All",$C626=TypeFilter)),1,0)</f>
        <v/>
      </c>
    </row>
    <row r="627" ht="15" customHeight="1" s="20">
      <c r="A627" s="19" t="inlineStr">
        <is>
          <t>s2671</t>
        </is>
      </c>
      <c r="B627" s="19" t="inlineStr">
        <is>
          <t>International TV Shows</t>
        </is>
      </c>
      <c r="C627" s="19">
        <f>IFERROR(INDEX(tblNetflix[type],MATCH($A627,tblNetflix[show_id],0)),"")</f>
        <v/>
      </c>
      <c r="D627" s="19">
        <f>IFERROR(INDEX(tblNetflix[rating],MATCH($A627,tblNetflix[show_id],0)),"")</f>
        <v/>
      </c>
      <c r="E627" s="19">
        <f>IFERROR(INDEX(tblNetflix[year_added],MATCH($A627,tblNetflix[show_id],0)),"")</f>
        <v/>
      </c>
      <c r="F627" s="19">
        <f>IF(AND(OR(YearFilter="All",$E627=YearFilter),OR(RatingFilter="All",$D627=RatingFilter),OR(TypeFilter="All",$C627=TypeFilter)),1,0)</f>
        <v/>
      </c>
    </row>
    <row r="628" ht="15" customHeight="1" s="20">
      <c r="A628" s="19" t="inlineStr">
        <is>
          <t>s2671</t>
        </is>
      </c>
      <c r="B628" s="19" t="inlineStr">
        <is>
          <t>TV Comedies</t>
        </is>
      </c>
      <c r="C628" s="19">
        <f>IFERROR(INDEX(tblNetflix[type],MATCH($A628,tblNetflix[show_id],0)),"")</f>
        <v/>
      </c>
      <c r="D628" s="19">
        <f>IFERROR(INDEX(tblNetflix[rating],MATCH($A628,tblNetflix[show_id],0)),"")</f>
        <v/>
      </c>
      <c r="E628" s="19">
        <f>IFERROR(INDEX(tblNetflix[year_added],MATCH($A628,tblNetflix[show_id],0)),"")</f>
        <v/>
      </c>
      <c r="F628" s="19">
        <f>IF(AND(OR(YearFilter="All",$E628=YearFilter),OR(RatingFilter="All",$D628=RatingFilter),OR(TypeFilter="All",$C628=TypeFilter)),1,0)</f>
        <v/>
      </c>
    </row>
    <row r="629" ht="15" customHeight="1" s="20">
      <c r="A629" s="19" t="inlineStr">
        <is>
          <t>s2684</t>
        </is>
      </c>
      <c r="B629" s="19" t="inlineStr">
        <is>
          <t>Comedies</t>
        </is>
      </c>
      <c r="C629" s="19">
        <f>IFERROR(INDEX(tblNetflix[type],MATCH($A629,tblNetflix[show_id],0)),"")</f>
        <v/>
      </c>
      <c r="D629" s="19">
        <f>IFERROR(INDEX(tblNetflix[rating],MATCH($A629,tblNetflix[show_id],0)),"")</f>
        <v/>
      </c>
      <c r="E629" s="19">
        <f>IFERROR(INDEX(tblNetflix[year_added],MATCH($A629,tblNetflix[show_id],0)),"")</f>
        <v/>
      </c>
      <c r="F629" s="19">
        <f>IF(AND(OR(YearFilter="All",$E629=YearFilter),OR(RatingFilter="All",$D629=RatingFilter),OR(TypeFilter="All",$C629=TypeFilter)),1,0)</f>
        <v/>
      </c>
    </row>
    <row r="630" ht="15" customHeight="1" s="20">
      <c r="A630" s="19" t="inlineStr">
        <is>
          <t>s2684</t>
        </is>
      </c>
      <c r="B630" s="19" t="inlineStr">
        <is>
          <t>Dramas</t>
        </is>
      </c>
      <c r="C630" s="19">
        <f>IFERROR(INDEX(tblNetflix[type],MATCH($A630,tblNetflix[show_id],0)),"")</f>
        <v/>
      </c>
      <c r="D630" s="19">
        <f>IFERROR(INDEX(tblNetflix[rating],MATCH($A630,tblNetflix[show_id],0)),"")</f>
        <v/>
      </c>
      <c r="E630" s="19">
        <f>IFERROR(INDEX(tblNetflix[year_added],MATCH($A630,tblNetflix[show_id],0)),"")</f>
        <v/>
      </c>
      <c r="F630" s="19">
        <f>IF(AND(OR(YearFilter="All",$E630=YearFilter),OR(RatingFilter="All",$D630=RatingFilter),OR(TypeFilter="All",$C630=TypeFilter)),1,0)</f>
        <v/>
      </c>
    </row>
    <row r="631" ht="15" customHeight="1" s="20">
      <c r="A631" s="19" t="inlineStr">
        <is>
          <t>s2684</t>
        </is>
      </c>
      <c r="B631" s="19" t="inlineStr">
        <is>
          <t>Independent Movies</t>
        </is>
      </c>
      <c r="C631" s="19">
        <f>IFERROR(INDEX(tblNetflix[type],MATCH($A631,tblNetflix[show_id],0)),"")</f>
        <v/>
      </c>
      <c r="D631" s="19">
        <f>IFERROR(INDEX(tblNetflix[rating],MATCH($A631,tblNetflix[show_id],0)),"")</f>
        <v/>
      </c>
      <c r="E631" s="19">
        <f>IFERROR(INDEX(tblNetflix[year_added],MATCH($A631,tblNetflix[show_id],0)),"")</f>
        <v/>
      </c>
      <c r="F631" s="19">
        <f>IF(AND(OR(YearFilter="All",$E631=YearFilter),OR(RatingFilter="All",$D631=RatingFilter),OR(TypeFilter="All",$C631=TypeFilter)),1,0)</f>
        <v/>
      </c>
    </row>
    <row r="632" ht="15" customHeight="1" s="20">
      <c r="A632" s="19" t="inlineStr">
        <is>
          <t>s2686</t>
        </is>
      </c>
      <c r="B632" s="19" t="inlineStr">
        <is>
          <t>Dramas</t>
        </is>
      </c>
      <c r="C632" s="19">
        <f>IFERROR(INDEX(tblNetflix[type],MATCH($A632,tblNetflix[show_id],0)),"")</f>
        <v/>
      </c>
      <c r="D632" s="19">
        <f>IFERROR(INDEX(tblNetflix[rating],MATCH($A632,tblNetflix[show_id],0)),"")</f>
        <v/>
      </c>
      <c r="E632" s="19">
        <f>IFERROR(INDEX(tblNetflix[year_added],MATCH($A632,tblNetflix[show_id],0)),"")</f>
        <v/>
      </c>
      <c r="F632" s="19">
        <f>IF(AND(OR(YearFilter="All",$E632=YearFilter),OR(RatingFilter="All",$D632=RatingFilter),OR(TypeFilter="All",$C632=TypeFilter)),1,0)</f>
        <v/>
      </c>
    </row>
    <row r="633" ht="15" customHeight="1" s="20">
      <c r="A633" s="19" t="inlineStr">
        <is>
          <t>s2686</t>
        </is>
      </c>
      <c r="B633" s="19" t="inlineStr">
        <is>
          <t>International Movies</t>
        </is>
      </c>
      <c r="C633" s="19">
        <f>IFERROR(INDEX(tblNetflix[type],MATCH($A633,tblNetflix[show_id],0)),"")</f>
        <v/>
      </c>
      <c r="D633" s="19">
        <f>IFERROR(INDEX(tblNetflix[rating],MATCH($A633,tblNetflix[show_id],0)),"")</f>
        <v/>
      </c>
      <c r="E633" s="19">
        <f>IFERROR(INDEX(tblNetflix[year_added],MATCH($A633,tblNetflix[show_id],0)),"")</f>
        <v/>
      </c>
      <c r="F633" s="19">
        <f>IF(AND(OR(YearFilter="All",$E633=YearFilter),OR(RatingFilter="All",$D633=RatingFilter),OR(TypeFilter="All",$C633=TypeFilter)),1,0)</f>
        <v/>
      </c>
    </row>
    <row r="634" ht="15" customHeight="1" s="20">
      <c r="A634" s="19" t="inlineStr">
        <is>
          <t>s2686</t>
        </is>
      </c>
      <c r="B634" s="19" t="inlineStr">
        <is>
          <t>Romantic Movies</t>
        </is>
      </c>
      <c r="C634" s="19">
        <f>IFERROR(INDEX(tblNetflix[type],MATCH($A634,tblNetflix[show_id],0)),"")</f>
        <v/>
      </c>
      <c r="D634" s="19">
        <f>IFERROR(INDEX(tblNetflix[rating],MATCH($A634,tblNetflix[show_id],0)),"")</f>
        <v/>
      </c>
      <c r="E634" s="19">
        <f>IFERROR(INDEX(tblNetflix[year_added],MATCH($A634,tblNetflix[show_id],0)),"")</f>
        <v/>
      </c>
      <c r="F634" s="19">
        <f>IF(AND(OR(YearFilter="All",$E634=YearFilter),OR(RatingFilter="All",$D634=RatingFilter),OR(TypeFilter="All",$C634=TypeFilter)),1,0)</f>
        <v/>
      </c>
    </row>
    <row r="635" ht="15" customHeight="1" s="20">
      <c r="A635" s="19" t="inlineStr">
        <is>
          <t>s2716</t>
        </is>
      </c>
      <c r="B635" s="19" t="inlineStr">
        <is>
          <t>Dramas</t>
        </is>
      </c>
      <c r="C635" s="19">
        <f>IFERROR(INDEX(tblNetflix[type],MATCH($A635,tblNetflix[show_id],0)),"")</f>
        <v/>
      </c>
      <c r="D635" s="19">
        <f>IFERROR(INDEX(tblNetflix[rating],MATCH($A635,tblNetflix[show_id],0)),"")</f>
        <v/>
      </c>
      <c r="E635" s="19">
        <f>IFERROR(INDEX(tblNetflix[year_added],MATCH($A635,tblNetflix[show_id],0)),"")</f>
        <v/>
      </c>
      <c r="F635" s="19">
        <f>IF(AND(OR(YearFilter="All",$E635=YearFilter),OR(RatingFilter="All",$D635=RatingFilter),OR(TypeFilter="All",$C635=TypeFilter)),1,0)</f>
        <v/>
      </c>
    </row>
    <row r="636" ht="15" customHeight="1" s="20">
      <c r="A636" s="19" t="inlineStr">
        <is>
          <t>s2716</t>
        </is>
      </c>
      <c r="B636" s="19" t="inlineStr">
        <is>
          <t>International Movies</t>
        </is>
      </c>
      <c r="C636" s="19">
        <f>IFERROR(INDEX(tblNetflix[type],MATCH($A636,tblNetflix[show_id],0)),"")</f>
        <v/>
      </c>
      <c r="D636" s="19">
        <f>IFERROR(INDEX(tblNetflix[rating],MATCH($A636,tblNetflix[show_id],0)),"")</f>
        <v/>
      </c>
      <c r="E636" s="19">
        <f>IFERROR(INDEX(tblNetflix[year_added],MATCH($A636,tblNetflix[show_id],0)),"")</f>
        <v/>
      </c>
      <c r="F636" s="19">
        <f>IF(AND(OR(YearFilter="All",$E636=YearFilter),OR(RatingFilter="All",$D636=RatingFilter),OR(TypeFilter="All",$C636=TypeFilter)),1,0)</f>
        <v/>
      </c>
    </row>
    <row r="637" ht="15" customHeight="1" s="20">
      <c r="A637" s="19" t="inlineStr">
        <is>
          <t>s2717</t>
        </is>
      </c>
      <c r="B637" s="19" t="inlineStr">
        <is>
          <t>Action &amp; Adventure</t>
        </is>
      </c>
      <c r="C637" s="19">
        <f>IFERROR(INDEX(tblNetflix[type],MATCH($A637,tblNetflix[show_id],0)),"")</f>
        <v/>
      </c>
      <c r="D637" s="19">
        <f>IFERROR(INDEX(tblNetflix[rating],MATCH($A637,tblNetflix[show_id],0)),"")</f>
        <v/>
      </c>
      <c r="E637" s="19">
        <f>IFERROR(INDEX(tblNetflix[year_added],MATCH($A637,tblNetflix[show_id],0)),"")</f>
        <v/>
      </c>
      <c r="F637" s="19">
        <f>IF(AND(OR(YearFilter="All",$E637=YearFilter),OR(RatingFilter="All",$D637=RatingFilter),OR(TypeFilter="All",$C637=TypeFilter)),1,0)</f>
        <v/>
      </c>
    </row>
    <row r="638" ht="15" customHeight="1" s="20">
      <c r="A638" s="19" t="inlineStr">
        <is>
          <t>s2717</t>
        </is>
      </c>
      <c r="B638" s="19" t="inlineStr">
        <is>
          <t>Dramas</t>
        </is>
      </c>
      <c r="C638" s="19">
        <f>IFERROR(INDEX(tblNetflix[type],MATCH($A638,tblNetflix[show_id],0)),"")</f>
        <v/>
      </c>
      <c r="D638" s="19">
        <f>IFERROR(INDEX(tblNetflix[rating],MATCH($A638,tblNetflix[show_id],0)),"")</f>
        <v/>
      </c>
      <c r="E638" s="19">
        <f>IFERROR(INDEX(tblNetflix[year_added],MATCH($A638,tblNetflix[show_id],0)),"")</f>
        <v/>
      </c>
      <c r="F638" s="19">
        <f>IF(AND(OR(YearFilter="All",$E638=YearFilter),OR(RatingFilter="All",$D638=RatingFilter),OR(TypeFilter="All",$C638=TypeFilter)),1,0)</f>
        <v/>
      </c>
    </row>
    <row r="639" ht="15" customHeight="1" s="20">
      <c r="A639" s="19" t="inlineStr">
        <is>
          <t>s2717</t>
        </is>
      </c>
      <c r="B639" s="19" t="inlineStr">
        <is>
          <t>International Movies</t>
        </is>
      </c>
      <c r="C639" s="19">
        <f>IFERROR(INDEX(tblNetflix[type],MATCH($A639,tblNetflix[show_id],0)),"")</f>
        <v/>
      </c>
      <c r="D639" s="19">
        <f>IFERROR(INDEX(tblNetflix[rating],MATCH($A639,tblNetflix[show_id],0)),"")</f>
        <v/>
      </c>
      <c r="E639" s="19">
        <f>IFERROR(INDEX(tblNetflix[year_added],MATCH($A639,tblNetflix[show_id],0)),"")</f>
        <v/>
      </c>
      <c r="F639" s="19">
        <f>IF(AND(OR(YearFilter="All",$E639=YearFilter),OR(RatingFilter="All",$D639=RatingFilter),OR(TypeFilter="All",$C639=TypeFilter)),1,0)</f>
        <v/>
      </c>
    </row>
    <row r="640" ht="15" customHeight="1" s="20">
      <c r="A640" s="19" t="inlineStr">
        <is>
          <t>s2718</t>
        </is>
      </c>
      <c r="B640" s="19" t="inlineStr">
        <is>
          <t>Children &amp; Family Movies</t>
        </is>
      </c>
      <c r="C640" s="19">
        <f>IFERROR(INDEX(tblNetflix[type],MATCH($A640,tblNetflix[show_id],0)),"")</f>
        <v/>
      </c>
      <c r="D640" s="19">
        <f>IFERROR(INDEX(tblNetflix[rating],MATCH($A640,tblNetflix[show_id],0)),"")</f>
        <v/>
      </c>
      <c r="E640" s="19">
        <f>IFERROR(INDEX(tblNetflix[year_added],MATCH($A640,tblNetflix[show_id],0)),"")</f>
        <v/>
      </c>
      <c r="F640" s="19">
        <f>IF(AND(OR(YearFilter="All",$E640=YearFilter),OR(RatingFilter="All",$D640=RatingFilter),OR(TypeFilter="All",$C640=TypeFilter)),1,0)</f>
        <v/>
      </c>
    </row>
    <row r="641" ht="15" customHeight="1" s="20">
      <c r="A641" s="19" t="inlineStr">
        <is>
          <t>s2721</t>
        </is>
      </c>
      <c r="B641" s="19" t="inlineStr">
        <is>
          <t>Comedies</t>
        </is>
      </c>
      <c r="C641" s="19">
        <f>IFERROR(INDEX(tblNetflix[type],MATCH($A641,tblNetflix[show_id],0)),"")</f>
        <v/>
      </c>
      <c r="D641" s="19">
        <f>IFERROR(INDEX(tblNetflix[rating],MATCH($A641,tblNetflix[show_id],0)),"")</f>
        <v/>
      </c>
      <c r="E641" s="19">
        <f>IFERROR(INDEX(tblNetflix[year_added],MATCH($A641,tblNetflix[show_id],0)),"")</f>
        <v/>
      </c>
      <c r="F641" s="19">
        <f>IF(AND(OR(YearFilter="All",$E641=YearFilter),OR(RatingFilter="All",$D641=RatingFilter),OR(TypeFilter="All",$C641=TypeFilter)),1,0)</f>
        <v/>
      </c>
    </row>
    <row r="642" ht="15" customHeight="1" s="20">
      <c r="A642" s="19" t="inlineStr">
        <is>
          <t>s2721</t>
        </is>
      </c>
      <c r="B642" s="19" t="inlineStr">
        <is>
          <t>Dramas</t>
        </is>
      </c>
      <c r="C642" s="19">
        <f>IFERROR(INDEX(tblNetflix[type],MATCH($A642,tblNetflix[show_id],0)),"")</f>
        <v/>
      </c>
      <c r="D642" s="19">
        <f>IFERROR(INDEX(tblNetflix[rating],MATCH($A642,tblNetflix[show_id],0)),"")</f>
        <v/>
      </c>
      <c r="E642" s="19">
        <f>IFERROR(INDEX(tblNetflix[year_added],MATCH($A642,tblNetflix[show_id],0)),"")</f>
        <v/>
      </c>
      <c r="F642" s="19">
        <f>IF(AND(OR(YearFilter="All",$E642=YearFilter),OR(RatingFilter="All",$D642=RatingFilter),OR(TypeFilter="All",$C642=TypeFilter)),1,0)</f>
        <v/>
      </c>
    </row>
    <row r="643" ht="15" customHeight="1" s="20">
      <c r="A643" s="19" t="inlineStr">
        <is>
          <t>s2721</t>
        </is>
      </c>
      <c r="B643" s="19" t="inlineStr">
        <is>
          <t>International Movies</t>
        </is>
      </c>
      <c r="C643" s="19">
        <f>IFERROR(INDEX(tblNetflix[type],MATCH($A643,tblNetflix[show_id],0)),"")</f>
        <v/>
      </c>
      <c r="D643" s="19">
        <f>IFERROR(INDEX(tblNetflix[rating],MATCH($A643,tblNetflix[show_id],0)),"")</f>
        <v/>
      </c>
      <c r="E643" s="19">
        <f>IFERROR(INDEX(tblNetflix[year_added],MATCH($A643,tblNetflix[show_id],0)),"")</f>
        <v/>
      </c>
      <c r="F643" s="19">
        <f>IF(AND(OR(YearFilter="All",$E643=YearFilter),OR(RatingFilter="All",$D643=RatingFilter),OR(TypeFilter="All",$C643=TypeFilter)),1,0)</f>
        <v/>
      </c>
    </row>
    <row r="644" ht="15" customHeight="1" s="20">
      <c r="A644" s="19" t="inlineStr">
        <is>
          <t>s2722</t>
        </is>
      </c>
      <c r="B644" s="19" t="inlineStr">
        <is>
          <t>Action &amp; Adventure</t>
        </is>
      </c>
      <c r="C644" s="19">
        <f>IFERROR(INDEX(tblNetflix[type],MATCH($A644,tblNetflix[show_id],0)),"")</f>
        <v/>
      </c>
      <c r="D644" s="19">
        <f>IFERROR(INDEX(tblNetflix[rating],MATCH($A644,tblNetflix[show_id],0)),"")</f>
        <v/>
      </c>
      <c r="E644" s="19">
        <f>IFERROR(INDEX(tblNetflix[year_added],MATCH($A644,tblNetflix[show_id],0)),"")</f>
        <v/>
      </c>
      <c r="F644" s="19">
        <f>IF(AND(OR(YearFilter="All",$E644=YearFilter),OR(RatingFilter="All",$D644=RatingFilter),OR(TypeFilter="All",$C644=TypeFilter)),1,0)</f>
        <v/>
      </c>
    </row>
    <row r="645" ht="15" customHeight="1" s="20">
      <c r="A645" s="19" t="inlineStr">
        <is>
          <t>s2722</t>
        </is>
      </c>
      <c r="B645" s="19" t="inlineStr">
        <is>
          <t>Dramas</t>
        </is>
      </c>
      <c r="C645" s="19">
        <f>IFERROR(INDEX(tblNetflix[type],MATCH($A645,tblNetflix[show_id],0)),"")</f>
        <v/>
      </c>
      <c r="D645" s="19">
        <f>IFERROR(INDEX(tblNetflix[rating],MATCH($A645,tblNetflix[show_id],0)),"")</f>
        <v/>
      </c>
      <c r="E645" s="19">
        <f>IFERROR(INDEX(tblNetflix[year_added],MATCH($A645,tblNetflix[show_id],0)),"")</f>
        <v/>
      </c>
      <c r="F645" s="19">
        <f>IF(AND(OR(YearFilter="All",$E645=YearFilter),OR(RatingFilter="All",$D645=RatingFilter),OR(TypeFilter="All",$C645=TypeFilter)),1,0)</f>
        <v/>
      </c>
    </row>
    <row r="646" ht="15" customHeight="1" s="20">
      <c r="A646" s="19" t="inlineStr">
        <is>
          <t>s2722</t>
        </is>
      </c>
      <c r="B646" s="19" t="inlineStr">
        <is>
          <t>International Movies</t>
        </is>
      </c>
      <c r="C646" s="19">
        <f>IFERROR(INDEX(tblNetflix[type],MATCH($A646,tblNetflix[show_id],0)),"")</f>
        <v/>
      </c>
      <c r="D646" s="19">
        <f>IFERROR(INDEX(tblNetflix[rating],MATCH($A646,tblNetflix[show_id],0)),"")</f>
        <v/>
      </c>
      <c r="E646" s="19">
        <f>IFERROR(INDEX(tblNetflix[year_added],MATCH($A646,tblNetflix[show_id],0)),"")</f>
        <v/>
      </c>
      <c r="F646" s="19">
        <f>IF(AND(OR(YearFilter="All",$E646=YearFilter),OR(RatingFilter="All",$D646=RatingFilter),OR(TypeFilter="All",$C646=TypeFilter)),1,0)</f>
        <v/>
      </c>
    </row>
    <row r="647" ht="15" customHeight="1" s="20">
      <c r="A647" s="19" t="inlineStr">
        <is>
          <t>s2723</t>
        </is>
      </c>
      <c r="B647" s="19" t="inlineStr">
        <is>
          <t>Comedies</t>
        </is>
      </c>
      <c r="C647" s="19">
        <f>IFERROR(INDEX(tblNetflix[type],MATCH($A647,tblNetflix[show_id],0)),"")</f>
        <v/>
      </c>
      <c r="D647" s="19">
        <f>IFERROR(INDEX(tblNetflix[rating],MATCH($A647,tblNetflix[show_id],0)),"")</f>
        <v/>
      </c>
      <c r="E647" s="19">
        <f>IFERROR(INDEX(tblNetflix[year_added],MATCH($A647,tblNetflix[show_id],0)),"")</f>
        <v/>
      </c>
      <c r="F647" s="19">
        <f>IF(AND(OR(YearFilter="All",$E647=YearFilter),OR(RatingFilter="All",$D647=RatingFilter),OR(TypeFilter="All",$C647=TypeFilter)),1,0)</f>
        <v/>
      </c>
    </row>
    <row r="648" ht="15" customHeight="1" s="20">
      <c r="A648" s="19" t="inlineStr">
        <is>
          <t>s2723</t>
        </is>
      </c>
      <c r="B648" s="19" t="inlineStr">
        <is>
          <t>Dramas</t>
        </is>
      </c>
      <c r="C648" s="19">
        <f>IFERROR(INDEX(tblNetflix[type],MATCH($A648,tblNetflix[show_id],0)),"")</f>
        <v/>
      </c>
      <c r="D648" s="19">
        <f>IFERROR(INDEX(tblNetflix[rating],MATCH($A648,tblNetflix[show_id],0)),"")</f>
        <v/>
      </c>
      <c r="E648" s="19">
        <f>IFERROR(INDEX(tblNetflix[year_added],MATCH($A648,tblNetflix[show_id],0)),"")</f>
        <v/>
      </c>
      <c r="F648" s="19">
        <f>IF(AND(OR(YearFilter="All",$E648=YearFilter),OR(RatingFilter="All",$D648=RatingFilter),OR(TypeFilter="All",$C648=TypeFilter)),1,0)</f>
        <v/>
      </c>
    </row>
    <row r="649" ht="15" customHeight="1" s="20">
      <c r="A649" s="19" t="inlineStr">
        <is>
          <t>s2723</t>
        </is>
      </c>
      <c r="B649" s="19" t="inlineStr">
        <is>
          <t>International Movies</t>
        </is>
      </c>
      <c r="C649" s="19">
        <f>IFERROR(INDEX(tblNetflix[type],MATCH($A649,tblNetflix[show_id],0)),"")</f>
        <v/>
      </c>
      <c r="D649" s="19">
        <f>IFERROR(INDEX(tblNetflix[rating],MATCH($A649,tblNetflix[show_id],0)),"")</f>
        <v/>
      </c>
      <c r="E649" s="19">
        <f>IFERROR(INDEX(tblNetflix[year_added],MATCH($A649,tblNetflix[show_id],0)),"")</f>
        <v/>
      </c>
      <c r="F649" s="19">
        <f>IF(AND(OR(YearFilter="All",$E649=YearFilter),OR(RatingFilter="All",$D649=RatingFilter),OR(TypeFilter="All",$C649=TypeFilter)),1,0)</f>
        <v/>
      </c>
    </row>
    <row r="650" ht="15" customHeight="1" s="20">
      <c r="A650" s="19" t="inlineStr">
        <is>
          <t>s2724</t>
        </is>
      </c>
      <c r="B650" s="19" t="inlineStr">
        <is>
          <t>Action &amp; Adventure</t>
        </is>
      </c>
      <c r="C650" s="19">
        <f>IFERROR(INDEX(tblNetflix[type],MATCH($A650,tblNetflix[show_id],0)),"")</f>
        <v/>
      </c>
      <c r="D650" s="19">
        <f>IFERROR(INDEX(tblNetflix[rating],MATCH($A650,tblNetflix[show_id],0)),"")</f>
        <v/>
      </c>
      <c r="E650" s="19">
        <f>IFERROR(INDEX(tblNetflix[year_added],MATCH($A650,tblNetflix[show_id],0)),"")</f>
        <v/>
      </c>
      <c r="F650" s="19">
        <f>IF(AND(OR(YearFilter="All",$E650=YearFilter),OR(RatingFilter="All",$D650=RatingFilter),OR(TypeFilter="All",$C650=TypeFilter)),1,0)</f>
        <v/>
      </c>
    </row>
    <row r="651" ht="15" customHeight="1" s="20">
      <c r="A651" s="19" t="inlineStr">
        <is>
          <t>s2724</t>
        </is>
      </c>
      <c r="B651" s="19" t="inlineStr">
        <is>
          <t>Dramas</t>
        </is>
      </c>
      <c r="C651" s="19">
        <f>IFERROR(INDEX(tblNetflix[type],MATCH($A651,tblNetflix[show_id],0)),"")</f>
        <v/>
      </c>
      <c r="D651" s="19">
        <f>IFERROR(INDEX(tblNetflix[rating],MATCH($A651,tblNetflix[show_id],0)),"")</f>
        <v/>
      </c>
      <c r="E651" s="19">
        <f>IFERROR(INDEX(tblNetflix[year_added],MATCH($A651,tblNetflix[show_id],0)),"")</f>
        <v/>
      </c>
      <c r="F651" s="19">
        <f>IF(AND(OR(YearFilter="All",$E651=YearFilter),OR(RatingFilter="All",$D651=RatingFilter),OR(TypeFilter="All",$C651=TypeFilter)),1,0)</f>
        <v/>
      </c>
    </row>
    <row r="652" ht="15" customHeight="1" s="20">
      <c r="A652" s="19" t="inlineStr">
        <is>
          <t>s2724</t>
        </is>
      </c>
      <c r="B652" s="19" t="inlineStr">
        <is>
          <t>International Movies</t>
        </is>
      </c>
      <c r="C652" s="19">
        <f>IFERROR(INDEX(tblNetflix[type],MATCH($A652,tblNetflix[show_id],0)),"")</f>
        <v/>
      </c>
      <c r="D652" s="19">
        <f>IFERROR(INDEX(tblNetflix[rating],MATCH($A652,tblNetflix[show_id],0)),"")</f>
        <v/>
      </c>
      <c r="E652" s="19">
        <f>IFERROR(INDEX(tblNetflix[year_added],MATCH($A652,tblNetflix[show_id],0)),"")</f>
        <v/>
      </c>
      <c r="F652" s="19">
        <f>IF(AND(OR(YearFilter="All",$E652=YearFilter),OR(RatingFilter="All",$D652=RatingFilter),OR(TypeFilter="All",$C652=TypeFilter)),1,0)</f>
        <v/>
      </c>
    </row>
    <row r="653" ht="15" customHeight="1" s="20">
      <c r="A653" s="19" t="inlineStr">
        <is>
          <t>s2725</t>
        </is>
      </c>
      <c r="B653" s="19" t="inlineStr">
        <is>
          <t>Comedies</t>
        </is>
      </c>
      <c r="C653" s="19">
        <f>IFERROR(INDEX(tblNetflix[type],MATCH($A653,tblNetflix[show_id],0)),"")</f>
        <v/>
      </c>
      <c r="D653" s="19">
        <f>IFERROR(INDEX(tblNetflix[rating],MATCH($A653,tblNetflix[show_id],0)),"")</f>
        <v/>
      </c>
      <c r="E653" s="19">
        <f>IFERROR(INDEX(tblNetflix[year_added],MATCH($A653,tblNetflix[show_id],0)),"")</f>
        <v/>
      </c>
      <c r="F653" s="19">
        <f>IF(AND(OR(YearFilter="All",$E653=YearFilter),OR(RatingFilter="All",$D653=RatingFilter),OR(TypeFilter="All",$C653=TypeFilter)),1,0)</f>
        <v/>
      </c>
    </row>
    <row r="654" ht="15" customHeight="1" s="20">
      <c r="A654" s="19" t="inlineStr">
        <is>
          <t>s2725</t>
        </is>
      </c>
      <c r="B654" s="19" t="inlineStr">
        <is>
          <t>Dramas</t>
        </is>
      </c>
      <c r="C654" s="19">
        <f>IFERROR(INDEX(tblNetflix[type],MATCH($A654,tblNetflix[show_id],0)),"")</f>
        <v/>
      </c>
      <c r="D654" s="19">
        <f>IFERROR(INDEX(tblNetflix[rating],MATCH($A654,tblNetflix[show_id],0)),"")</f>
        <v/>
      </c>
      <c r="E654" s="19">
        <f>IFERROR(INDEX(tblNetflix[year_added],MATCH($A654,tblNetflix[show_id],0)),"")</f>
        <v/>
      </c>
      <c r="F654" s="19">
        <f>IF(AND(OR(YearFilter="All",$E654=YearFilter),OR(RatingFilter="All",$D654=RatingFilter),OR(TypeFilter="All",$C654=TypeFilter)),1,0)</f>
        <v/>
      </c>
    </row>
    <row r="655" ht="15" customHeight="1" s="20">
      <c r="A655" s="19" t="inlineStr">
        <is>
          <t>s2725</t>
        </is>
      </c>
      <c r="B655" s="19" t="inlineStr">
        <is>
          <t>International Movies</t>
        </is>
      </c>
      <c r="C655" s="19">
        <f>IFERROR(INDEX(tblNetflix[type],MATCH($A655,tblNetflix[show_id],0)),"")</f>
        <v/>
      </c>
      <c r="D655" s="19">
        <f>IFERROR(INDEX(tblNetflix[rating],MATCH($A655,tblNetflix[show_id],0)),"")</f>
        <v/>
      </c>
      <c r="E655" s="19">
        <f>IFERROR(INDEX(tblNetflix[year_added],MATCH($A655,tblNetflix[show_id],0)),"")</f>
        <v/>
      </c>
      <c r="F655" s="19">
        <f>IF(AND(OR(YearFilter="All",$E655=YearFilter),OR(RatingFilter="All",$D655=RatingFilter),OR(TypeFilter="All",$C655=TypeFilter)),1,0)</f>
        <v/>
      </c>
    </row>
    <row r="656" ht="15" customHeight="1" s="20">
      <c r="A656" s="19" t="inlineStr">
        <is>
          <t>s2726</t>
        </is>
      </c>
      <c r="B656" s="19" t="inlineStr">
        <is>
          <t>Action &amp; Adventure</t>
        </is>
      </c>
      <c r="C656" s="19">
        <f>IFERROR(INDEX(tblNetflix[type],MATCH($A656,tblNetflix[show_id],0)),"")</f>
        <v/>
      </c>
      <c r="D656" s="19">
        <f>IFERROR(INDEX(tblNetflix[rating],MATCH($A656,tblNetflix[show_id],0)),"")</f>
        <v/>
      </c>
      <c r="E656" s="19">
        <f>IFERROR(INDEX(tblNetflix[year_added],MATCH($A656,tblNetflix[show_id],0)),"")</f>
        <v/>
      </c>
      <c r="F656" s="19">
        <f>IF(AND(OR(YearFilter="All",$E656=YearFilter),OR(RatingFilter="All",$D656=RatingFilter),OR(TypeFilter="All",$C656=TypeFilter)),1,0)</f>
        <v/>
      </c>
    </row>
    <row r="657" ht="15" customHeight="1" s="20">
      <c r="A657" s="19" t="inlineStr">
        <is>
          <t>s2726</t>
        </is>
      </c>
      <c r="B657" s="19" t="inlineStr">
        <is>
          <t>Dramas</t>
        </is>
      </c>
      <c r="C657" s="19">
        <f>IFERROR(INDEX(tblNetflix[type],MATCH($A657,tblNetflix[show_id],0)),"")</f>
        <v/>
      </c>
      <c r="D657" s="19">
        <f>IFERROR(INDEX(tblNetflix[rating],MATCH($A657,tblNetflix[show_id],0)),"")</f>
        <v/>
      </c>
      <c r="E657" s="19">
        <f>IFERROR(INDEX(tblNetflix[year_added],MATCH($A657,tblNetflix[show_id],0)),"")</f>
        <v/>
      </c>
      <c r="F657" s="19">
        <f>IF(AND(OR(YearFilter="All",$E657=YearFilter),OR(RatingFilter="All",$D657=RatingFilter),OR(TypeFilter="All",$C657=TypeFilter)),1,0)</f>
        <v/>
      </c>
    </row>
    <row r="658" ht="15" customHeight="1" s="20">
      <c r="A658" s="19" t="inlineStr">
        <is>
          <t>s2726</t>
        </is>
      </c>
      <c r="B658" s="19" t="inlineStr">
        <is>
          <t>International Movies</t>
        </is>
      </c>
      <c r="C658" s="19">
        <f>IFERROR(INDEX(tblNetflix[type],MATCH($A658,tblNetflix[show_id],0)),"")</f>
        <v/>
      </c>
      <c r="D658" s="19">
        <f>IFERROR(INDEX(tblNetflix[rating],MATCH($A658,tblNetflix[show_id],0)),"")</f>
        <v/>
      </c>
      <c r="E658" s="19">
        <f>IFERROR(INDEX(tblNetflix[year_added],MATCH($A658,tblNetflix[show_id],0)),"")</f>
        <v/>
      </c>
      <c r="F658" s="19">
        <f>IF(AND(OR(YearFilter="All",$E658=YearFilter),OR(RatingFilter="All",$D658=RatingFilter),OR(TypeFilter="All",$C658=TypeFilter)),1,0)</f>
        <v/>
      </c>
    </row>
    <row r="659" ht="15" customHeight="1" s="20">
      <c r="A659" s="19" t="inlineStr">
        <is>
          <t>s2727</t>
        </is>
      </c>
      <c r="B659" s="19" t="inlineStr">
        <is>
          <t>Comedies</t>
        </is>
      </c>
      <c r="C659" s="19">
        <f>IFERROR(INDEX(tblNetflix[type],MATCH($A659,tblNetflix[show_id],0)),"")</f>
        <v/>
      </c>
      <c r="D659" s="19">
        <f>IFERROR(INDEX(tblNetflix[rating],MATCH($A659,tblNetflix[show_id],0)),"")</f>
        <v/>
      </c>
      <c r="E659" s="19">
        <f>IFERROR(INDEX(tblNetflix[year_added],MATCH($A659,tblNetflix[show_id],0)),"")</f>
        <v/>
      </c>
      <c r="F659" s="19">
        <f>IF(AND(OR(YearFilter="All",$E659=YearFilter),OR(RatingFilter="All",$D659=RatingFilter),OR(TypeFilter="All",$C659=TypeFilter)),1,0)</f>
        <v/>
      </c>
    </row>
    <row r="660" ht="15" customHeight="1" s="20">
      <c r="A660" s="19" t="inlineStr">
        <is>
          <t>s2727</t>
        </is>
      </c>
      <c r="B660" s="19" t="inlineStr">
        <is>
          <t>Dramas</t>
        </is>
      </c>
      <c r="C660" s="19">
        <f>IFERROR(INDEX(tblNetflix[type],MATCH($A660,tblNetflix[show_id],0)),"")</f>
        <v/>
      </c>
      <c r="D660" s="19">
        <f>IFERROR(INDEX(tblNetflix[rating],MATCH($A660,tblNetflix[show_id],0)),"")</f>
        <v/>
      </c>
      <c r="E660" s="19">
        <f>IFERROR(INDEX(tblNetflix[year_added],MATCH($A660,tblNetflix[show_id],0)),"")</f>
        <v/>
      </c>
      <c r="F660" s="19">
        <f>IF(AND(OR(YearFilter="All",$E660=YearFilter),OR(RatingFilter="All",$D660=RatingFilter),OR(TypeFilter="All",$C660=TypeFilter)),1,0)</f>
        <v/>
      </c>
    </row>
    <row r="661" ht="15" customHeight="1" s="20">
      <c r="A661" s="19" t="inlineStr">
        <is>
          <t>s2727</t>
        </is>
      </c>
      <c r="B661" s="19" t="inlineStr">
        <is>
          <t>International Movies</t>
        </is>
      </c>
      <c r="C661" s="19">
        <f>IFERROR(INDEX(tblNetflix[type],MATCH($A661,tblNetflix[show_id],0)),"")</f>
        <v/>
      </c>
      <c r="D661" s="19">
        <f>IFERROR(INDEX(tblNetflix[rating],MATCH($A661,tblNetflix[show_id],0)),"")</f>
        <v/>
      </c>
      <c r="E661" s="19">
        <f>IFERROR(INDEX(tblNetflix[year_added],MATCH($A661,tblNetflix[show_id],0)),"")</f>
        <v/>
      </c>
      <c r="F661" s="19">
        <f>IF(AND(OR(YearFilter="All",$E661=YearFilter),OR(RatingFilter="All",$D661=RatingFilter),OR(TypeFilter="All",$C661=TypeFilter)),1,0)</f>
        <v/>
      </c>
    </row>
    <row r="662" ht="15" customHeight="1" s="20">
      <c r="A662" s="19" t="inlineStr">
        <is>
          <t>s2729</t>
        </is>
      </c>
      <c r="B662" s="19" t="inlineStr">
        <is>
          <t>Comedies</t>
        </is>
      </c>
      <c r="C662" s="19">
        <f>IFERROR(INDEX(tblNetflix[type],MATCH($A662,tblNetflix[show_id],0)),"")</f>
        <v/>
      </c>
      <c r="D662" s="19">
        <f>IFERROR(INDEX(tblNetflix[rating],MATCH($A662,tblNetflix[show_id],0)),"")</f>
        <v/>
      </c>
      <c r="E662" s="19">
        <f>IFERROR(INDEX(tblNetflix[year_added],MATCH($A662,tblNetflix[show_id],0)),"")</f>
        <v/>
      </c>
      <c r="F662" s="19">
        <f>IF(AND(OR(YearFilter="All",$E662=YearFilter),OR(RatingFilter="All",$D662=RatingFilter),OR(TypeFilter="All",$C662=TypeFilter)),1,0)</f>
        <v/>
      </c>
    </row>
    <row r="663" ht="15" customHeight="1" s="20">
      <c r="A663" s="19" t="inlineStr">
        <is>
          <t>s2729</t>
        </is>
      </c>
      <c r="B663" s="19" t="inlineStr">
        <is>
          <t>International Movies</t>
        </is>
      </c>
      <c r="C663" s="19">
        <f>IFERROR(INDEX(tblNetflix[type],MATCH($A663,tblNetflix[show_id],0)),"")</f>
        <v/>
      </c>
      <c r="D663" s="19">
        <f>IFERROR(INDEX(tblNetflix[rating],MATCH($A663,tblNetflix[show_id],0)),"")</f>
        <v/>
      </c>
      <c r="E663" s="19">
        <f>IFERROR(INDEX(tblNetflix[year_added],MATCH($A663,tblNetflix[show_id],0)),"")</f>
        <v/>
      </c>
      <c r="F663" s="19">
        <f>IF(AND(OR(YearFilter="All",$E663=YearFilter),OR(RatingFilter="All",$D663=RatingFilter),OR(TypeFilter="All",$C663=TypeFilter)),1,0)</f>
        <v/>
      </c>
    </row>
    <row r="664" ht="15" customHeight="1" s="20">
      <c r="A664" s="19" t="inlineStr">
        <is>
          <t>s2729</t>
        </is>
      </c>
      <c r="B664" s="19" t="inlineStr">
        <is>
          <t>Romantic Movies</t>
        </is>
      </c>
      <c r="C664" s="19">
        <f>IFERROR(INDEX(tblNetflix[type],MATCH($A664,tblNetflix[show_id],0)),"")</f>
        <v/>
      </c>
      <c r="D664" s="19">
        <f>IFERROR(INDEX(tblNetflix[rating],MATCH($A664,tblNetflix[show_id],0)),"")</f>
        <v/>
      </c>
      <c r="E664" s="19">
        <f>IFERROR(INDEX(tblNetflix[year_added],MATCH($A664,tblNetflix[show_id],0)),"")</f>
        <v/>
      </c>
      <c r="F664" s="19">
        <f>IF(AND(OR(YearFilter="All",$E664=YearFilter),OR(RatingFilter="All",$D664=RatingFilter),OR(TypeFilter="All",$C664=TypeFilter)),1,0)</f>
        <v/>
      </c>
    </row>
    <row r="665" ht="15" customHeight="1" s="20">
      <c r="A665" s="19" t="inlineStr">
        <is>
          <t>s2730</t>
        </is>
      </c>
      <c r="B665" s="19" t="inlineStr">
        <is>
          <t>Horror Movies</t>
        </is>
      </c>
      <c r="C665" s="19">
        <f>IFERROR(INDEX(tblNetflix[type],MATCH($A665,tblNetflix[show_id],0)),"")</f>
        <v/>
      </c>
      <c r="D665" s="19">
        <f>IFERROR(INDEX(tblNetflix[rating],MATCH($A665,tblNetflix[show_id],0)),"")</f>
        <v/>
      </c>
      <c r="E665" s="19">
        <f>IFERROR(INDEX(tblNetflix[year_added],MATCH($A665,tblNetflix[show_id],0)),"")</f>
        <v/>
      </c>
      <c r="F665" s="19">
        <f>IF(AND(OR(YearFilter="All",$E665=YearFilter),OR(RatingFilter="All",$D665=RatingFilter),OR(TypeFilter="All",$C665=TypeFilter)),1,0)</f>
        <v/>
      </c>
    </row>
    <row r="666" ht="15" customHeight="1" s="20">
      <c r="A666" s="19" t="inlineStr">
        <is>
          <t>s2730</t>
        </is>
      </c>
      <c r="B666" s="19" t="inlineStr">
        <is>
          <t>International Movies</t>
        </is>
      </c>
      <c r="C666" s="19">
        <f>IFERROR(INDEX(tblNetflix[type],MATCH($A666,tblNetflix[show_id],0)),"")</f>
        <v/>
      </c>
      <c r="D666" s="19">
        <f>IFERROR(INDEX(tblNetflix[rating],MATCH($A666,tblNetflix[show_id],0)),"")</f>
        <v/>
      </c>
      <c r="E666" s="19">
        <f>IFERROR(INDEX(tblNetflix[year_added],MATCH($A666,tblNetflix[show_id],0)),"")</f>
        <v/>
      </c>
      <c r="F666" s="19">
        <f>IF(AND(OR(YearFilter="All",$E666=YearFilter),OR(RatingFilter="All",$D666=RatingFilter),OR(TypeFilter="All",$C666=TypeFilter)),1,0)</f>
        <v/>
      </c>
    </row>
    <row r="667" ht="15" customHeight="1" s="20">
      <c r="A667" s="19" t="inlineStr">
        <is>
          <t>s2730</t>
        </is>
      </c>
      <c r="B667" s="19" t="inlineStr">
        <is>
          <t>Thrillers</t>
        </is>
      </c>
      <c r="C667" s="19">
        <f>IFERROR(INDEX(tblNetflix[type],MATCH($A667,tblNetflix[show_id],0)),"")</f>
        <v/>
      </c>
      <c r="D667" s="19">
        <f>IFERROR(INDEX(tblNetflix[rating],MATCH($A667,tblNetflix[show_id],0)),"")</f>
        <v/>
      </c>
      <c r="E667" s="19">
        <f>IFERROR(INDEX(tblNetflix[year_added],MATCH($A667,tblNetflix[show_id],0)),"")</f>
        <v/>
      </c>
      <c r="F667" s="19">
        <f>IF(AND(OR(YearFilter="All",$E667=YearFilter),OR(RatingFilter="All",$D667=RatingFilter),OR(TypeFilter="All",$C667=TypeFilter)),1,0)</f>
        <v/>
      </c>
    </row>
    <row r="668" ht="15" customHeight="1" s="20">
      <c r="A668" s="19" t="inlineStr">
        <is>
          <t>s2731</t>
        </is>
      </c>
      <c r="B668" s="19" t="inlineStr">
        <is>
          <t>Dramas</t>
        </is>
      </c>
      <c r="C668" s="19">
        <f>IFERROR(INDEX(tblNetflix[type],MATCH($A668,tblNetflix[show_id],0)),"")</f>
        <v/>
      </c>
      <c r="D668" s="19">
        <f>IFERROR(INDEX(tblNetflix[rating],MATCH($A668,tblNetflix[show_id],0)),"")</f>
        <v/>
      </c>
      <c r="E668" s="19">
        <f>IFERROR(INDEX(tblNetflix[year_added],MATCH($A668,tblNetflix[show_id],0)),"")</f>
        <v/>
      </c>
      <c r="F668" s="19">
        <f>IF(AND(OR(YearFilter="All",$E668=YearFilter),OR(RatingFilter="All",$D668=RatingFilter),OR(TypeFilter="All",$C668=TypeFilter)),1,0)</f>
        <v/>
      </c>
    </row>
    <row r="669" ht="15" customHeight="1" s="20">
      <c r="A669" s="19" t="inlineStr">
        <is>
          <t>s2731</t>
        </is>
      </c>
      <c r="B669" s="19" t="inlineStr">
        <is>
          <t>International Movies</t>
        </is>
      </c>
      <c r="C669" s="19">
        <f>IFERROR(INDEX(tblNetflix[type],MATCH($A669,tblNetflix[show_id],0)),"")</f>
        <v/>
      </c>
      <c r="D669" s="19">
        <f>IFERROR(INDEX(tblNetflix[rating],MATCH($A669,tblNetflix[show_id],0)),"")</f>
        <v/>
      </c>
      <c r="E669" s="19">
        <f>IFERROR(INDEX(tblNetflix[year_added],MATCH($A669,tblNetflix[show_id],0)),"")</f>
        <v/>
      </c>
      <c r="F669" s="19">
        <f>IF(AND(OR(YearFilter="All",$E669=YearFilter),OR(RatingFilter="All",$D669=RatingFilter),OR(TypeFilter="All",$C669=TypeFilter)),1,0)</f>
        <v/>
      </c>
    </row>
    <row r="670" ht="15" customHeight="1" s="20">
      <c r="A670" s="19" t="inlineStr">
        <is>
          <t>s2731</t>
        </is>
      </c>
      <c r="B670" s="19" t="inlineStr">
        <is>
          <t>Romantic Movies</t>
        </is>
      </c>
      <c r="C670" s="19">
        <f>IFERROR(INDEX(tblNetflix[type],MATCH($A670,tblNetflix[show_id],0)),"")</f>
        <v/>
      </c>
      <c r="D670" s="19">
        <f>IFERROR(INDEX(tblNetflix[rating],MATCH($A670,tblNetflix[show_id],0)),"")</f>
        <v/>
      </c>
      <c r="E670" s="19">
        <f>IFERROR(INDEX(tblNetflix[year_added],MATCH($A670,tblNetflix[show_id],0)),"")</f>
        <v/>
      </c>
      <c r="F670" s="19">
        <f>IF(AND(OR(YearFilter="All",$E670=YearFilter),OR(RatingFilter="All",$D670=RatingFilter),OR(TypeFilter="All",$C670=TypeFilter)),1,0)</f>
        <v/>
      </c>
    </row>
    <row r="671" ht="15" customHeight="1" s="20">
      <c r="A671" s="19" t="inlineStr">
        <is>
          <t>s2732</t>
        </is>
      </c>
      <c r="B671" s="19" t="inlineStr">
        <is>
          <t>Dramas</t>
        </is>
      </c>
      <c r="C671" s="19">
        <f>IFERROR(INDEX(tblNetflix[type],MATCH($A671,tblNetflix[show_id],0)),"")</f>
        <v/>
      </c>
      <c r="D671" s="19">
        <f>IFERROR(INDEX(tblNetflix[rating],MATCH($A671,tblNetflix[show_id],0)),"")</f>
        <v/>
      </c>
      <c r="E671" s="19">
        <f>IFERROR(INDEX(tblNetflix[year_added],MATCH($A671,tblNetflix[show_id],0)),"")</f>
        <v/>
      </c>
      <c r="F671" s="19">
        <f>IF(AND(OR(YearFilter="All",$E671=YearFilter),OR(RatingFilter="All",$D671=RatingFilter),OR(TypeFilter="All",$C671=TypeFilter)),1,0)</f>
        <v/>
      </c>
    </row>
    <row r="672" ht="15" customHeight="1" s="20">
      <c r="A672" s="19" t="inlineStr">
        <is>
          <t>s2732</t>
        </is>
      </c>
      <c r="B672" s="19" t="inlineStr">
        <is>
          <t>International Movies</t>
        </is>
      </c>
      <c r="C672" s="19">
        <f>IFERROR(INDEX(tblNetflix[type],MATCH($A672,tblNetflix[show_id],0)),"")</f>
        <v/>
      </c>
      <c r="D672" s="19">
        <f>IFERROR(INDEX(tblNetflix[rating],MATCH($A672,tblNetflix[show_id],0)),"")</f>
        <v/>
      </c>
      <c r="E672" s="19">
        <f>IFERROR(INDEX(tblNetflix[year_added],MATCH($A672,tblNetflix[show_id],0)),"")</f>
        <v/>
      </c>
      <c r="F672" s="19">
        <f>IF(AND(OR(YearFilter="All",$E672=YearFilter),OR(RatingFilter="All",$D672=RatingFilter),OR(TypeFilter="All",$C672=TypeFilter)),1,0)</f>
        <v/>
      </c>
    </row>
    <row r="673" ht="15" customHeight="1" s="20">
      <c r="A673" s="19" t="inlineStr">
        <is>
          <t>s2733</t>
        </is>
      </c>
      <c r="B673" s="19" t="inlineStr">
        <is>
          <t>Comedies</t>
        </is>
      </c>
      <c r="C673" s="19">
        <f>IFERROR(INDEX(tblNetflix[type],MATCH($A673,tblNetflix[show_id],0)),"")</f>
        <v/>
      </c>
      <c r="D673" s="19">
        <f>IFERROR(INDEX(tblNetflix[rating],MATCH($A673,tblNetflix[show_id],0)),"")</f>
        <v/>
      </c>
      <c r="E673" s="19">
        <f>IFERROR(INDEX(tblNetflix[year_added],MATCH($A673,tblNetflix[show_id],0)),"")</f>
        <v/>
      </c>
      <c r="F673" s="19">
        <f>IF(AND(OR(YearFilter="All",$E673=YearFilter),OR(RatingFilter="All",$D673=RatingFilter),OR(TypeFilter="All",$C673=TypeFilter)),1,0)</f>
        <v/>
      </c>
    </row>
    <row r="674" ht="15" customHeight="1" s="20">
      <c r="A674" s="19" t="inlineStr">
        <is>
          <t>s2733</t>
        </is>
      </c>
      <c r="B674" s="19" t="inlineStr">
        <is>
          <t>Dramas</t>
        </is>
      </c>
      <c r="C674" s="19">
        <f>IFERROR(INDEX(tblNetflix[type],MATCH($A674,tblNetflix[show_id],0)),"")</f>
        <v/>
      </c>
      <c r="D674" s="19">
        <f>IFERROR(INDEX(tblNetflix[rating],MATCH($A674,tblNetflix[show_id],0)),"")</f>
        <v/>
      </c>
      <c r="E674" s="19">
        <f>IFERROR(INDEX(tblNetflix[year_added],MATCH($A674,tblNetflix[show_id],0)),"")</f>
        <v/>
      </c>
      <c r="F674" s="19">
        <f>IF(AND(OR(YearFilter="All",$E674=YearFilter),OR(RatingFilter="All",$D674=RatingFilter),OR(TypeFilter="All",$C674=TypeFilter)),1,0)</f>
        <v/>
      </c>
    </row>
    <row r="675" ht="15" customHeight="1" s="20">
      <c r="A675" s="19" t="inlineStr">
        <is>
          <t>s2733</t>
        </is>
      </c>
      <c r="B675" s="19" t="inlineStr">
        <is>
          <t>International Movies</t>
        </is>
      </c>
      <c r="C675" s="19">
        <f>IFERROR(INDEX(tblNetflix[type],MATCH($A675,tblNetflix[show_id],0)),"")</f>
        <v/>
      </c>
      <c r="D675" s="19">
        <f>IFERROR(INDEX(tblNetflix[rating],MATCH($A675,tblNetflix[show_id],0)),"")</f>
        <v/>
      </c>
      <c r="E675" s="19">
        <f>IFERROR(INDEX(tblNetflix[year_added],MATCH($A675,tblNetflix[show_id],0)),"")</f>
        <v/>
      </c>
      <c r="F675" s="19">
        <f>IF(AND(OR(YearFilter="All",$E675=YearFilter),OR(RatingFilter="All",$D675=RatingFilter),OR(TypeFilter="All",$C675=TypeFilter)),1,0)</f>
        <v/>
      </c>
    </row>
    <row r="676" ht="15" customHeight="1" s="20">
      <c r="A676" s="19" t="inlineStr">
        <is>
          <t>s2734</t>
        </is>
      </c>
      <c r="B676" s="19" t="inlineStr">
        <is>
          <t>Comedies</t>
        </is>
      </c>
      <c r="C676" s="19">
        <f>IFERROR(INDEX(tblNetflix[type],MATCH($A676,tblNetflix[show_id],0)),"")</f>
        <v/>
      </c>
      <c r="D676" s="19">
        <f>IFERROR(INDEX(tblNetflix[rating],MATCH($A676,tblNetflix[show_id],0)),"")</f>
        <v/>
      </c>
      <c r="E676" s="19">
        <f>IFERROR(INDEX(tblNetflix[year_added],MATCH($A676,tblNetflix[show_id],0)),"")</f>
        <v/>
      </c>
      <c r="F676" s="19">
        <f>IF(AND(OR(YearFilter="All",$E676=YearFilter),OR(RatingFilter="All",$D676=RatingFilter),OR(TypeFilter="All",$C676=TypeFilter)),1,0)</f>
        <v/>
      </c>
    </row>
    <row r="677" ht="15" customHeight="1" s="20">
      <c r="A677" s="19" t="inlineStr">
        <is>
          <t>s2734</t>
        </is>
      </c>
      <c r="B677" s="19" t="inlineStr">
        <is>
          <t>Dramas</t>
        </is>
      </c>
      <c r="C677" s="19">
        <f>IFERROR(INDEX(tblNetflix[type],MATCH($A677,tblNetflix[show_id],0)),"")</f>
        <v/>
      </c>
      <c r="D677" s="19">
        <f>IFERROR(INDEX(tblNetflix[rating],MATCH($A677,tblNetflix[show_id],0)),"")</f>
        <v/>
      </c>
      <c r="E677" s="19">
        <f>IFERROR(INDEX(tblNetflix[year_added],MATCH($A677,tblNetflix[show_id],0)),"")</f>
        <v/>
      </c>
      <c r="F677" s="19">
        <f>IF(AND(OR(YearFilter="All",$E677=YearFilter),OR(RatingFilter="All",$D677=RatingFilter),OR(TypeFilter="All",$C677=TypeFilter)),1,0)</f>
        <v/>
      </c>
    </row>
    <row r="678" ht="15" customHeight="1" s="20">
      <c r="A678" s="19" t="inlineStr">
        <is>
          <t>s2734</t>
        </is>
      </c>
      <c r="B678" s="19" t="inlineStr">
        <is>
          <t>International Movies</t>
        </is>
      </c>
      <c r="C678" s="19">
        <f>IFERROR(INDEX(tblNetflix[type],MATCH($A678,tblNetflix[show_id],0)),"")</f>
        <v/>
      </c>
      <c r="D678" s="19">
        <f>IFERROR(INDEX(tblNetflix[rating],MATCH($A678,tblNetflix[show_id],0)),"")</f>
        <v/>
      </c>
      <c r="E678" s="19">
        <f>IFERROR(INDEX(tblNetflix[year_added],MATCH($A678,tblNetflix[show_id],0)),"")</f>
        <v/>
      </c>
      <c r="F678" s="19">
        <f>IF(AND(OR(YearFilter="All",$E678=YearFilter),OR(RatingFilter="All",$D678=RatingFilter),OR(TypeFilter="All",$C678=TypeFilter)),1,0)</f>
        <v/>
      </c>
    </row>
    <row r="679" ht="15" customHeight="1" s="20">
      <c r="A679" s="19" t="inlineStr">
        <is>
          <t>s2735</t>
        </is>
      </c>
      <c r="B679" s="19" t="inlineStr">
        <is>
          <t>Comedies</t>
        </is>
      </c>
      <c r="C679" s="19">
        <f>IFERROR(INDEX(tblNetflix[type],MATCH($A679,tblNetflix[show_id],0)),"")</f>
        <v/>
      </c>
      <c r="D679" s="19">
        <f>IFERROR(INDEX(tblNetflix[rating],MATCH($A679,tblNetflix[show_id],0)),"")</f>
        <v/>
      </c>
      <c r="E679" s="19">
        <f>IFERROR(INDEX(tblNetflix[year_added],MATCH($A679,tblNetflix[show_id],0)),"")</f>
        <v/>
      </c>
      <c r="F679" s="19">
        <f>IF(AND(OR(YearFilter="All",$E679=YearFilter),OR(RatingFilter="All",$D679=RatingFilter),OR(TypeFilter="All",$C679=TypeFilter)),1,0)</f>
        <v/>
      </c>
    </row>
    <row r="680" ht="15" customHeight="1" s="20">
      <c r="A680" s="19" t="inlineStr">
        <is>
          <t>s2735</t>
        </is>
      </c>
      <c r="B680" s="19" t="inlineStr">
        <is>
          <t>Dramas</t>
        </is>
      </c>
      <c r="C680" s="19">
        <f>IFERROR(INDEX(tblNetflix[type],MATCH($A680,tblNetflix[show_id],0)),"")</f>
        <v/>
      </c>
      <c r="D680" s="19">
        <f>IFERROR(INDEX(tblNetflix[rating],MATCH($A680,tblNetflix[show_id],0)),"")</f>
        <v/>
      </c>
      <c r="E680" s="19">
        <f>IFERROR(INDEX(tblNetflix[year_added],MATCH($A680,tblNetflix[show_id],0)),"")</f>
        <v/>
      </c>
      <c r="F680" s="19">
        <f>IF(AND(OR(YearFilter="All",$E680=YearFilter),OR(RatingFilter="All",$D680=RatingFilter),OR(TypeFilter="All",$C680=TypeFilter)),1,0)</f>
        <v/>
      </c>
    </row>
    <row r="681" ht="15" customHeight="1" s="20">
      <c r="A681" s="19" t="inlineStr">
        <is>
          <t>s2735</t>
        </is>
      </c>
      <c r="B681" s="19" t="inlineStr">
        <is>
          <t>International Movies</t>
        </is>
      </c>
      <c r="C681" s="19">
        <f>IFERROR(INDEX(tblNetflix[type],MATCH($A681,tblNetflix[show_id],0)),"")</f>
        <v/>
      </c>
      <c r="D681" s="19">
        <f>IFERROR(INDEX(tblNetflix[rating],MATCH($A681,tblNetflix[show_id],0)),"")</f>
        <v/>
      </c>
      <c r="E681" s="19">
        <f>IFERROR(INDEX(tblNetflix[year_added],MATCH($A681,tblNetflix[show_id],0)),"")</f>
        <v/>
      </c>
      <c r="F681" s="19">
        <f>IF(AND(OR(YearFilter="All",$E681=YearFilter),OR(RatingFilter="All",$D681=RatingFilter),OR(TypeFilter="All",$C681=TypeFilter)),1,0)</f>
        <v/>
      </c>
    </row>
    <row r="682" ht="15" customHeight="1" s="20">
      <c r="A682" s="19" t="inlineStr">
        <is>
          <t>s2736</t>
        </is>
      </c>
      <c r="B682" s="19" t="inlineStr">
        <is>
          <t>Comedies</t>
        </is>
      </c>
      <c r="C682" s="19">
        <f>IFERROR(INDEX(tblNetflix[type],MATCH($A682,tblNetflix[show_id],0)),"")</f>
        <v/>
      </c>
      <c r="D682" s="19">
        <f>IFERROR(INDEX(tblNetflix[rating],MATCH($A682,tblNetflix[show_id],0)),"")</f>
        <v/>
      </c>
      <c r="E682" s="19">
        <f>IFERROR(INDEX(tblNetflix[year_added],MATCH($A682,tblNetflix[show_id],0)),"")</f>
        <v/>
      </c>
      <c r="F682" s="19">
        <f>IF(AND(OR(YearFilter="All",$E682=YearFilter),OR(RatingFilter="All",$D682=RatingFilter),OR(TypeFilter="All",$C682=TypeFilter)),1,0)</f>
        <v/>
      </c>
    </row>
    <row r="683" ht="15" customHeight="1" s="20">
      <c r="A683" s="19" t="inlineStr">
        <is>
          <t>s2736</t>
        </is>
      </c>
      <c r="B683" s="19" t="inlineStr">
        <is>
          <t>International Movies</t>
        </is>
      </c>
      <c r="C683" s="19">
        <f>IFERROR(INDEX(tblNetflix[type],MATCH($A683,tblNetflix[show_id],0)),"")</f>
        <v/>
      </c>
      <c r="D683" s="19">
        <f>IFERROR(INDEX(tblNetflix[rating],MATCH($A683,tblNetflix[show_id],0)),"")</f>
        <v/>
      </c>
      <c r="E683" s="19">
        <f>IFERROR(INDEX(tblNetflix[year_added],MATCH($A683,tblNetflix[show_id],0)),"")</f>
        <v/>
      </c>
      <c r="F683" s="19">
        <f>IF(AND(OR(YearFilter="All",$E683=YearFilter),OR(RatingFilter="All",$D683=RatingFilter),OR(TypeFilter="All",$C683=TypeFilter)),1,0)</f>
        <v/>
      </c>
    </row>
    <row r="684" ht="15" customHeight="1" s="20">
      <c r="A684" s="19" t="inlineStr">
        <is>
          <t>s2736</t>
        </is>
      </c>
      <c r="B684" s="19" t="inlineStr">
        <is>
          <t>Romantic Movies</t>
        </is>
      </c>
      <c r="C684" s="19">
        <f>IFERROR(INDEX(tblNetflix[type],MATCH($A684,tblNetflix[show_id],0)),"")</f>
        <v/>
      </c>
      <c r="D684" s="19">
        <f>IFERROR(INDEX(tblNetflix[rating],MATCH($A684,tblNetflix[show_id],0)),"")</f>
        <v/>
      </c>
      <c r="E684" s="19">
        <f>IFERROR(INDEX(tblNetflix[year_added],MATCH($A684,tblNetflix[show_id],0)),"")</f>
        <v/>
      </c>
      <c r="F684" s="19">
        <f>IF(AND(OR(YearFilter="All",$E684=YearFilter),OR(RatingFilter="All",$D684=RatingFilter),OR(TypeFilter="All",$C684=TypeFilter)),1,0)</f>
        <v/>
      </c>
    </row>
    <row r="685" ht="15" customHeight="1" s="20">
      <c r="A685" s="19" t="inlineStr">
        <is>
          <t>s2738</t>
        </is>
      </c>
      <c r="B685" s="19" t="inlineStr">
        <is>
          <t>Children &amp; Family Movies</t>
        </is>
      </c>
      <c r="C685" s="19">
        <f>IFERROR(INDEX(tblNetflix[type],MATCH($A685,tblNetflix[show_id],0)),"")</f>
        <v/>
      </c>
      <c r="D685" s="19">
        <f>IFERROR(INDEX(tblNetflix[rating],MATCH($A685,tblNetflix[show_id],0)),"")</f>
        <v/>
      </c>
      <c r="E685" s="19">
        <f>IFERROR(INDEX(tblNetflix[year_added],MATCH($A685,tblNetflix[show_id],0)),"")</f>
        <v/>
      </c>
      <c r="F685" s="19">
        <f>IF(AND(OR(YearFilter="All",$E685=YearFilter),OR(RatingFilter="All",$D685=RatingFilter),OR(TypeFilter="All",$C685=TypeFilter)),1,0)</f>
        <v/>
      </c>
    </row>
    <row r="686" ht="15" customHeight="1" s="20">
      <c r="A686" s="19" t="inlineStr">
        <is>
          <t>s2738</t>
        </is>
      </c>
      <c r="B686" s="19" t="inlineStr">
        <is>
          <t>Sports Movies</t>
        </is>
      </c>
      <c r="C686" s="19">
        <f>IFERROR(INDEX(tblNetflix[type],MATCH($A686,tblNetflix[show_id],0)),"")</f>
        <v/>
      </c>
      <c r="D686" s="19">
        <f>IFERROR(INDEX(tblNetflix[rating],MATCH($A686,tblNetflix[show_id],0)),"")</f>
        <v/>
      </c>
      <c r="E686" s="19">
        <f>IFERROR(INDEX(tblNetflix[year_added],MATCH($A686,tblNetflix[show_id],0)),"")</f>
        <v/>
      </c>
      <c r="F686" s="19">
        <f>IF(AND(OR(YearFilter="All",$E686=YearFilter),OR(RatingFilter="All",$D686=RatingFilter),OR(TypeFilter="All",$C686=TypeFilter)),1,0)</f>
        <v/>
      </c>
    </row>
    <row r="687" ht="15" customHeight="1" s="20">
      <c r="A687" s="19" t="inlineStr">
        <is>
          <t>s2739</t>
        </is>
      </c>
      <c r="B687" s="19" t="inlineStr">
        <is>
          <t>Action &amp; Adventure</t>
        </is>
      </c>
      <c r="C687" s="19">
        <f>IFERROR(INDEX(tblNetflix[type],MATCH($A687,tblNetflix[show_id],0)),"")</f>
        <v/>
      </c>
      <c r="D687" s="19">
        <f>IFERROR(INDEX(tblNetflix[rating],MATCH($A687,tblNetflix[show_id],0)),"")</f>
        <v/>
      </c>
      <c r="E687" s="19">
        <f>IFERROR(INDEX(tblNetflix[year_added],MATCH($A687,tblNetflix[show_id],0)),"")</f>
        <v/>
      </c>
      <c r="F687" s="19">
        <f>IF(AND(OR(YearFilter="All",$E687=YearFilter),OR(RatingFilter="All",$D687=RatingFilter),OR(TypeFilter="All",$C687=TypeFilter)),1,0)</f>
        <v/>
      </c>
    </row>
    <row r="688" ht="15" customHeight="1" s="20">
      <c r="A688" s="19" t="inlineStr">
        <is>
          <t>s2739</t>
        </is>
      </c>
      <c r="B688" s="19" t="inlineStr">
        <is>
          <t>Comedies</t>
        </is>
      </c>
      <c r="C688" s="19">
        <f>IFERROR(INDEX(tblNetflix[type],MATCH($A688,tblNetflix[show_id],0)),"")</f>
        <v/>
      </c>
      <c r="D688" s="19">
        <f>IFERROR(INDEX(tblNetflix[rating],MATCH($A688,tblNetflix[show_id],0)),"")</f>
        <v/>
      </c>
      <c r="E688" s="19">
        <f>IFERROR(INDEX(tblNetflix[year_added],MATCH($A688,tblNetflix[show_id],0)),"")</f>
        <v/>
      </c>
      <c r="F688" s="19">
        <f>IF(AND(OR(YearFilter="All",$E688=YearFilter),OR(RatingFilter="All",$D688=RatingFilter),OR(TypeFilter="All",$C688=TypeFilter)),1,0)</f>
        <v/>
      </c>
    </row>
    <row r="689" ht="15" customHeight="1" s="20">
      <c r="A689" s="19" t="inlineStr">
        <is>
          <t>s2739</t>
        </is>
      </c>
      <c r="B689" s="19" t="inlineStr">
        <is>
          <t>Dramas</t>
        </is>
      </c>
      <c r="C689" s="19">
        <f>IFERROR(INDEX(tblNetflix[type],MATCH($A689,tblNetflix[show_id],0)),"")</f>
        <v/>
      </c>
      <c r="D689" s="19">
        <f>IFERROR(INDEX(tblNetflix[rating],MATCH($A689,tblNetflix[show_id],0)),"")</f>
        <v/>
      </c>
      <c r="E689" s="19">
        <f>IFERROR(INDEX(tblNetflix[year_added],MATCH($A689,tblNetflix[show_id],0)),"")</f>
        <v/>
      </c>
      <c r="F689" s="19">
        <f>IF(AND(OR(YearFilter="All",$E689=YearFilter),OR(RatingFilter="All",$D689=RatingFilter),OR(TypeFilter="All",$C689=TypeFilter)),1,0)</f>
        <v/>
      </c>
    </row>
    <row r="690" ht="15" customHeight="1" s="20">
      <c r="A690" s="19" t="inlineStr">
        <is>
          <t>s2742</t>
        </is>
      </c>
      <c r="B690" s="19" t="inlineStr">
        <is>
          <t>Dramas</t>
        </is>
      </c>
      <c r="C690" s="19">
        <f>IFERROR(INDEX(tblNetflix[type],MATCH($A690,tblNetflix[show_id],0)),"")</f>
        <v/>
      </c>
      <c r="D690" s="19">
        <f>IFERROR(INDEX(tblNetflix[rating],MATCH($A690,tblNetflix[show_id],0)),"")</f>
        <v/>
      </c>
      <c r="E690" s="19">
        <f>IFERROR(INDEX(tblNetflix[year_added],MATCH($A690,tblNetflix[show_id],0)),"")</f>
        <v/>
      </c>
      <c r="F690" s="19">
        <f>IF(AND(OR(YearFilter="All",$E690=YearFilter),OR(RatingFilter="All",$D690=RatingFilter),OR(TypeFilter="All",$C690=TypeFilter)),1,0)</f>
        <v/>
      </c>
    </row>
    <row r="691" ht="15" customHeight="1" s="20">
      <c r="A691" s="19" t="inlineStr">
        <is>
          <t>s2742</t>
        </is>
      </c>
      <c r="B691" s="19" t="inlineStr">
        <is>
          <t>Independent Movies</t>
        </is>
      </c>
      <c r="C691" s="19">
        <f>IFERROR(INDEX(tblNetflix[type],MATCH($A691,tblNetflix[show_id],0)),"")</f>
        <v/>
      </c>
      <c r="D691" s="19">
        <f>IFERROR(INDEX(tblNetflix[rating],MATCH($A691,tblNetflix[show_id],0)),"")</f>
        <v/>
      </c>
      <c r="E691" s="19">
        <f>IFERROR(INDEX(tblNetflix[year_added],MATCH($A691,tblNetflix[show_id],0)),"")</f>
        <v/>
      </c>
      <c r="F691" s="19">
        <f>IF(AND(OR(YearFilter="All",$E691=YearFilter),OR(RatingFilter="All",$D691=RatingFilter),OR(TypeFilter="All",$C691=TypeFilter)),1,0)</f>
        <v/>
      </c>
    </row>
    <row r="692" ht="15" customHeight="1" s="20">
      <c r="A692" s="19" t="inlineStr">
        <is>
          <t>s2742</t>
        </is>
      </c>
      <c r="B692" s="19" t="inlineStr">
        <is>
          <t>International Movies</t>
        </is>
      </c>
      <c r="C692" s="19">
        <f>IFERROR(INDEX(tblNetflix[type],MATCH($A692,tblNetflix[show_id],0)),"")</f>
        <v/>
      </c>
      <c r="D692" s="19">
        <f>IFERROR(INDEX(tblNetflix[rating],MATCH($A692,tblNetflix[show_id],0)),"")</f>
        <v/>
      </c>
      <c r="E692" s="19">
        <f>IFERROR(INDEX(tblNetflix[year_added],MATCH($A692,tblNetflix[show_id],0)),"")</f>
        <v/>
      </c>
      <c r="F692" s="19">
        <f>IF(AND(OR(YearFilter="All",$E692=YearFilter),OR(RatingFilter="All",$D692=RatingFilter),OR(TypeFilter="All",$C692=TypeFilter)),1,0)</f>
        <v/>
      </c>
    </row>
    <row r="693" ht="15" customHeight="1" s="20">
      <c r="A693" s="19" t="inlineStr">
        <is>
          <t>s2748</t>
        </is>
      </c>
      <c r="B693" s="19" t="inlineStr">
        <is>
          <t>Comedies</t>
        </is>
      </c>
      <c r="C693" s="19">
        <f>IFERROR(INDEX(tblNetflix[type],MATCH($A693,tblNetflix[show_id],0)),"")</f>
        <v/>
      </c>
      <c r="D693" s="19">
        <f>IFERROR(INDEX(tblNetflix[rating],MATCH($A693,tblNetflix[show_id],0)),"")</f>
        <v/>
      </c>
      <c r="E693" s="19">
        <f>IFERROR(INDEX(tblNetflix[year_added],MATCH($A693,tblNetflix[show_id],0)),"")</f>
        <v/>
      </c>
      <c r="F693" s="19">
        <f>IF(AND(OR(YearFilter="All",$E693=YearFilter),OR(RatingFilter="All",$D693=RatingFilter),OR(TypeFilter="All",$C693=TypeFilter)),1,0)</f>
        <v/>
      </c>
    </row>
    <row r="694" ht="15" customHeight="1" s="20">
      <c r="A694" s="19" t="inlineStr">
        <is>
          <t>s2748</t>
        </is>
      </c>
      <c r="B694" s="19" t="inlineStr">
        <is>
          <t>Dramas</t>
        </is>
      </c>
      <c r="C694" s="19">
        <f>IFERROR(INDEX(tblNetflix[type],MATCH($A694,tblNetflix[show_id],0)),"")</f>
        <v/>
      </c>
      <c r="D694" s="19">
        <f>IFERROR(INDEX(tblNetflix[rating],MATCH($A694,tblNetflix[show_id],0)),"")</f>
        <v/>
      </c>
      <c r="E694" s="19">
        <f>IFERROR(INDEX(tblNetflix[year_added],MATCH($A694,tblNetflix[show_id],0)),"")</f>
        <v/>
      </c>
      <c r="F694" s="19">
        <f>IF(AND(OR(YearFilter="All",$E694=YearFilter),OR(RatingFilter="All",$D694=RatingFilter),OR(TypeFilter="All",$C694=TypeFilter)),1,0)</f>
        <v/>
      </c>
    </row>
    <row r="695" ht="15" customHeight="1" s="20">
      <c r="A695" s="19" t="inlineStr">
        <is>
          <t>s2748</t>
        </is>
      </c>
      <c r="B695" s="19" t="inlineStr">
        <is>
          <t>International Movies</t>
        </is>
      </c>
      <c r="C695" s="19">
        <f>IFERROR(INDEX(tblNetflix[type],MATCH($A695,tblNetflix[show_id],0)),"")</f>
        <v/>
      </c>
      <c r="D695" s="19">
        <f>IFERROR(INDEX(tblNetflix[rating],MATCH($A695,tblNetflix[show_id],0)),"")</f>
        <v/>
      </c>
      <c r="E695" s="19">
        <f>IFERROR(INDEX(tblNetflix[year_added],MATCH($A695,tblNetflix[show_id],0)),"")</f>
        <v/>
      </c>
      <c r="F695" s="19">
        <f>IF(AND(OR(YearFilter="All",$E695=YearFilter),OR(RatingFilter="All",$D695=RatingFilter),OR(TypeFilter="All",$C695=TypeFilter)),1,0)</f>
        <v/>
      </c>
    </row>
    <row r="696" ht="15" customHeight="1" s="20">
      <c r="A696" s="19" t="inlineStr">
        <is>
          <t>s2751</t>
        </is>
      </c>
      <c r="B696" s="19" t="inlineStr">
        <is>
          <t>Children &amp; Family Movies</t>
        </is>
      </c>
      <c r="C696" s="19">
        <f>IFERROR(INDEX(tblNetflix[type],MATCH($A696,tblNetflix[show_id],0)),"")</f>
        <v/>
      </c>
      <c r="D696" s="19">
        <f>IFERROR(INDEX(tblNetflix[rating],MATCH($A696,tblNetflix[show_id],0)),"")</f>
        <v/>
      </c>
      <c r="E696" s="19">
        <f>IFERROR(INDEX(tblNetflix[year_added],MATCH($A696,tblNetflix[show_id],0)),"")</f>
        <v/>
      </c>
      <c r="F696" s="19">
        <f>IF(AND(OR(YearFilter="All",$E696=YearFilter),OR(RatingFilter="All",$D696=RatingFilter),OR(TypeFilter="All",$C696=TypeFilter)),1,0)</f>
        <v/>
      </c>
    </row>
    <row r="697" ht="15" customHeight="1" s="20">
      <c r="A697" s="19" t="inlineStr">
        <is>
          <t>s2752</t>
        </is>
      </c>
      <c r="B697" s="19" t="inlineStr">
        <is>
          <t>Kids' TV</t>
        </is>
      </c>
      <c r="C697" s="19">
        <f>IFERROR(INDEX(tblNetflix[type],MATCH($A697,tblNetflix[show_id],0)),"")</f>
        <v/>
      </c>
      <c r="D697" s="19">
        <f>IFERROR(INDEX(tblNetflix[rating],MATCH($A697,tblNetflix[show_id],0)),"")</f>
        <v/>
      </c>
      <c r="E697" s="19">
        <f>IFERROR(INDEX(tblNetflix[year_added],MATCH($A697,tblNetflix[show_id],0)),"")</f>
        <v/>
      </c>
      <c r="F697" s="19">
        <f>IF(AND(OR(YearFilter="All",$E697=YearFilter),OR(RatingFilter="All",$D697=RatingFilter),OR(TypeFilter="All",$C697=TypeFilter)),1,0)</f>
        <v/>
      </c>
    </row>
    <row r="698" ht="15" customHeight="1" s="20">
      <c r="A698" s="19" t="inlineStr">
        <is>
          <t>s2752</t>
        </is>
      </c>
      <c r="B698" s="19" t="inlineStr">
        <is>
          <t>TV Comedies</t>
        </is>
      </c>
      <c r="C698" s="19">
        <f>IFERROR(INDEX(tblNetflix[type],MATCH($A698,tblNetflix[show_id],0)),"")</f>
        <v/>
      </c>
      <c r="D698" s="19">
        <f>IFERROR(INDEX(tblNetflix[rating],MATCH($A698,tblNetflix[show_id],0)),"")</f>
        <v/>
      </c>
      <c r="E698" s="19">
        <f>IFERROR(INDEX(tblNetflix[year_added],MATCH($A698,tblNetflix[show_id],0)),"")</f>
        <v/>
      </c>
      <c r="F698" s="19">
        <f>IF(AND(OR(YearFilter="All",$E698=YearFilter),OR(RatingFilter="All",$D698=RatingFilter),OR(TypeFilter="All",$C698=TypeFilter)),1,0)</f>
        <v/>
      </c>
    </row>
    <row r="699" ht="15" customHeight="1" s="20">
      <c r="A699" s="19" t="inlineStr">
        <is>
          <t>s2752</t>
        </is>
      </c>
      <c r="B699" s="19" t="inlineStr">
        <is>
          <t>TV Dramas</t>
        </is>
      </c>
      <c r="C699" s="19">
        <f>IFERROR(INDEX(tblNetflix[type],MATCH($A699,tblNetflix[show_id],0)),"")</f>
        <v/>
      </c>
      <c r="D699" s="19">
        <f>IFERROR(INDEX(tblNetflix[rating],MATCH($A699,tblNetflix[show_id],0)),"")</f>
        <v/>
      </c>
      <c r="E699" s="19">
        <f>IFERROR(INDEX(tblNetflix[year_added],MATCH($A699,tblNetflix[show_id],0)),"")</f>
        <v/>
      </c>
      <c r="F699" s="19">
        <f>IF(AND(OR(YearFilter="All",$E699=YearFilter),OR(RatingFilter="All",$D699=RatingFilter),OR(TypeFilter="All",$C699=TypeFilter)),1,0)</f>
        <v/>
      </c>
    </row>
    <row r="700" ht="15" customHeight="1" s="20">
      <c r="A700" s="19" t="inlineStr">
        <is>
          <t>s2757</t>
        </is>
      </c>
      <c r="B700" s="19" t="inlineStr">
        <is>
          <t>Dramas</t>
        </is>
      </c>
      <c r="C700" s="19">
        <f>IFERROR(INDEX(tblNetflix[type],MATCH($A700,tblNetflix[show_id],0)),"")</f>
        <v/>
      </c>
      <c r="D700" s="19">
        <f>IFERROR(INDEX(tblNetflix[rating],MATCH($A700,tblNetflix[show_id],0)),"")</f>
        <v/>
      </c>
      <c r="E700" s="19">
        <f>IFERROR(INDEX(tblNetflix[year_added],MATCH($A700,tblNetflix[show_id],0)),"")</f>
        <v/>
      </c>
      <c r="F700" s="19">
        <f>IF(AND(OR(YearFilter="All",$E700=YearFilter),OR(RatingFilter="All",$D700=RatingFilter),OR(TypeFilter="All",$C700=TypeFilter)),1,0)</f>
        <v/>
      </c>
    </row>
    <row r="701" ht="15" customHeight="1" s="20">
      <c r="A701" s="19" t="inlineStr">
        <is>
          <t>s2757</t>
        </is>
      </c>
      <c r="B701" s="19" t="inlineStr">
        <is>
          <t>Independent Movies</t>
        </is>
      </c>
      <c r="C701" s="19">
        <f>IFERROR(INDEX(tblNetflix[type],MATCH($A701,tblNetflix[show_id],0)),"")</f>
        <v/>
      </c>
      <c r="D701" s="19">
        <f>IFERROR(INDEX(tblNetflix[rating],MATCH($A701,tblNetflix[show_id],0)),"")</f>
        <v/>
      </c>
      <c r="E701" s="19">
        <f>IFERROR(INDEX(tblNetflix[year_added],MATCH($A701,tblNetflix[show_id],0)),"")</f>
        <v/>
      </c>
      <c r="F701" s="19">
        <f>IF(AND(OR(YearFilter="All",$E701=YearFilter),OR(RatingFilter="All",$D701=RatingFilter),OR(TypeFilter="All",$C701=TypeFilter)),1,0)</f>
        <v/>
      </c>
    </row>
    <row r="702" ht="15" customHeight="1" s="20">
      <c r="A702" s="19" t="inlineStr">
        <is>
          <t>s2757</t>
        </is>
      </c>
      <c r="B702" s="19" t="inlineStr">
        <is>
          <t>International Movies</t>
        </is>
      </c>
      <c r="C702" s="19">
        <f>IFERROR(INDEX(tblNetflix[type],MATCH($A702,tblNetflix[show_id],0)),"")</f>
        <v/>
      </c>
      <c r="D702" s="19">
        <f>IFERROR(INDEX(tblNetflix[rating],MATCH($A702,tblNetflix[show_id],0)),"")</f>
        <v/>
      </c>
      <c r="E702" s="19">
        <f>IFERROR(INDEX(tblNetflix[year_added],MATCH($A702,tblNetflix[show_id],0)),"")</f>
        <v/>
      </c>
      <c r="F702" s="19">
        <f>IF(AND(OR(YearFilter="All",$E702=YearFilter),OR(RatingFilter="All",$D702=RatingFilter),OR(TypeFilter="All",$C702=TypeFilter)),1,0)</f>
        <v/>
      </c>
    </row>
    <row r="703" ht="15" customHeight="1" s="20">
      <c r="A703" s="19" t="inlineStr">
        <is>
          <t>s2761</t>
        </is>
      </c>
      <c r="B703" s="19" t="inlineStr">
        <is>
          <t>Comedies</t>
        </is>
      </c>
      <c r="C703" s="19">
        <f>IFERROR(INDEX(tblNetflix[type],MATCH($A703,tblNetflix[show_id],0)),"")</f>
        <v/>
      </c>
      <c r="D703" s="19">
        <f>IFERROR(INDEX(tblNetflix[rating],MATCH($A703,tblNetflix[show_id],0)),"")</f>
        <v/>
      </c>
      <c r="E703" s="19">
        <f>IFERROR(INDEX(tblNetflix[year_added],MATCH($A703,tblNetflix[show_id],0)),"")</f>
        <v/>
      </c>
      <c r="F703" s="19">
        <f>IF(AND(OR(YearFilter="All",$E703=YearFilter),OR(RatingFilter="All",$D703=RatingFilter),OR(TypeFilter="All",$C703=TypeFilter)),1,0)</f>
        <v/>
      </c>
    </row>
    <row r="704" ht="15" customHeight="1" s="20">
      <c r="A704" s="19" t="inlineStr">
        <is>
          <t>s2761</t>
        </is>
      </c>
      <c r="B704" s="19" t="inlineStr">
        <is>
          <t>Dramas</t>
        </is>
      </c>
      <c r="C704" s="19">
        <f>IFERROR(INDEX(tblNetflix[type],MATCH($A704,tblNetflix[show_id],0)),"")</f>
        <v/>
      </c>
      <c r="D704" s="19">
        <f>IFERROR(INDEX(tblNetflix[rating],MATCH($A704,tblNetflix[show_id],0)),"")</f>
        <v/>
      </c>
      <c r="E704" s="19">
        <f>IFERROR(INDEX(tblNetflix[year_added],MATCH($A704,tblNetflix[show_id],0)),"")</f>
        <v/>
      </c>
      <c r="F704" s="19">
        <f>IF(AND(OR(YearFilter="All",$E704=YearFilter),OR(RatingFilter="All",$D704=RatingFilter),OR(TypeFilter="All",$C704=TypeFilter)),1,0)</f>
        <v/>
      </c>
    </row>
    <row r="705" ht="15" customHeight="1" s="20">
      <c r="A705" s="19" t="inlineStr">
        <is>
          <t>s2761</t>
        </is>
      </c>
      <c r="B705" s="19" t="inlineStr">
        <is>
          <t>International Movies</t>
        </is>
      </c>
      <c r="C705" s="19">
        <f>IFERROR(INDEX(tblNetflix[type],MATCH($A705,tblNetflix[show_id],0)),"")</f>
        <v/>
      </c>
      <c r="D705" s="19">
        <f>IFERROR(INDEX(tblNetflix[rating],MATCH($A705,tblNetflix[show_id],0)),"")</f>
        <v/>
      </c>
      <c r="E705" s="19">
        <f>IFERROR(INDEX(tblNetflix[year_added],MATCH($A705,tblNetflix[show_id],0)),"")</f>
        <v/>
      </c>
      <c r="F705" s="19">
        <f>IF(AND(OR(YearFilter="All",$E705=YearFilter),OR(RatingFilter="All",$D705=RatingFilter),OR(TypeFilter="All",$C705=TypeFilter)),1,0)</f>
        <v/>
      </c>
    </row>
    <row r="706" ht="15" customHeight="1" s="20">
      <c r="A706" s="19" t="inlineStr">
        <is>
          <t>s2766</t>
        </is>
      </c>
      <c r="B706" s="19" t="inlineStr">
        <is>
          <t>International TV Shows</t>
        </is>
      </c>
      <c r="C706" s="19">
        <f>IFERROR(INDEX(tblNetflix[type],MATCH($A706,tblNetflix[show_id],0)),"")</f>
        <v/>
      </c>
      <c r="D706" s="19">
        <f>IFERROR(INDEX(tblNetflix[rating],MATCH($A706,tblNetflix[show_id],0)),"")</f>
        <v/>
      </c>
      <c r="E706" s="19">
        <f>IFERROR(INDEX(tblNetflix[year_added],MATCH($A706,tblNetflix[show_id],0)),"")</f>
        <v/>
      </c>
      <c r="F706" s="19">
        <f>IF(AND(OR(YearFilter="All",$E706=YearFilter),OR(RatingFilter="All",$D706=RatingFilter),OR(TypeFilter="All",$C706=TypeFilter)),1,0)</f>
        <v/>
      </c>
    </row>
    <row r="707" ht="15" customHeight="1" s="20">
      <c r="A707" s="19" t="inlineStr">
        <is>
          <t>s2766</t>
        </is>
      </c>
      <c r="B707" s="19" t="inlineStr">
        <is>
          <t>Stand-Up Comedy &amp; Talk Shows</t>
        </is>
      </c>
      <c r="C707" s="19">
        <f>IFERROR(INDEX(tblNetflix[type],MATCH($A707,tblNetflix[show_id],0)),"")</f>
        <v/>
      </c>
      <c r="D707" s="19">
        <f>IFERROR(INDEX(tblNetflix[rating],MATCH($A707,tblNetflix[show_id],0)),"")</f>
        <v/>
      </c>
      <c r="E707" s="19">
        <f>IFERROR(INDEX(tblNetflix[year_added],MATCH($A707,tblNetflix[show_id],0)),"")</f>
        <v/>
      </c>
      <c r="F707" s="19">
        <f>IF(AND(OR(YearFilter="All",$E707=YearFilter),OR(RatingFilter="All",$D707=RatingFilter),OR(TypeFilter="All",$C707=TypeFilter)),1,0)</f>
        <v/>
      </c>
    </row>
    <row r="708" ht="15" customHeight="1" s="20">
      <c r="A708" s="19" t="inlineStr">
        <is>
          <t>s2766</t>
        </is>
      </c>
      <c r="B708" s="19" t="inlineStr">
        <is>
          <t>TV Comedies</t>
        </is>
      </c>
      <c r="C708" s="19">
        <f>IFERROR(INDEX(tblNetflix[type],MATCH($A708,tblNetflix[show_id],0)),"")</f>
        <v/>
      </c>
      <c r="D708" s="19">
        <f>IFERROR(INDEX(tblNetflix[rating],MATCH($A708,tblNetflix[show_id],0)),"")</f>
        <v/>
      </c>
      <c r="E708" s="19">
        <f>IFERROR(INDEX(tblNetflix[year_added],MATCH($A708,tblNetflix[show_id],0)),"")</f>
        <v/>
      </c>
      <c r="F708" s="19">
        <f>IF(AND(OR(YearFilter="All",$E708=YearFilter),OR(RatingFilter="All",$D708=RatingFilter),OR(TypeFilter="All",$C708=TypeFilter)),1,0)</f>
        <v/>
      </c>
    </row>
    <row r="709" ht="15" customHeight="1" s="20">
      <c r="A709" s="19" t="inlineStr">
        <is>
          <t>s2767</t>
        </is>
      </c>
      <c r="B709" s="19" t="inlineStr">
        <is>
          <t>Comedies</t>
        </is>
      </c>
      <c r="C709" s="19">
        <f>IFERROR(INDEX(tblNetflix[type],MATCH($A709,tblNetflix[show_id],0)),"")</f>
        <v/>
      </c>
      <c r="D709" s="19">
        <f>IFERROR(INDEX(tblNetflix[rating],MATCH($A709,tblNetflix[show_id],0)),"")</f>
        <v/>
      </c>
      <c r="E709" s="19">
        <f>IFERROR(INDEX(tblNetflix[year_added],MATCH($A709,tblNetflix[show_id],0)),"")</f>
        <v/>
      </c>
      <c r="F709" s="19">
        <f>IF(AND(OR(YearFilter="All",$E709=YearFilter),OR(RatingFilter="All",$D709=RatingFilter),OR(TypeFilter="All",$C709=TypeFilter)),1,0)</f>
        <v/>
      </c>
    </row>
    <row r="710" ht="15" customHeight="1" s="20">
      <c r="A710" s="19" t="inlineStr">
        <is>
          <t>s2767</t>
        </is>
      </c>
      <c r="B710" s="19" t="inlineStr">
        <is>
          <t>Dramas</t>
        </is>
      </c>
      <c r="C710" s="19">
        <f>IFERROR(INDEX(tblNetflix[type],MATCH($A710,tblNetflix[show_id],0)),"")</f>
        <v/>
      </c>
      <c r="D710" s="19">
        <f>IFERROR(INDEX(tblNetflix[rating],MATCH($A710,tblNetflix[show_id],0)),"")</f>
        <v/>
      </c>
      <c r="E710" s="19">
        <f>IFERROR(INDEX(tblNetflix[year_added],MATCH($A710,tblNetflix[show_id],0)),"")</f>
        <v/>
      </c>
      <c r="F710" s="19">
        <f>IF(AND(OR(YearFilter="All",$E710=YearFilter),OR(RatingFilter="All",$D710=RatingFilter),OR(TypeFilter="All",$C710=TypeFilter)),1,0)</f>
        <v/>
      </c>
    </row>
    <row r="711" ht="15" customHeight="1" s="20">
      <c r="A711" s="19" t="inlineStr">
        <is>
          <t>s2767</t>
        </is>
      </c>
      <c r="B711" s="19" t="inlineStr">
        <is>
          <t>International Movies</t>
        </is>
      </c>
      <c r="C711" s="19">
        <f>IFERROR(INDEX(tblNetflix[type],MATCH($A711,tblNetflix[show_id],0)),"")</f>
        <v/>
      </c>
      <c r="D711" s="19">
        <f>IFERROR(INDEX(tblNetflix[rating],MATCH($A711,tblNetflix[show_id],0)),"")</f>
        <v/>
      </c>
      <c r="E711" s="19">
        <f>IFERROR(INDEX(tblNetflix[year_added],MATCH($A711,tblNetflix[show_id],0)),"")</f>
        <v/>
      </c>
      <c r="F711" s="19">
        <f>IF(AND(OR(YearFilter="All",$E711=YearFilter),OR(RatingFilter="All",$D711=RatingFilter),OR(TypeFilter="All",$C711=TypeFilter)),1,0)</f>
        <v/>
      </c>
    </row>
    <row r="712" ht="15" customHeight="1" s="20">
      <c r="A712" s="19" t="inlineStr">
        <is>
          <t>s2793</t>
        </is>
      </c>
      <c r="B712" s="19" t="inlineStr">
        <is>
          <t>Crime TV Shows</t>
        </is>
      </c>
      <c r="C712" s="19">
        <f>IFERROR(INDEX(tblNetflix[type],MATCH($A712,tblNetflix[show_id],0)),"")</f>
        <v/>
      </c>
      <c r="D712" s="19">
        <f>IFERROR(INDEX(tblNetflix[rating],MATCH($A712,tblNetflix[show_id],0)),"")</f>
        <v/>
      </c>
      <c r="E712" s="19">
        <f>IFERROR(INDEX(tblNetflix[year_added],MATCH($A712,tblNetflix[show_id],0)),"")</f>
        <v/>
      </c>
      <c r="F712" s="19">
        <f>IF(AND(OR(YearFilter="All",$E712=YearFilter),OR(RatingFilter="All",$D712=RatingFilter),OR(TypeFilter="All",$C712=TypeFilter)),1,0)</f>
        <v/>
      </c>
    </row>
    <row r="713" ht="15" customHeight="1" s="20">
      <c r="A713" s="19" t="inlineStr">
        <is>
          <t>s2793</t>
        </is>
      </c>
      <c r="B713" s="19" t="inlineStr">
        <is>
          <t>International TV Shows</t>
        </is>
      </c>
      <c r="C713" s="19">
        <f>IFERROR(INDEX(tblNetflix[type],MATCH($A713,tblNetflix[show_id],0)),"")</f>
        <v/>
      </c>
      <c r="D713" s="19">
        <f>IFERROR(INDEX(tblNetflix[rating],MATCH($A713,tblNetflix[show_id],0)),"")</f>
        <v/>
      </c>
      <c r="E713" s="19">
        <f>IFERROR(INDEX(tblNetflix[year_added],MATCH($A713,tblNetflix[show_id],0)),"")</f>
        <v/>
      </c>
      <c r="F713" s="19">
        <f>IF(AND(OR(YearFilter="All",$E713=YearFilter),OR(RatingFilter="All",$D713=RatingFilter),OR(TypeFilter="All",$C713=TypeFilter)),1,0)</f>
        <v/>
      </c>
    </row>
    <row r="714" ht="15" customHeight="1" s="20">
      <c r="A714" s="19" t="inlineStr">
        <is>
          <t>s2793</t>
        </is>
      </c>
      <c r="B714" s="19" t="inlineStr">
        <is>
          <t>TV Dramas</t>
        </is>
      </c>
      <c r="C714" s="19">
        <f>IFERROR(INDEX(tblNetflix[type],MATCH($A714,tblNetflix[show_id],0)),"")</f>
        <v/>
      </c>
      <c r="D714" s="19">
        <f>IFERROR(INDEX(tblNetflix[rating],MATCH($A714,tblNetflix[show_id],0)),"")</f>
        <v/>
      </c>
      <c r="E714" s="19">
        <f>IFERROR(INDEX(tblNetflix[year_added],MATCH($A714,tblNetflix[show_id],0)),"")</f>
        <v/>
      </c>
      <c r="F714" s="19">
        <f>IF(AND(OR(YearFilter="All",$E714=YearFilter),OR(RatingFilter="All",$D714=RatingFilter),OR(TypeFilter="All",$C714=TypeFilter)),1,0)</f>
        <v/>
      </c>
    </row>
    <row r="715" ht="15" customHeight="1" s="20">
      <c r="A715" s="19" t="inlineStr">
        <is>
          <t>s2811</t>
        </is>
      </c>
      <c r="B715" s="19" t="inlineStr">
        <is>
          <t>International Movies</t>
        </is>
      </c>
      <c r="C715" s="19">
        <f>IFERROR(INDEX(tblNetflix[type],MATCH($A715,tblNetflix[show_id],0)),"")</f>
        <v/>
      </c>
      <c r="D715" s="19">
        <f>IFERROR(INDEX(tblNetflix[rating],MATCH($A715,tblNetflix[show_id],0)),"")</f>
        <v/>
      </c>
      <c r="E715" s="19">
        <f>IFERROR(INDEX(tblNetflix[year_added],MATCH($A715,tblNetflix[show_id],0)),"")</f>
        <v/>
      </c>
      <c r="F715" s="19">
        <f>IF(AND(OR(YearFilter="All",$E715=YearFilter),OR(RatingFilter="All",$D715=RatingFilter),OR(TypeFilter="All",$C715=TypeFilter)),1,0)</f>
        <v/>
      </c>
    </row>
    <row r="716" ht="15" customHeight="1" s="20">
      <c r="A716" s="19" t="inlineStr">
        <is>
          <t>s2811</t>
        </is>
      </c>
      <c r="B716" s="19" t="inlineStr">
        <is>
          <t>Thrillers</t>
        </is>
      </c>
      <c r="C716" s="19">
        <f>IFERROR(INDEX(tblNetflix[type],MATCH($A716,tblNetflix[show_id],0)),"")</f>
        <v/>
      </c>
      <c r="D716" s="19">
        <f>IFERROR(INDEX(tblNetflix[rating],MATCH($A716,tblNetflix[show_id],0)),"")</f>
        <v/>
      </c>
      <c r="E716" s="19">
        <f>IFERROR(INDEX(tblNetflix[year_added],MATCH($A716,tblNetflix[show_id],0)),"")</f>
        <v/>
      </c>
      <c r="F716" s="19">
        <f>IF(AND(OR(YearFilter="All",$E716=YearFilter),OR(RatingFilter="All",$D716=RatingFilter),OR(TypeFilter="All",$C716=TypeFilter)),1,0)</f>
        <v/>
      </c>
    </row>
    <row r="717" ht="15" customHeight="1" s="20">
      <c r="A717" s="19" t="inlineStr">
        <is>
          <t>s2816</t>
        </is>
      </c>
      <c r="B717" s="19" t="inlineStr">
        <is>
          <t>Comedies</t>
        </is>
      </c>
      <c r="C717" s="19">
        <f>IFERROR(INDEX(tblNetflix[type],MATCH($A717,tblNetflix[show_id],0)),"")</f>
        <v/>
      </c>
      <c r="D717" s="19">
        <f>IFERROR(INDEX(tblNetflix[rating],MATCH($A717,tblNetflix[show_id],0)),"")</f>
        <v/>
      </c>
      <c r="E717" s="19">
        <f>IFERROR(INDEX(tblNetflix[year_added],MATCH($A717,tblNetflix[show_id],0)),"")</f>
        <v/>
      </c>
      <c r="F717" s="19">
        <f>IF(AND(OR(YearFilter="All",$E717=YearFilter),OR(RatingFilter="All",$D717=RatingFilter),OR(TypeFilter="All",$C717=TypeFilter)),1,0)</f>
        <v/>
      </c>
    </row>
    <row r="718" ht="15" customHeight="1" s="20">
      <c r="A718" s="19" t="inlineStr">
        <is>
          <t>s2816</t>
        </is>
      </c>
      <c r="B718" s="19" t="inlineStr">
        <is>
          <t>International Movies</t>
        </is>
      </c>
      <c r="C718" s="19">
        <f>IFERROR(INDEX(tblNetflix[type],MATCH($A718,tblNetflix[show_id],0)),"")</f>
        <v/>
      </c>
      <c r="D718" s="19">
        <f>IFERROR(INDEX(tblNetflix[rating],MATCH($A718,tblNetflix[show_id],0)),"")</f>
        <v/>
      </c>
      <c r="E718" s="19">
        <f>IFERROR(INDEX(tblNetflix[year_added],MATCH($A718,tblNetflix[show_id],0)),"")</f>
        <v/>
      </c>
      <c r="F718" s="19">
        <f>IF(AND(OR(YearFilter="All",$E718=YearFilter),OR(RatingFilter="All",$D718=RatingFilter),OR(TypeFilter="All",$C718=TypeFilter)),1,0)</f>
        <v/>
      </c>
    </row>
    <row r="719" ht="15" customHeight="1" s="20">
      <c r="A719" s="19" t="inlineStr">
        <is>
          <t>s2816</t>
        </is>
      </c>
      <c r="B719" s="19" t="inlineStr">
        <is>
          <t>Romantic Movies</t>
        </is>
      </c>
      <c r="C719" s="19">
        <f>IFERROR(INDEX(tblNetflix[type],MATCH($A719,tblNetflix[show_id],0)),"")</f>
        <v/>
      </c>
      <c r="D719" s="19">
        <f>IFERROR(INDEX(tblNetflix[rating],MATCH($A719,tblNetflix[show_id],0)),"")</f>
        <v/>
      </c>
      <c r="E719" s="19">
        <f>IFERROR(INDEX(tblNetflix[year_added],MATCH($A719,tblNetflix[show_id],0)),"")</f>
        <v/>
      </c>
      <c r="F719" s="19">
        <f>IF(AND(OR(YearFilter="All",$E719=YearFilter),OR(RatingFilter="All",$D719=RatingFilter),OR(TypeFilter="All",$C719=TypeFilter)),1,0)</f>
        <v/>
      </c>
    </row>
    <row r="720" ht="15" customHeight="1" s="20">
      <c r="A720" s="19" t="inlineStr">
        <is>
          <t>s2834</t>
        </is>
      </c>
      <c r="B720" s="19" t="inlineStr">
        <is>
          <t>Dramas</t>
        </is>
      </c>
      <c r="C720" s="19">
        <f>IFERROR(INDEX(tblNetflix[type],MATCH($A720,tblNetflix[show_id],0)),"")</f>
        <v/>
      </c>
      <c r="D720" s="19">
        <f>IFERROR(INDEX(tblNetflix[rating],MATCH($A720,tblNetflix[show_id],0)),"")</f>
        <v/>
      </c>
      <c r="E720" s="19">
        <f>IFERROR(INDEX(tblNetflix[year_added],MATCH($A720,tblNetflix[show_id],0)),"")</f>
        <v/>
      </c>
      <c r="F720" s="19">
        <f>IF(AND(OR(YearFilter="All",$E720=YearFilter),OR(RatingFilter="All",$D720=RatingFilter),OR(TypeFilter="All",$C720=TypeFilter)),1,0)</f>
        <v/>
      </c>
    </row>
    <row r="721" ht="15" customHeight="1" s="20">
      <c r="A721" s="19" t="inlineStr">
        <is>
          <t>s2834</t>
        </is>
      </c>
      <c r="B721" s="19" t="inlineStr">
        <is>
          <t>International Movies</t>
        </is>
      </c>
      <c r="C721" s="19">
        <f>IFERROR(INDEX(tblNetflix[type],MATCH($A721,tblNetflix[show_id],0)),"")</f>
        <v/>
      </c>
      <c r="D721" s="19">
        <f>IFERROR(INDEX(tblNetflix[rating],MATCH($A721,tblNetflix[show_id],0)),"")</f>
        <v/>
      </c>
      <c r="E721" s="19">
        <f>IFERROR(INDEX(tblNetflix[year_added],MATCH($A721,tblNetflix[show_id],0)),"")</f>
        <v/>
      </c>
      <c r="F721" s="19">
        <f>IF(AND(OR(YearFilter="All",$E721=YearFilter),OR(RatingFilter="All",$D721=RatingFilter),OR(TypeFilter="All",$C721=TypeFilter)),1,0)</f>
        <v/>
      </c>
    </row>
    <row r="722" ht="15" customHeight="1" s="20">
      <c r="A722" s="19" t="inlineStr">
        <is>
          <t>s2842</t>
        </is>
      </c>
      <c r="B722" s="19" t="inlineStr">
        <is>
          <t>Kids' TV</t>
        </is>
      </c>
      <c r="C722" s="19">
        <f>IFERROR(INDEX(tblNetflix[type],MATCH($A722,tblNetflix[show_id],0)),"")</f>
        <v/>
      </c>
      <c r="D722" s="19">
        <f>IFERROR(INDEX(tblNetflix[rating],MATCH($A722,tblNetflix[show_id],0)),"")</f>
        <v/>
      </c>
      <c r="E722" s="19">
        <f>IFERROR(INDEX(tblNetflix[year_added],MATCH($A722,tblNetflix[show_id],0)),"")</f>
        <v/>
      </c>
      <c r="F722" s="19">
        <f>IF(AND(OR(YearFilter="All",$E722=YearFilter),OR(RatingFilter="All",$D722=RatingFilter),OR(TypeFilter="All",$C722=TypeFilter)),1,0)</f>
        <v/>
      </c>
    </row>
    <row r="723" ht="15" customHeight="1" s="20">
      <c r="A723" s="19" t="inlineStr">
        <is>
          <t>s2842</t>
        </is>
      </c>
      <c r="B723" s="19" t="inlineStr">
        <is>
          <t>TV Comedies</t>
        </is>
      </c>
      <c r="C723" s="19">
        <f>IFERROR(INDEX(tblNetflix[type],MATCH($A723,tblNetflix[show_id],0)),"")</f>
        <v/>
      </c>
      <c r="D723" s="19">
        <f>IFERROR(INDEX(tblNetflix[rating],MATCH($A723,tblNetflix[show_id],0)),"")</f>
        <v/>
      </c>
      <c r="E723" s="19">
        <f>IFERROR(INDEX(tblNetflix[year_added],MATCH($A723,tblNetflix[show_id],0)),"")</f>
        <v/>
      </c>
      <c r="F723" s="19">
        <f>IF(AND(OR(YearFilter="All",$E723=YearFilter),OR(RatingFilter="All",$D723=RatingFilter),OR(TypeFilter="All",$C723=TypeFilter)),1,0)</f>
        <v/>
      </c>
    </row>
    <row r="724" ht="15" customHeight="1" s="20">
      <c r="A724" s="19" t="inlineStr">
        <is>
          <t>s2851</t>
        </is>
      </c>
      <c r="B724" s="19" t="inlineStr">
        <is>
          <t>Dramas</t>
        </is>
      </c>
      <c r="C724" s="19">
        <f>IFERROR(INDEX(tblNetflix[type],MATCH($A724,tblNetflix[show_id],0)),"")</f>
        <v/>
      </c>
      <c r="D724" s="19">
        <f>IFERROR(INDEX(tblNetflix[rating],MATCH($A724,tblNetflix[show_id],0)),"")</f>
        <v/>
      </c>
      <c r="E724" s="19">
        <f>IFERROR(INDEX(tblNetflix[year_added],MATCH($A724,tblNetflix[show_id],0)),"")</f>
        <v/>
      </c>
      <c r="F724" s="19">
        <f>IF(AND(OR(YearFilter="All",$E724=YearFilter),OR(RatingFilter="All",$D724=RatingFilter),OR(TypeFilter="All",$C724=TypeFilter)),1,0)</f>
        <v/>
      </c>
    </row>
    <row r="725" ht="15" customHeight="1" s="20">
      <c r="A725" s="19" t="inlineStr">
        <is>
          <t>s2851</t>
        </is>
      </c>
      <c r="B725" s="19" t="inlineStr">
        <is>
          <t>Independent Movies</t>
        </is>
      </c>
      <c r="C725" s="19">
        <f>IFERROR(INDEX(tblNetflix[type],MATCH($A725,tblNetflix[show_id],0)),"")</f>
        <v/>
      </c>
      <c r="D725" s="19">
        <f>IFERROR(INDEX(tblNetflix[rating],MATCH($A725,tblNetflix[show_id],0)),"")</f>
        <v/>
      </c>
      <c r="E725" s="19">
        <f>IFERROR(INDEX(tblNetflix[year_added],MATCH($A725,tblNetflix[show_id],0)),"")</f>
        <v/>
      </c>
      <c r="F725" s="19">
        <f>IF(AND(OR(YearFilter="All",$E725=YearFilter),OR(RatingFilter="All",$D725=RatingFilter),OR(TypeFilter="All",$C725=TypeFilter)),1,0)</f>
        <v/>
      </c>
    </row>
    <row r="726" ht="15" customHeight="1" s="20">
      <c r="A726" s="19" t="inlineStr">
        <is>
          <t>s2851</t>
        </is>
      </c>
      <c r="B726" s="19" t="inlineStr">
        <is>
          <t>International Movies</t>
        </is>
      </c>
      <c r="C726" s="19">
        <f>IFERROR(INDEX(tblNetflix[type],MATCH($A726,tblNetflix[show_id],0)),"")</f>
        <v/>
      </c>
      <c r="D726" s="19">
        <f>IFERROR(INDEX(tblNetflix[rating],MATCH($A726,tblNetflix[show_id],0)),"")</f>
        <v/>
      </c>
      <c r="E726" s="19">
        <f>IFERROR(INDEX(tblNetflix[year_added],MATCH($A726,tblNetflix[show_id],0)),"")</f>
        <v/>
      </c>
      <c r="F726" s="19">
        <f>IF(AND(OR(YearFilter="All",$E726=YearFilter),OR(RatingFilter="All",$D726=RatingFilter),OR(TypeFilter="All",$C726=TypeFilter)),1,0)</f>
        <v/>
      </c>
    </row>
    <row r="727" ht="15" customHeight="1" s="20">
      <c r="A727" s="19" t="inlineStr">
        <is>
          <t>s2857</t>
        </is>
      </c>
      <c r="B727" s="19" t="inlineStr">
        <is>
          <t>Comedies</t>
        </is>
      </c>
      <c r="C727" s="19">
        <f>IFERROR(INDEX(tblNetflix[type],MATCH($A727,tblNetflix[show_id],0)),"")</f>
        <v/>
      </c>
      <c r="D727" s="19">
        <f>IFERROR(INDEX(tblNetflix[rating],MATCH($A727,tblNetflix[show_id],0)),"")</f>
        <v/>
      </c>
      <c r="E727" s="19">
        <f>IFERROR(INDEX(tblNetflix[year_added],MATCH($A727,tblNetflix[show_id],0)),"")</f>
        <v/>
      </c>
      <c r="F727" s="19">
        <f>IF(AND(OR(YearFilter="All",$E727=YearFilter),OR(RatingFilter="All",$D727=RatingFilter),OR(TypeFilter="All",$C727=TypeFilter)),1,0)</f>
        <v/>
      </c>
    </row>
    <row r="728" ht="15" customHeight="1" s="20">
      <c r="A728" s="19" t="inlineStr">
        <is>
          <t>s2857</t>
        </is>
      </c>
      <c r="B728" s="19" t="inlineStr">
        <is>
          <t>Dramas</t>
        </is>
      </c>
      <c r="C728" s="19">
        <f>IFERROR(INDEX(tblNetflix[type],MATCH($A728,tblNetflix[show_id],0)),"")</f>
        <v/>
      </c>
      <c r="D728" s="19">
        <f>IFERROR(INDEX(tblNetflix[rating],MATCH($A728,tblNetflix[show_id],0)),"")</f>
        <v/>
      </c>
      <c r="E728" s="19">
        <f>IFERROR(INDEX(tblNetflix[year_added],MATCH($A728,tblNetflix[show_id],0)),"")</f>
        <v/>
      </c>
      <c r="F728" s="19">
        <f>IF(AND(OR(YearFilter="All",$E728=YearFilter),OR(RatingFilter="All",$D728=RatingFilter),OR(TypeFilter="All",$C728=TypeFilter)),1,0)</f>
        <v/>
      </c>
    </row>
    <row r="729" ht="15" customHeight="1" s="20">
      <c r="A729" s="19" t="inlineStr">
        <is>
          <t>s2857</t>
        </is>
      </c>
      <c r="B729" s="19" t="inlineStr">
        <is>
          <t>International Movies</t>
        </is>
      </c>
      <c r="C729" s="19">
        <f>IFERROR(INDEX(tblNetflix[type],MATCH($A729,tblNetflix[show_id],0)),"")</f>
        <v/>
      </c>
      <c r="D729" s="19">
        <f>IFERROR(INDEX(tblNetflix[rating],MATCH($A729,tblNetflix[show_id],0)),"")</f>
        <v/>
      </c>
      <c r="E729" s="19">
        <f>IFERROR(INDEX(tblNetflix[year_added],MATCH($A729,tblNetflix[show_id],0)),"")</f>
        <v/>
      </c>
      <c r="F729" s="19">
        <f>IF(AND(OR(YearFilter="All",$E729=YearFilter),OR(RatingFilter="All",$D729=RatingFilter),OR(TypeFilter="All",$C729=TypeFilter)),1,0)</f>
        <v/>
      </c>
    </row>
    <row r="730" ht="15" customHeight="1" s="20">
      <c r="A730" s="19" t="inlineStr">
        <is>
          <t>s2870</t>
        </is>
      </c>
      <c r="B730" s="19" t="inlineStr">
        <is>
          <t>Stand-Up Comedy</t>
        </is>
      </c>
      <c r="C730" s="19">
        <f>IFERROR(INDEX(tblNetflix[type],MATCH($A730,tblNetflix[show_id],0)),"")</f>
        <v/>
      </c>
      <c r="D730" s="19">
        <f>IFERROR(INDEX(tblNetflix[rating],MATCH($A730,tblNetflix[show_id],0)),"")</f>
        <v/>
      </c>
      <c r="E730" s="19">
        <f>IFERROR(INDEX(tblNetflix[year_added],MATCH($A730,tblNetflix[show_id],0)),"")</f>
        <v/>
      </c>
      <c r="F730" s="19">
        <f>IF(AND(OR(YearFilter="All",$E730=YearFilter),OR(RatingFilter="All",$D730=RatingFilter),OR(TypeFilter="All",$C730=TypeFilter)),1,0)</f>
        <v/>
      </c>
    </row>
    <row r="731" ht="15" customHeight="1" s="20">
      <c r="A731" s="19" t="inlineStr">
        <is>
          <t>s2874</t>
        </is>
      </c>
      <c r="B731" s="19" t="inlineStr">
        <is>
          <t>Action &amp; Adventure</t>
        </is>
      </c>
      <c r="C731" s="19">
        <f>IFERROR(INDEX(tblNetflix[type],MATCH($A731,tblNetflix[show_id],0)),"")</f>
        <v/>
      </c>
      <c r="D731" s="19">
        <f>IFERROR(INDEX(tblNetflix[rating],MATCH($A731,tblNetflix[show_id],0)),"")</f>
        <v/>
      </c>
      <c r="E731" s="19">
        <f>IFERROR(INDEX(tblNetflix[year_added],MATCH($A731,tblNetflix[show_id],0)),"")</f>
        <v/>
      </c>
      <c r="F731" s="19">
        <f>IF(AND(OR(YearFilter="All",$E731=YearFilter),OR(RatingFilter="All",$D731=RatingFilter),OR(TypeFilter="All",$C731=TypeFilter)),1,0)</f>
        <v/>
      </c>
    </row>
    <row r="732" ht="15" customHeight="1" s="20">
      <c r="A732" s="19" t="inlineStr">
        <is>
          <t>s2874</t>
        </is>
      </c>
      <c r="B732" s="19" t="inlineStr">
        <is>
          <t>Comedies</t>
        </is>
      </c>
      <c r="C732" s="19">
        <f>IFERROR(INDEX(tblNetflix[type],MATCH($A732,tblNetflix[show_id],0)),"")</f>
        <v/>
      </c>
      <c r="D732" s="19">
        <f>IFERROR(INDEX(tblNetflix[rating],MATCH($A732,tblNetflix[show_id],0)),"")</f>
        <v/>
      </c>
      <c r="E732" s="19">
        <f>IFERROR(INDEX(tblNetflix[year_added],MATCH($A732,tblNetflix[show_id],0)),"")</f>
        <v/>
      </c>
      <c r="F732" s="19">
        <f>IF(AND(OR(YearFilter="All",$E732=YearFilter),OR(RatingFilter="All",$D732=RatingFilter),OR(TypeFilter="All",$C732=TypeFilter)),1,0)</f>
        <v/>
      </c>
    </row>
    <row r="733" ht="15" customHeight="1" s="20">
      <c r="A733" s="19" t="inlineStr">
        <is>
          <t>s2874</t>
        </is>
      </c>
      <c r="B733" s="19" t="inlineStr">
        <is>
          <t>Dramas</t>
        </is>
      </c>
      <c r="C733" s="19">
        <f>IFERROR(INDEX(tblNetflix[type],MATCH($A733,tblNetflix[show_id],0)),"")</f>
        <v/>
      </c>
      <c r="D733" s="19">
        <f>IFERROR(INDEX(tblNetflix[rating],MATCH($A733,tblNetflix[show_id],0)),"")</f>
        <v/>
      </c>
      <c r="E733" s="19">
        <f>IFERROR(INDEX(tblNetflix[year_added],MATCH($A733,tblNetflix[show_id],0)),"")</f>
        <v/>
      </c>
      <c r="F733" s="19">
        <f>IF(AND(OR(YearFilter="All",$E733=YearFilter),OR(RatingFilter="All",$D733=RatingFilter),OR(TypeFilter="All",$C733=TypeFilter)),1,0)</f>
        <v/>
      </c>
    </row>
    <row r="734" ht="15" customHeight="1" s="20">
      <c r="A734" s="19" t="inlineStr">
        <is>
          <t>s2897</t>
        </is>
      </c>
      <c r="B734" s="19" t="inlineStr">
        <is>
          <t>International Movies</t>
        </is>
      </c>
      <c r="C734" s="19">
        <f>IFERROR(INDEX(tblNetflix[type],MATCH($A734,tblNetflix[show_id],0)),"")</f>
        <v/>
      </c>
      <c r="D734" s="19">
        <f>IFERROR(INDEX(tblNetflix[rating],MATCH($A734,tblNetflix[show_id],0)),"")</f>
        <v/>
      </c>
      <c r="E734" s="19">
        <f>IFERROR(INDEX(tblNetflix[year_added],MATCH($A734,tblNetflix[show_id],0)),"")</f>
        <v/>
      </c>
      <c r="F734" s="19">
        <f>IF(AND(OR(YearFilter="All",$E734=YearFilter),OR(RatingFilter="All",$D734=RatingFilter),OR(TypeFilter="All",$C734=TypeFilter)),1,0)</f>
        <v/>
      </c>
    </row>
    <row r="735" ht="15" customHeight="1" s="20">
      <c r="A735" s="19" t="inlineStr">
        <is>
          <t>s2897</t>
        </is>
      </c>
      <c r="B735" s="19" t="inlineStr">
        <is>
          <t>Thrillers</t>
        </is>
      </c>
      <c r="C735" s="19">
        <f>IFERROR(INDEX(tblNetflix[type],MATCH($A735,tblNetflix[show_id],0)),"")</f>
        <v/>
      </c>
      <c r="D735" s="19">
        <f>IFERROR(INDEX(tblNetflix[rating],MATCH($A735,tblNetflix[show_id],0)),"")</f>
        <v/>
      </c>
      <c r="E735" s="19">
        <f>IFERROR(INDEX(tblNetflix[year_added],MATCH($A735,tblNetflix[show_id],0)),"")</f>
        <v/>
      </c>
      <c r="F735" s="19">
        <f>IF(AND(OR(YearFilter="All",$E735=YearFilter),OR(RatingFilter="All",$D735=RatingFilter),OR(TypeFilter="All",$C735=TypeFilter)),1,0)</f>
        <v/>
      </c>
    </row>
    <row r="736" ht="15" customHeight="1" s="20">
      <c r="A736" s="19" t="inlineStr">
        <is>
          <t>s2899</t>
        </is>
      </c>
      <c r="B736" s="19" t="inlineStr">
        <is>
          <t>Dramas</t>
        </is>
      </c>
      <c r="C736" s="19">
        <f>IFERROR(INDEX(tblNetflix[type],MATCH($A736,tblNetflix[show_id],0)),"")</f>
        <v/>
      </c>
      <c r="D736" s="19">
        <f>IFERROR(INDEX(tblNetflix[rating],MATCH($A736,tblNetflix[show_id],0)),"")</f>
        <v/>
      </c>
      <c r="E736" s="19">
        <f>IFERROR(INDEX(tblNetflix[year_added],MATCH($A736,tblNetflix[show_id],0)),"")</f>
        <v/>
      </c>
      <c r="F736" s="19">
        <f>IF(AND(OR(YearFilter="All",$E736=YearFilter),OR(RatingFilter="All",$D736=RatingFilter),OR(TypeFilter="All",$C736=TypeFilter)),1,0)</f>
        <v/>
      </c>
    </row>
    <row r="737" ht="15" customHeight="1" s="20">
      <c r="A737" s="19" t="inlineStr">
        <is>
          <t>s2899</t>
        </is>
      </c>
      <c r="B737" s="19" t="inlineStr">
        <is>
          <t>International Movies</t>
        </is>
      </c>
      <c r="C737" s="19">
        <f>IFERROR(INDEX(tblNetflix[type],MATCH($A737,tblNetflix[show_id],0)),"")</f>
        <v/>
      </c>
      <c r="D737" s="19">
        <f>IFERROR(INDEX(tblNetflix[rating],MATCH($A737,tblNetflix[show_id],0)),"")</f>
        <v/>
      </c>
      <c r="E737" s="19">
        <f>IFERROR(INDEX(tblNetflix[year_added],MATCH($A737,tblNetflix[show_id],0)),"")</f>
        <v/>
      </c>
      <c r="F737" s="19">
        <f>IF(AND(OR(YearFilter="All",$E737=YearFilter),OR(RatingFilter="All",$D737=RatingFilter),OR(TypeFilter="All",$C737=TypeFilter)),1,0)</f>
        <v/>
      </c>
    </row>
    <row r="738" ht="15" customHeight="1" s="20">
      <c r="A738" s="19" t="inlineStr">
        <is>
          <t>s2917</t>
        </is>
      </c>
      <c r="B738" s="19" t="inlineStr">
        <is>
          <t>Dramas</t>
        </is>
      </c>
      <c r="C738" s="19">
        <f>IFERROR(INDEX(tblNetflix[type],MATCH($A738,tblNetflix[show_id],0)),"")</f>
        <v/>
      </c>
      <c r="D738" s="19">
        <f>IFERROR(INDEX(tblNetflix[rating],MATCH($A738,tblNetflix[show_id],0)),"")</f>
        <v/>
      </c>
      <c r="E738" s="19">
        <f>IFERROR(INDEX(tblNetflix[year_added],MATCH($A738,tblNetflix[show_id],0)),"")</f>
        <v/>
      </c>
      <c r="F738" s="19">
        <f>IF(AND(OR(YearFilter="All",$E738=YearFilter),OR(RatingFilter="All",$D738=RatingFilter),OR(TypeFilter="All",$C738=TypeFilter)),1,0)</f>
        <v/>
      </c>
    </row>
    <row r="739" ht="15" customHeight="1" s="20">
      <c r="A739" s="19" t="inlineStr">
        <is>
          <t>s2917</t>
        </is>
      </c>
      <c r="B739" s="19" t="inlineStr">
        <is>
          <t>International Movies</t>
        </is>
      </c>
      <c r="C739" s="19">
        <f>IFERROR(INDEX(tblNetflix[type],MATCH($A739,tblNetflix[show_id],0)),"")</f>
        <v/>
      </c>
      <c r="D739" s="19">
        <f>IFERROR(INDEX(tblNetflix[rating],MATCH($A739,tblNetflix[show_id],0)),"")</f>
        <v/>
      </c>
      <c r="E739" s="19">
        <f>IFERROR(INDEX(tblNetflix[year_added],MATCH($A739,tblNetflix[show_id],0)),"")</f>
        <v/>
      </c>
      <c r="F739" s="19">
        <f>IF(AND(OR(YearFilter="All",$E739=YearFilter),OR(RatingFilter="All",$D739=RatingFilter),OR(TypeFilter="All",$C739=TypeFilter)),1,0)</f>
        <v/>
      </c>
    </row>
    <row r="740" ht="15" customHeight="1" s="20">
      <c r="A740" s="19" t="inlineStr">
        <is>
          <t>s2917</t>
        </is>
      </c>
      <c r="B740" s="19" t="inlineStr">
        <is>
          <t>Romantic Movies</t>
        </is>
      </c>
      <c r="C740" s="19">
        <f>IFERROR(INDEX(tblNetflix[type],MATCH($A740,tblNetflix[show_id],0)),"")</f>
        <v/>
      </c>
      <c r="D740" s="19">
        <f>IFERROR(INDEX(tblNetflix[rating],MATCH($A740,tblNetflix[show_id],0)),"")</f>
        <v/>
      </c>
      <c r="E740" s="19">
        <f>IFERROR(INDEX(tblNetflix[year_added],MATCH($A740,tblNetflix[show_id],0)),"")</f>
        <v/>
      </c>
      <c r="F740" s="19">
        <f>IF(AND(OR(YearFilter="All",$E740=YearFilter),OR(RatingFilter="All",$D740=RatingFilter),OR(TypeFilter="All",$C740=TypeFilter)),1,0)</f>
        <v/>
      </c>
    </row>
    <row r="741" ht="15" customHeight="1" s="20">
      <c r="A741" s="19" t="inlineStr">
        <is>
          <t>s2918</t>
        </is>
      </c>
      <c r="B741" s="19" t="inlineStr">
        <is>
          <t>International TV Shows</t>
        </is>
      </c>
      <c r="C741" s="19">
        <f>IFERROR(INDEX(tblNetflix[type],MATCH($A741,tblNetflix[show_id],0)),"")</f>
        <v/>
      </c>
      <c r="D741" s="19">
        <f>IFERROR(INDEX(tblNetflix[rating],MATCH($A741,tblNetflix[show_id],0)),"")</f>
        <v/>
      </c>
      <c r="E741" s="19">
        <f>IFERROR(INDEX(tblNetflix[year_added],MATCH($A741,tblNetflix[show_id],0)),"")</f>
        <v/>
      </c>
      <c r="F741" s="19">
        <f>IF(AND(OR(YearFilter="All",$E741=YearFilter),OR(RatingFilter="All",$D741=RatingFilter),OR(TypeFilter="All",$C741=TypeFilter)),1,0)</f>
        <v/>
      </c>
    </row>
    <row r="742" ht="15" customHeight="1" s="20">
      <c r="A742" s="19" t="inlineStr">
        <is>
          <t>s2918</t>
        </is>
      </c>
      <c r="B742" s="19" t="inlineStr">
        <is>
          <t>Romantic TV Shows</t>
        </is>
      </c>
      <c r="C742" s="19">
        <f>IFERROR(INDEX(tblNetflix[type],MATCH($A742,tblNetflix[show_id],0)),"")</f>
        <v/>
      </c>
      <c r="D742" s="19">
        <f>IFERROR(INDEX(tblNetflix[rating],MATCH($A742,tblNetflix[show_id],0)),"")</f>
        <v/>
      </c>
      <c r="E742" s="19">
        <f>IFERROR(INDEX(tblNetflix[year_added],MATCH($A742,tblNetflix[show_id],0)),"")</f>
        <v/>
      </c>
      <c r="F742" s="19">
        <f>IF(AND(OR(YearFilter="All",$E742=YearFilter),OR(RatingFilter="All",$D742=RatingFilter),OR(TypeFilter="All",$C742=TypeFilter)),1,0)</f>
        <v/>
      </c>
    </row>
    <row r="743" ht="15" customHeight="1" s="20">
      <c r="A743" s="19" t="inlineStr">
        <is>
          <t>s2918</t>
        </is>
      </c>
      <c r="B743" s="19" t="inlineStr">
        <is>
          <t>TV Comedies</t>
        </is>
      </c>
      <c r="C743" s="19">
        <f>IFERROR(INDEX(tblNetflix[type],MATCH($A743,tblNetflix[show_id],0)),"")</f>
        <v/>
      </c>
      <c r="D743" s="19">
        <f>IFERROR(INDEX(tblNetflix[rating],MATCH($A743,tblNetflix[show_id],0)),"")</f>
        <v/>
      </c>
      <c r="E743" s="19">
        <f>IFERROR(INDEX(tblNetflix[year_added],MATCH($A743,tblNetflix[show_id],0)),"")</f>
        <v/>
      </c>
      <c r="F743" s="19">
        <f>IF(AND(OR(YearFilter="All",$E743=YearFilter),OR(RatingFilter="All",$D743=RatingFilter),OR(TypeFilter="All",$C743=TypeFilter)),1,0)</f>
        <v/>
      </c>
    </row>
    <row r="744" ht="15" customHeight="1" s="20">
      <c r="A744" s="19" t="inlineStr">
        <is>
          <t>s2936</t>
        </is>
      </c>
      <c r="B744" s="19" t="inlineStr">
        <is>
          <t>Comedies</t>
        </is>
      </c>
      <c r="C744" s="19">
        <f>IFERROR(INDEX(tblNetflix[type],MATCH($A744,tblNetflix[show_id],0)),"")</f>
        <v/>
      </c>
      <c r="D744" s="19">
        <f>IFERROR(INDEX(tblNetflix[rating],MATCH($A744,tblNetflix[show_id],0)),"")</f>
        <v/>
      </c>
      <c r="E744" s="19">
        <f>IFERROR(INDEX(tblNetflix[year_added],MATCH($A744,tblNetflix[show_id],0)),"")</f>
        <v/>
      </c>
      <c r="F744" s="19">
        <f>IF(AND(OR(YearFilter="All",$E744=YearFilter),OR(RatingFilter="All",$D744=RatingFilter),OR(TypeFilter="All",$C744=TypeFilter)),1,0)</f>
        <v/>
      </c>
    </row>
    <row r="745" ht="15" customHeight="1" s="20">
      <c r="A745" s="19" t="inlineStr">
        <is>
          <t>s2936</t>
        </is>
      </c>
      <c r="B745" s="19" t="inlineStr">
        <is>
          <t>Dramas</t>
        </is>
      </c>
      <c r="C745" s="19">
        <f>IFERROR(INDEX(tblNetflix[type],MATCH($A745,tblNetflix[show_id],0)),"")</f>
        <v/>
      </c>
      <c r="D745" s="19">
        <f>IFERROR(INDEX(tblNetflix[rating],MATCH($A745,tblNetflix[show_id],0)),"")</f>
        <v/>
      </c>
      <c r="E745" s="19">
        <f>IFERROR(INDEX(tblNetflix[year_added],MATCH($A745,tblNetflix[show_id],0)),"")</f>
        <v/>
      </c>
      <c r="F745" s="19">
        <f>IF(AND(OR(YearFilter="All",$E745=YearFilter),OR(RatingFilter="All",$D745=RatingFilter),OR(TypeFilter="All",$C745=TypeFilter)),1,0)</f>
        <v/>
      </c>
    </row>
    <row r="746" ht="15" customHeight="1" s="20">
      <c r="A746" s="19" t="inlineStr">
        <is>
          <t>s2936</t>
        </is>
      </c>
      <c r="B746" s="19" t="inlineStr">
        <is>
          <t>International Movies</t>
        </is>
      </c>
      <c r="C746" s="19">
        <f>IFERROR(INDEX(tblNetflix[type],MATCH($A746,tblNetflix[show_id],0)),"")</f>
        <v/>
      </c>
      <c r="D746" s="19">
        <f>IFERROR(INDEX(tblNetflix[rating],MATCH($A746,tblNetflix[show_id],0)),"")</f>
        <v/>
      </c>
      <c r="E746" s="19">
        <f>IFERROR(INDEX(tblNetflix[year_added],MATCH($A746,tblNetflix[show_id],0)),"")</f>
        <v/>
      </c>
      <c r="F746" s="19">
        <f>IF(AND(OR(YearFilter="All",$E746=YearFilter),OR(RatingFilter="All",$D746=RatingFilter),OR(TypeFilter="All",$C746=TypeFilter)),1,0)</f>
        <v/>
      </c>
    </row>
    <row r="747" ht="15" customHeight="1" s="20">
      <c r="A747" s="19" t="inlineStr">
        <is>
          <t>s2941</t>
        </is>
      </c>
      <c r="B747" s="19" t="inlineStr">
        <is>
          <t>Dramas</t>
        </is>
      </c>
      <c r="C747" s="19">
        <f>IFERROR(INDEX(tblNetflix[type],MATCH($A747,tblNetflix[show_id],0)),"")</f>
        <v/>
      </c>
      <c r="D747" s="19">
        <f>IFERROR(INDEX(tblNetflix[rating],MATCH($A747,tblNetflix[show_id],0)),"")</f>
        <v/>
      </c>
      <c r="E747" s="19">
        <f>IFERROR(INDEX(tblNetflix[year_added],MATCH($A747,tblNetflix[show_id],0)),"")</f>
        <v/>
      </c>
      <c r="F747" s="19">
        <f>IF(AND(OR(YearFilter="All",$E747=YearFilter),OR(RatingFilter="All",$D747=RatingFilter),OR(TypeFilter="All",$C747=TypeFilter)),1,0)</f>
        <v/>
      </c>
    </row>
    <row r="748" ht="15" customHeight="1" s="20">
      <c r="A748" s="19" t="inlineStr">
        <is>
          <t>s2941</t>
        </is>
      </c>
      <c r="B748" s="19" t="inlineStr">
        <is>
          <t>International Movies</t>
        </is>
      </c>
      <c r="C748" s="19">
        <f>IFERROR(INDEX(tblNetflix[type],MATCH($A748,tblNetflix[show_id],0)),"")</f>
        <v/>
      </c>
      <c r="D748" s="19">
        <f>IFERROR(INDEX(tblNetflix[rating],MATCH($A748,tblNetflix[show_id],0)),"")</f>
        <v/>
      </c>
      <c r="E748" s="19">
        <f>IFERROR(INDEX(tblNetflix[year_added],MATCH($A748,tblNetflix[show_id],0)),"")</f>
        <v/>
      </c>
      <c r="F748" s="19">
        <f>IF(AND(OR(YearFilter="All",$E748=YearFilter),OR(RatingFilter="All",$D748=RatingFilter),OR(TypeFilter="All",$C748=TypeFilter)),1,0)</f>
        <v/>
      </c>
    </row>
    <row r="749" ht="15" customHeight="1" s="20">
      <c r="A749" s="19" t="inlineStr">
        <is>
          <t>s2941</t>
        </is>
      </c>
      <c r="B749" s="19" t="inlineStr">
        <is>
          <t>Sports Movies</t>
        </is>
      </c>
      <c r="C749" s="19">
        <f>IFERROR(INDEX(tblNetflix[type],MATCH($A749,tblNetflix[show_id],0)),"")</f>
        <v/>
      </c>
      <c r="D749" s="19">
        <f>IFERROR(INDEX(tblNetflix[rating],MATCH($A749,tblNetflix[show_id],0)),"")</f>
        <v/>
      </c>
      <c r="E749" s="19">
        <f>IFERROR(INDEX(tblNetflix[year_added],MATCH($A749,tblNetflix[show_id],0)),"")</f>
        <v/>
      </c>
      <c r="F749" s="19">
        <f>IF(AND(OR(YearFilter="All",$E749=YearFilter),OR(RatingFilter="All",$D749=RatingFilter),OR(TypeFilter="All",$C749=TypeFilter)),1,0)</f>
        <v/>
      </c>
    </row>
    <row r="750" ht="15" customHeight="1" s="20">
      <c r="A750" s="19" t="inlineStr">
        <is>
          <t>s2955</t>
        </is>
      </c>
      <c r="B750" s="19" t="inlineStr">
        <is>
          <t>International Movies</t>
        </is>
      </c>
      <c r="C750" s="19">
        <f>IFERROR(INDEX(tblNetflix[type],MATCH($A750,tblNetflix[show_id],0)),"")</f>
        <v/>
      </c>
      <c r="D750" s="19">
        <f>IFERROR(INDEX(tblNetflix[rating],MATCH($A750,tblNetflix[show_id],0)),"")</f>
        <v/>
      </c>
      <c r="E750" s="19">
        <f>IFERROR(INDEX(tblNetflix[year_added],MATCH($A750,tblNetflix[show_id],0)),"")</f>
        <v/>
      </c>
      <c r="F750" s="19">
        <f>IF(AND(OR(YearFilter="All",$E750=YearFilter),OR(RatingFilter="All",$D750=RatingFilter),OR(TypeFilter="All",$C750=TypeFilter)),1,0)</f>
        <v/>
      </c>
    </row>
    <row r="751" ht="15" customHeight="1" s="20">
      <c r="A751" s="19" t="inlineStr">
        <is>
          <t>s2955</t>
        </is>
      </c>
      <c r="B751" s="19" t="inlineStr">
        <is>
          <t>Thrillers</t>
        </is>
      </c>
      <c r="C751" s="19">
        <f>IFERROR(INDEX(tblNetflix[type],MATCH($A751,tblNetflix[show_id],0)),"")</f>
        <v/>
      </c>
      <c r="D751" s="19">
        <f>IFERROR(INDEX(tblNetflix[rating],MATCH($A751,tblNetflix[show_id],0)),"")</f>
        <v/>
      </c>
      <c r="E751" s="19">
        <f>IFERROR(INDEX(tblNetflix[year_added],MATCH($A751,tblNetflix[show_id],0)),"")</f>
        <v/>
      </c>
      <c r="F751" s="19">
        <f>IF(AND(OR(YearFilter="All",$E751=YearFilter),OR(RatingFilter="All",$D751=RatingFilter),OR(TypeFilter="All",$C751=TypeFilter)),1,0)</f>
        <v/>
      </c>
    </row>
    <row r="752" ht="15" customHeight="1" s="20">
      <c r="A752" s="19" t="inlineStr">
        <is>
          <t>s2958</t>
        </is>
      </c>
      <c r="B752" s="19" t="inlineStr">
        <is>
          <t>Classic Movies</t>
        </is>
      </c>
      <c r="C752" s="19">
        <f>IFERROR(INDEX(tblNetflix[type],MATCH($A752,tblNetflix[show_id],0)),"")</f>
        <v/>
      </c>
      <c r="D752" s="19">
        <f>IFERROR(INDEX(tblNetflix[rating],MATCH($A752,tblNetflix[show_id],0)),"")</f>
        <v/>
      </c>
      <c r="E752" s="19">
        <f>IFERROR(INDEX(tblNetflix[year_added],MATCH($A752,tblNetflix[show_id],0)),"")</f>
        <v/>
      </c>
      <c r="F752" s="19">
        <f>IF(AND(OR(YearFilter="All",$E752=YearFilter),OR(RatingFilter="All",$D752=RatingFilter),OR(TypeFilter="All",$C752=TypeFilter)),1,0)</f>
        <v/>
      </c>
    </row>
    <row r="753" ht="15" customHeight="1" s="20">
      <c r="A753" s="19" t="inlineStr">
        <is>
          <t>s2958</t>
        </is>
      </c>
      <c r="B753" s="19" t="inlineStr">
        <is>
          <t>Dramas</t>
        </is>
      </c>
      <c r="C753" s="19">
        <f>IFERROR(INDEX(tblNetflix[type],MATCH($A753,tblNetflix[show_id],0)),"")</f>
        <v/>
      </c>
      <c r="D753" s="19">
        <f>IFERROR(INDEX(tblNetflix[rating],MATCH($A753,tblNetflix[show_id],0)),"")</f>
        <v/>
      </c>
      <c r="E753" s="19">
        <f>IFERROR(INDEX(tblNetflix[year_added],MATCH($A753,tblNetflix[show_id],0)),"")</f>
        <v/>
      </c>
      <c r="F753" s="19">
        <f>IF(AND(OR(YearFilter="All",$E753=YearFilter),OR(RatingFilter="All",$D753=RatingFilter),OR(TypeFilter="All",$C753=TypeFilter)),1,0)</f>
        <v/>
      </c>
    </row>
    <row r="754" ht="15" customHeight="1" s="20">
      <c r="A754" s="19" t="inlineStr">
        <is>
          <t>s2958</t>
        </is>
      </c>
      <c r="B754" s="19" t="inlineStr">
        <is>
          <t>International Movies</t>
        </is>
      </c>
      <c r="C754" s="19">
        <f>IFERROR(INDEX(tblNetflix[type],MATCH($A754,tblNetflix[show_id],0)),"")</f>
        <v/>
      </c>
      <c r="D754" s="19">
        <f>IFERROR(INDEX(tblNetflix[rating],MATCH($A754,tblNetflix[show_id],0)),"")</f>
        <v/>
      </c>
      <c r="E754" s="19">
        <f>IFERROR(INDEX(tblNetflix[year_added],MATCH($A754,tblNetflix[show_id],0)),"")</f>
        <v/>
      </c>
      <c r="F754" s="19">
        <f>IF(AND(OR(YearFilter="All",$E754=YearFilter),OR(RatingFilter="All",$D754=RatingFilter),OR(TypeFilter="All",$C754=TypeFilter)),1,0)</f>
        <v/>
      </c>
    </row>
    <row r="755" ht="15" customHeight="1" s="20">
      <c r="A755" s="19" t="inlineStr">
        <is>
          <t>s2970</t>
        </is>
      </c>
      <c r="B755" s="19" t="inlineStr">
        <is>
          <t>Dramas</t>
        </is>
      </c>
      <c r="C755" s="19">
        <f>IFERROR(INDEX(tblNetflix[type],MATCH($A755,tblNetflix[show_id],0)),"")</f>
        <v/>
      </c>
      <c r="D755" s="19">
        <f>IFERROR(INDEX(tblNetflix[rating],MATCH($A755,tblNetflix[show_id],0)),"")</f>
        <v/>
      </c>
      <c r="E755" s="19">
        <f>IFERROR(INDEX(tblNetflix[year_added],MATCH($A755,tblNetflix[show_id],0)),"")</f>
        <v/>
      </c>
      <c r="F755" s="19">
        <f>IF(AND(OR(YearFilter="All",$E755=YearFilter),OR(RatingFilter="All",$D755=RatingFilter),OR(TypeFilter="All",$C755=TypeFilter)),1,0)</f>
        <v/>
      </c>
    </row>
    <row r="756" ht="15" customHeight="1" s="20">
      <c r="A756" s="19" t="inlineStr">
        <is>
          <t>s2970</t>
        </is>
      </c>
      <c r="B756" s="19" t="inlineStr">
        <is>
          <t>International Movies</t>
        </is>
      </c>
      <c r="C756" s="19">
        <f>IFERROR(INDEX(tblNetflix[type],MATCH($A756,tblNetflix[show_id],0)),"")</f>
        <v/>
      </c>
      <c r="D756" s="19">
        <f>IFERROR(INDEX(tblNetflix[rating],MATCH($A756,tblNetflix[show_id],0)),"")</f>
        <v/>
      </c>
      <c r="E756" s="19">
        <f>IFERROR(INDEX(tblNetflix[year_added],MATCH($A756,tblNetflix[show_id],0)),"")</f>
        <v/>
      </c>
      <c r="F756" s="19">
        <f>IF(AND(OR(YearFilter="All",$E756=YearFilter),OR(RatingFilter="All",$D756=RatingFilter),OR(TypeFilter="All",$C756=TypeFilter)),1,0)</f>
        <v/>
      </c>
    </row>
    <row r="757" ht="15" customHeight="1" s="20">
      <c r="A757" s="19" t="inlineStr">
        <is>
          <t>s2970</t>
        </is>
      </c>
      <c r="B757" s="19" t="inlineStr">
        <is>
          <t>Music &amp; Musicals</t>
        </is>
      </c>
      <c r="C757" s="19">
        <f>IFERROR(INDEX(tblNetflix[type],MATCH($A757,tblNetflix[show_id],0)),"")</f>
        <v/>
      </c>
      <c r="D757" s="19">
        <f>IFERROR(INDEX(tblNetflix[rating],MATCH($A757,tblNetflix[show_id],0)),"")</f>
        <v/>
      </c>
      <c r="E757" s="19">
        <f>IFERROR(INDEX(tblNetflix[year_added],MATCH($A757,tblNetflix[show_id],0)),"")</f>
        <v/>
      </c>
      <c r="F757" s="19">
        <f>IF(AND(OR(YearFilter="All",$E757=YearFilter),OR(RatingFilter="All",$D757=RatingFilter),OR(TypeFilter="All",$C757=TypeFilter)),1,0)</f>
        <v/>
      </c>
    </row>
    <row r="758" ht="15" customHeight="1" s="20">
      <c r="A758" s="19" t="inlineStr">
        <is>
          <t>s2986</t>
        </is>
      </c>
      <c r="B758" s="19" t="inlineStr">
        <is>
          <t>Comedies</t>
        </is>
      </c>
      <c r="C758" s="19">
        <f>IFERROR(INDEX(tblNetflix[type],MATCH($A758,tblNetflix[show_id],0)),"")</f>
        <v/>
      </c>
      <c r="D758" s="19">
        <f>IFERROR(INDEX(tblNetflix[rating],MATCH($A758,tblNetflix[show_id],0)),"")</f>
        <v/>
      </c>
      <c r="E758" s="19">
        <f>IFERROR(INDEX(tblNetflix[year_added],MATCH($A758,tblNetflix[show_id],0)),"")</f>
        <v/>
      </c>
      <c r="F758" s="19">
        <f>IF(AND(OR(YearFilter="All",$E758=YearFilter),OR(RatingFilter="All",$D758=RatingFilter),OR(TypeFilter="All",$C758=TypeFilter)),1,0)</f>
        <v/>
      </c>
    </row>
    <row r="759" ht="15" customHeight="1" s="20">
      <c r="A759" s="19" t="inlineStr">
        <is>
          <t>s2986</t>
        </is>
      </c>
      <c r="B759" s="19" t="inlineStr">
        <is>
          <t>International Movies</t>
        </is>
      </c>
      <c r="C759" s="19">
        <f>IFERROR(INDEX(tblNetflix[type],MATCH($A759,tblNetflix[show_id],0)),"")</f>
        <v/>
      </c>
      <c r="D759" s="19">
        <f>IFERROR(INDEX(tblNetflix[rating],MATCH($A759,tblNetflix[show_id],0)),"")</f>
        <v/>
      </c>
      <c r="E759" s="19">
        <f>IFERROR(INDEX(tblNetflix[year_added],MATCH($A759,tblNetflix[show_id],0)),"")</f>
        <v/>
      </c>
      <c r="F759" s="19">
        <f>IF(AND(OR(YearFilter="All",$E759=YearFilter),OR(RatingFilter="All",$D759=RatingFilter),OR(TypeFilter="All",$C759=TypeFilter)),1,0)</f>
        <v/>
      </c>
    </row>
    <row r="760" ht="15" customHeight="1" s="20">
      <c r="A760" s="19" t="inlineStr">
        <is>
          <t>s2986</t>
        </is>
      </c>
      <c r="B760" s="19" t="inlineStr">
        <is>
          <t>Romantic Movies</t>
        </is>
      </c>
      <c r="C760" s="19">
        <f>IFERROR(INDEX(tblNetflix[type],MATCH($A760,tblNetflix[show_id],0)),"")</f>
        <v/>
      </c>
      <c r="D760" s="19">
        <f>IFERROR(INDEX(tblNetflix[rating],MATCH($A760,tblNetflix[show_id],0)),"")</f>
        <v/>
      </c>
      <c r="E760" s="19">
        <f>IFERROR(INDEX(tblNetflix[year_added],MATCH($A760,tblNetflix[show_id],0)),"")</f>
        <v/>
      </c>
      <c r="F760" s="19">
        <f>IF(AND(OR(YearFilter="All",$E760=YearFilter),OR(RatingFilter="All",$D760=RatingFilter),OR(TypeFilter="All",$C760=TypeFilter)),1,0)</f>
        <v/>
      </c>
    </row>
    <row r="761" ht="15" customHeight="1" s="20">
      <c r="A761" s="19" t="inlineStr">
        <is>
          <t>s2987</t>
        </is>
      </c>
      <c r="B761" s="19" t="inlineStr">
        <is>
          <t>Comedies</t>
        </is>
      </c>
      <c r="C761" s="19">
        <f>IFERROR(INDEX(tblNetflix[type],MATCH($A761,tblNetflix[show_id],0)),"")</f>
        <v/>
      </c>
      <c r="D761" s="19">
        <f>IFERROR(INDEX(tblNetflix[rating],MATCH($A761,tblNetflix[show_id],0)),"")</f>
        <v/>
      </c>
      <c r="E761" s="19">
        <f>IFERROR(INDEX(tblNetflix[year_added],MATCH($A761,tblNetflix[show_id],0)),"")</f>
        <v/>
      </c>
      <c r="F761" s="19">
        <f>IF(AND(OR(YearFilter="All",$E761=YearFilter),OR(RatingFilter="All",$D761=RatingFilter),OR(TypeFilter="All",$C761=TypeFilter)),1,0)</f>
        <v/>
      </c>
    </row>
    <row r="762" ht="15" customHeight="1" s="20">
      <c r="A762" s="19" t="inlineStr">
        <is>
          <t>s2987</t>
        </is>
      </c>
      <c r="B762" s="19" t="inlineStr">
        <is>
          <t>Dramas</t>
        </is>
      </c>
      <c r="C762" s="19">
        <f>IFERROR(INDEX(tblNetflix[type],MATCH($A762,tblNetflix[show_id],0)),"")</f>
        <v/>
      </c>
      <c r="D762" s="19">
        <f>IFERROR(INDEX(tblNetflix[rating],MATCH($A762,tblNetflix[show_id],0)),"")</f>
        <v/>
      </c>
      <c r="E762" s="19">
        <f>IFERROR(INDEX(tblNetflix[year_added],MATCH($A762,tblNetflix[show_id],0)),"")</f>
        <v/>
      </c>
      <c r="F762" s="19">
        <f>IF(AND(OR(YearFilter="All",$E762=YearFilter),OR(RatingFilter="All",$D762=RatingFilter),OR(TypeFilter="All",$C762=TypeFilter)),1,0)</f>
        <v/>
      </c>
    </row>
    <row r="763" ht="15" customHeight="1" s="20">
      <c r="A763" s="19" t="inlineStr">
        <is>
          <t>s2987</t>
        </is>
      </c>
      <c r="B763" s="19" t="inlineStr">
        <is>
          <t>Independent Movies</t>
        </is>
      </c>
      <c r="C763" s="19">
        <f>IFERROR(INDEX(tblNetflix[type],MATCH($A763,tblNetflix[show_id],0)),"")</f>
        <v/>
      </c>
      <c r="D763" s="19">
        <f>IFERROR(INDEX(tblNetflix[rating],MATCH($A763,tblNetflix[show_id],0)),"")</f>
        <v/>
      </c>
      <c r="E763" s="19">
        <f>IFERROR(INDEX(tblNetflix[year_added],MATCH($A763,tblNetflix[show_id],0)),"")</f>
        <v/>
      </c>
      <c r="F763" s="19">
        <f>IF(AND(OR(YearFilter="All",$E763=YearFilter),OR(RatingFilter="All",$D763=RatingFilter),OR(TypeFilter="All",$C763=TypeFilter)),1,0)</f>
        <v/>
      </c>
    </row>
    <row r="764" ht="15" customHeight="1" s="20">
      <c r="A764" s="19" t="inlineStr">
        <is>
          <t>s2988</t>
        </is>
      </c>
      <c r="B764" s="19" t="inlineStr">
        <is>
          <t>Stand-Up Comedy</t>
        </is>
      </c>
      <c r="C764" s="19">
        <f>IFERROR(INDEX(tblNetflix[type],MATCH($A764,tblNetflix[show_id],0)),"")</f>
        <v/>
      </c>
      <c r="D764" s="19">
        <f>IFERROR(INDEX(tblNetflix[rating],MATCH($A764,tblNetflix[show_id],0)),"")</f>
        <v/>
      </c>
      <c r="E764" s="19">
        <f>IFERROR(INDEX(tblNetflix[year_added],MATCH($A764,tblNetflix[show_id],0)),"")</f>
        <v/>
      </c>
      <c r="F764" s="19">
        <f>IF(AND(OR(YearFilter="All",$E764=YearFilter),OR(RatingFilter="All",$D764=RatingFilter),OR(TypeFilter="All",$C764=TypeFilter)),1,0)</f>
        <v/>
      </c>
    </row>
    <row r="765" ht="15" customHeight="1" s="20">
      <c r="A765" s="19" t="inlineStr">
        <is>
          <t>s3005</t>
        </is>
      </c>
      <c r="B765" s="19" t="inlineStr">
        <is>
          <t>Comedies</t>
        </is>
      </c>
      <c r="C765" s="19">
        <f>IFERROR(INDEX(tblNetflix[type],MATCH($A765,tblNetflix[show_id],0)),"")</f>
        <v/>
      </c>
      <c r="D765" s="19">
        <f>IFERROR(INDEX(tblNetflix[rating],MATCH($A765,tblNetflix[show_id],0)),"")</f>
        <v/>
      </c>
      <c r="E765" s="19">
        <f>IFERROR(INDEX(tblNetflix[year_added],MATCH($A765,tblNetflix[show_id],0)),"")</f>
        <v/>
      </c>
      <c r="F765" s="19">
        <f>IF(AND(OR(YearFilter="All",$E765=YearFilter),OR(RatingFilter="All",$D765=RatingFilter),OR(TypeFilter="All",$C765=TypeFilter)),1,0)</f>
        <v/>
      </c>
    </row>
    <row r="766" ht="15" customHeight="1" s="20">
      <c r="A766" s="19" t="inlineStr">
        <is>
          <t>s3005</t>
        </is>
      </c>
      <c r="B766" s="19" t="inlineStr">
        <is>
          <t>Dramas</t>
        </is>
      </c>
      <c r="C766" s="19">
        <f>IFERROR(INDEX(tblNetflix[type],MATCH($A766,tblNetflix[show_id],0)),"")</f>
        <v/>
      </c>
      <c r="D766" s="19">
        <f>IFERROR(INDEX(tblNetflix[rating],MATCH($A766,tblNetflix[show_id],0)),"")</f>
        <v/>
      </c>
      <c r="E766" s="19">
        <f>IFERROR(INDEX(tblNetflix[year_added],MATCH($A766,tblNetflix[show_id],0)),"")</f>
        <v/>
      </c>
      <c r="F766" s="19">
        <f>IF(AND(OR(YearFilter="All",$E766=YearFilter),OR(RatingFilter="All",$D766=RatingFilter),OR(TypeFilter="All",$C766=TypeFilter)),1,0)</f>
        <v/>
      </c>
    </row>
    <row r="767" ht="15" customHeight="1" s="20">
      <c r="A767" s="19" t="inlineStr">
        <is>
          <t>s3005</t>
        </is>
      </c>
      <c r="B767" s="19" t="inlineStr">
        <is>
          <t>Independent Movies</t>
        </is>
      </c>
      <c r="C767" s="19">
        <f>IFERROR(INDEX(tblNetflix[type],MATCH($A767,tblNetflix[show_id],0)),"")</f>
        <v/>
      </c>
      <c r="D767" s="19">
        <f>IFERROR(INDEX(tblNetflix[rating],MATCH($A767,tblNetflix[show_id],0)),"")</f>
        <v/>
      </c>
      <c r="E767" s="19">
        <f>IFERROR(INDEX(tblNetflix[year_added],MATCH($A767,tblNetflix[show_id],0)),"")</f>
        <v/>
      </c>
      <c r="F767" s="19">
        <f>IF(AND(OR(YearFilter="All",$E767=YearFilter),OR(RatingFilter="All",$D767=RatingFilter),OR(TypeFilter="All",$C767=TypeFilter)),1,0)</f>
        <v/>
      </c>
    </row>
    <row r="768" ht="15" customHeight="1" s="20">
      <c r="A768" s="19" t="inlineStr">
        <is>
          <t>s3007</t>
        </is>
      </c>
      <c r="B768" s="19" t="inlineStr">
        <is>
          <t>Comedies</t>
        </is>
      </c>
      <c r="C768" s="19">
        <f>IFERROR(INDEX(tblNetflix[type],MATCH($A768,tblNetflix[show_id],0)),"")</f>
        <v/>
      </c>
      <c r="D768" s="19">
        <f>IFERROR(INDEX(tblNetflix[rating],MATCH($A768,tblNetflix[show_id],0)),"")</f>
        <v/>
      </c>
      <c r="E768" s="19">
        <f>IFERROR(INDEX(tblNetflix[year_added],MATCH($A768,tblNetflix[show_id],0)),"")</f>
        <v/>
      </c>
      <c r="F768" s="19">
        <f>IF(AND(OR(YearFilter="All",$E768=YearFilter),OR(RatingFilter="All",$D768=RatingFilter),OR(TypeFilter="All",$C768=TypeFilter)),1,0)</f>
        <v/>
      </c>
    </row>
    <row r="769" ht="15" customHeight="1" s="20">
      <c r="A769" s="19" t="inlineStr">
        <is>
          <t>s3007</t>
        </is>
      </c>
      <c r="B769" s="19" t="inlineStr">
        <is>
          <t>Dramas</t>
        </is>
      </c>
      <c r="C769" s="19">
        <f>IFERROR(INDEX(tblNetflix[type],MATCH($A769,tblNetflix[show_id],0)),"")</f>
        <v/>
      </c>
      <c r="D769" s="19">
        <f>IFERROR(INDEX(tblNetflix[rating],MATCH($A769,tblNetflix[show_id],0)),"")</f>
        <v/>
      </c>
      <c r="E769" s="19">
        <f>IFERROR(INDEX(tblNetflix[year_added],MATCH($A769,tblNetflix[show_id],0)),"")</f>
        <v/>
      </c>
      <c r="F769" s="19">
        <f>IF(AND(OR(YearFilter="All",$E769=YearFilter),OR(RatingFilter="All",$D769=RatingFilter),OR(TypeFilter="All",$C769=TypeFilter)),1,0)</f>
        <v/>
      </c>
    </row>
    <row r="770" ht="15" customHeight="1" s="20">
      <c r="A770" s="19" t="inlineStr">
        <is>
          <t>s3007</t>
        </is>
      </c>
      <c r="B770" s="19" t="inlineStr">
        <is>
          <t>International Movies</t>
        </is>
      </c>
      <c r="C770" s="19">
        <f>IFERROR(INDEX(tblNetflix[type],MATCH($A770,tblNetflix[show_id],0)),"")</f>
        <v/>
      </c>
      <c r="D770" s="19">
        <f>IFERROR(INDEX(tblNetflix[rating],MATCH($A770,tblNetflix[show_id],0)),"")</f>
        <v/>
      </c>
      <c r="E770" s="19">
        <f>IFERROR(INDEX(tblNetflix[year_added],MATCH($A770,tblNetflix[show_id],0)),"")</f>
        <v/>
      </c>
      <c r="F770" s="19">
        <f>IF(AND(OR(YearFilter="All",$E770=YearFilter),OR(RatingFilter="All",$D770=RatingFilter),OR(TypeFilter="All",$C770=TypeFilter)),1,0)</f>
        <v/>
      </c>
    </row>
    <row r="771" ht="15" customHeight="1" s="20">
      <c r="A771" s="19" t="inlineStr">
        <is>
          <t>s3023</t>
        </is>
      </c>
      <c r="B771" s="19" t="inlineStr">
        <is>
          <t>Dramas</t>
        </is>
      </c>
      <c r="C771" s="19">
        <f>IFERROR(INDEX(tblNetflix[type],MATCH($A771,tblNetflix[show_id],0)),"")</f>
        <v/>
      </c>
      <c r="D771" s="19">
        <f>IFERROR(INDEX(tblNetflix[rating],MATCH($A771,tblNetflix[show_id],0)),"")</f>
        <v/>
      </c>
      <c r="E771" s="19">
        <f>IFERROR(INDEX(tblNetflix[year_added],MATCH($A771,tblNetflix[show_id],0)),"")</f>
        <v/>
      </c>
      <c r="F771" s="19">
        <f>IF(AND(OR(YearFilter="All",$E771=YearFilter),OR(RatingFilter="All",$D771=RatingFilter),OR(TypeFilter="All",$C771=TypeFilter)),1,0)</f>
        <v/>
      </c>
    </row>
    <row r="772" ht="15" customHeight="1" s="20">
      <c r="A772" s="19" t="inlineStr">
        <is>
          <t>s3023</t>
        </is>
      </c>
      <c r="B772" s="19" t="inlineStr">
        <is>
          <t>Independent Movies</t>
        </is>
      </c>
      <c r="C772" s="19">
        <f>IFERROR(INDEX(tblNetflix[type],MATCH($A772,tblNetflix[show_id],0)),"")</f>
        <v/>
      </c>
      <c r="D772" s="19">
        <f>IFERROR(INDEX(tblNetflix[rating],MATCH($A772,tblNetflix[show_id],0)),"")</f>
        <v/>
      </c>
      <c r="E772" s="19">
        <f>IFERROR(INDEX(tblNetflix[year_added],MATCH($A772,tblNetflix[show_id],0)),"")</f>
        <v/>
      </c>
      <c r="F772" s="19">
        <f>IF(AND(OR(YearFilter="All",$E772=YearFilter),OR(RatingFilter="All",$D772=RatingFilter),OR(TypeFilter="All",$C772=TypeFilter)),1,0)</f>
        <v/>
      </c>
    </row>
    <row r="773" ht="15" customHeight="1" s="20">
      <c r="A773" s="19" t="inlineStr">
        <is>
          <t>s3023</t>
        </is>
      </c>
      <c r="B773" s="19" t="inlineStr">
        <is>
          <t>International Movies</t>
        </is>
      </c>
      <c r="C773" s="19">
        <f>IFERROR(INDEX(tblNetflix[type],MATCH($A773,tblNetflix[show_id],0)),"")</f>
        <v/>
      </c>
      <c r="D773" s="19">
        <f>IFERROR(INDEX(tblNetflix[rating],MATCH($A773,tblNetflix[show_id],0)),"")</f>
        <v/>
      </c>
      <c r="E773" s="19">
        <f>IFERROR(INDEX(tblNetflix[year_added],MATCH($A773,tblNetflix[show_id],0)),"")</f>
        <v/>
      </c>
      <c r="F773" s="19">
        <f>IF(AND(OR(YearFilter="All",$E773=YearFilter),OR(RatingFilter="All",$D773=RatingFilter),OR(TypeFilter="All",$C773=TypeFilter)),1,0)</f>
        <v/>
      </c>
    </row>
    <row r="774" ht="15" customHeight="1" s="20">
      <c r="A774" s="19" t="inlineStr">
        <is>
          <t>s3033</t>
        </is>
      </c>
      <c r="B774" s="19" t="inlineStr">
        <is>
          <t>Comedies</t>
        </is>
      </c>
      <c r="C774" s="19">
        <f>IFERROR(INDEX(tblNetflix[type],MATCH($A774,tblNetflix[show_id],0)),"")</f>
        <v/>
      </c>
      <c r="D774" s="19">
        <f>IFERROR(INDEX(tblNetflix[rating],MATCH($A774,tblNetflix[show_id],0)),"")</f>
        <v/>
      </c>
      <c r="E774" s="19">
        <f>IFERROR(INDEX(tblNetflix[year_added],MATCH($A774,tblNetflix[show_id],0)),"")</f>
        <v/>
      </c>
      <c r="F774" s="19">
        <f>IF(AND(OR(YearFilter="All",$E774=YearFilter),OR(RatingFilter="All",$D774=RatingFilter),OR(TypeFilter="All",$C774=TypeFilter)),1,0)</f>
        <v/>
      </c>
    </row>
    <row r="775" ht="15" customHeight="1" s="20">
      <c r="A775" s="19" t="inlineStr">
        <is>
          <t>s3033</t>
        </is>
      </c>
      <c r="B775" s="19" t="inlineStr">
        <is>
          <t>Dramas</t>
        </is>
      </c>
      <c r="C775" s="19">
        <f>IFERROR(INDEX(tblNetflix[type],MATCH($A775,tblNetflix[show_id],0)),"")</f>
        <v/>
      </c>
      <c r="D775" s="19">
        <f>IFERROR(INDEX(tblNetflix[rating],MATCH($A775,tblNetflix[show_id],0)),"")</f>
        <v/>
      </c>
      <c r="E775" s="19">
        <f>IFERROR(INDEX(tblNetflix[year_added],MATCH($A775,tblNetflix[show_id],0)),"")</f>
        <v/>
      </c>
      <c r="F775" s="19">
        <f>IF(AND(OR(YearFilter="All",$E775=YearFilter),OR(RatingFilter="All",$D775=RatingFilter),OR(TypeFilter="All",$C775=TypeFilter)),1,0)</f>
        <v/>
      </c>
    </row>
    <row r="776" ht="15" customHeight="1" s="20">
      <c r="A776" s="19" t="inlineStr">
        <is>
          <t>s3033</t>
        </is>
      </c>
      <c r="B776" s="19" t="inlineStr">
        <is>
          <t>International Movies</t>
        </is>
      </c>
      <c r="C776" s="19">
        <f>IFERROR(INDEX(tblNetflix[type],MATCH($A776,tblNetflix[show_id],0)),"")</f>
        <v/>
      </c>
      <c r="D776" s="19">
        <f>IFERROR(INDEX(tblNetflix[rating],MATCH($A776,tblNetflix[show_id],0)),"")</f>
        <v/>
      </c>
      <c r="E776" s="19">
        <f>IFERROR(INDEX(tblNetflix[year_added],MATCH($A776,tblNetflix[show_id],0)),"")</f>
        <v/>
      </c>
      <c r="F776" s="19">
        <f>IF(AND(OR(YearFilter="All",$E776=YearFilter),OR(RatingFilter="All",$D776=RatingFilter),OR(TypeFilter="All",$C776=TypeFilter)),1,0)</f>
        <v/>
      </c>
    </row>
    <row r="777" ht="15" customHeight="1" s="20">
      <c r="A777" s="19" t="inlineStr">
        <is>
          <t>s3037</t>
        </is>
      </c>
      <c r="B777" s="19" t="inlineStr">
        <is>
          <t>Crime TV Shows</t>
        </is>
      </c>
      <c r="C777" s="19">
        <f>IFERROR(INDEX(tblNetflix[type],MATCH($A777,tblNetflix[show_id],0)),"")</f>
        <v/>
      </c>
      <c r="D777" s="19">
        <f>IFERROR(INDEX(tblNetflix[rating],MATCH($A777,tblNetflix[show_id],0)),"")</f>
        <v/>
      </c>
      <c r="E777" s="19">
        <f>IFERROR(INDEX(tblNetflix[year_added],MATCH($A777,tblNetflix[show_id],0)),"")</f>
        <v/>
      </c>
      <c r="F777" s="19">
        <f>IF(AND(OR(YearFilter="All",$E777=YearFilter),OR(RatingFilter="All",$D777=RatingFilter),OR(TypeFilter="All",$C777=TypeFilter)),1,0)</f>
        <v/>
      </c>
    </row>
    <row r="778" ht="15" customHeight="1" s="20">
      <c r="A778" s="19" t="inlineStr">
        <is>
          <t>s3037</t>
        </is>
      </c>
      <c r="B778" s="19" t="inlineStr">
        <is>
          <t>International TV Shows</t>
        </is>
      </c>
      <c r="C778" s="19">
        <f>IFERROR(INDEX(tblNetflix[type],MATCH($A778,tblNetflix[show_id],0)),"")</f>
        <v/>
      </c>
      <c r="D778" s="19">
        <f>IFERROR(INDEX(tblNetflix[rating],MATCH($A778,tblNetflix[show_id],0)),"")</f>
        <v/>
      </c>
      <c r="E778" s="19">
        <f>IFERROR(INDEX(tblNetflix[year_added],MATCH($A778,tblNetflix[show_id],0)),"")</f>
        <v/>
      </c>
      <c r="F778" s="19">
        <f>IF(AND(OR(YearFilter="All",$E778=YearFilter),OR(RatingFilter="All",$D778=RatingFilter),OR(TypeFilter="All",$C778=TypeFilter)),1,0)</f>
        <v/>
      </c>
    </row>
    <row r="779" ht="15" customHeight="1" s="20">
      <c r="A779" s="19" t="inlineStr">
        <is>
          <t>s3037</t>
        </is>
      </c>
      <c r="B779" s="19" t="inlineStr">
        <is>
          <t>TV Dramas</t>
        </is>
      </c>
      <c r="C779" s="19">
        <f>IFERROR(INDEX(tblNetflix[type],MATCH($A779,tblNetflix[show_id],0)),"")</f>
        <v/>
      </c>
      <c r="D779" s="19">
        <f>IFERROR(INDEX(tblNetflix[rating],MATCH($A779,tblNetflix[show_id],0)),"")</f>
        <v/>
      </c>
      <c r="E779" s="19">
        <f>IFERROR(INDEX(tblNetflix[year_added],MATCH($A779,tblNetflix[show_id],0)),"")</f>
        <v/>
      </c>
      <c r="F779" s="19">
        <f>IF(AND(OR(YearFilter="All",$E779=YearFilter),OR(RatingFilter="All",$D779=RatingFilter),OR(TypeFilter="All",$C779=TypeFilter)),1,0)</f>
        <v/>
      </c>
    </row>
    <row r="780" ht="15" customHeight="1" s="20">
      <c r="A780" s="19" t="inlineStr">
        <is>
          <t>s3049</t>
        </is>
      </c>
      <c r="B780" s="19" t="inlineStr">
        <is>
          <t>Dramas</t>
        </is>
      </c>
      <c r="C780" s="19">
        <f>IFERROR(INDEX(tblNetflix[type],MATCH($A780,tblNetflix[show_id],0)),"")</f>
        <v/>
      </c>
      <c r="D780" s="19">
        <f>IFERROR(INDEX(tblNetflix[rating],MATCH($A780,tblNetflix[show_id],0)),"")</f>
        <v/>
      </c>
      <c r="E780" s="19">
        <f>IFERROR(INDEX(tblNetflix[year_added],MATCH($A780,tblNetflix[show_id],0)),"")</f>
        <v/>
      </c>
      <c r="F780" s="19">
        <f>IF(AND(OR(YearFilter="All",$E780=YearFilter),OR(RatingFilter="All",$D780=RatingFilter),OR(TypeFilter="All",$C780=TypeFilter)),1,0)</f>
        <v/>
      </c>
    </row>
    <row r="781" ht="15" customHeight="1" s="20">
      <c r="A781" s="19" t="inlineStr">
        <is>
          <t>s3049</t>
        </is>
      </c>
      <c r="B781" s="19" t="inlineStr">
        <is>
          <t>International Movies</t>
        </is>
      </c>
      <c r="C781" s="19">
        <f>IFERROR(INDEX(tblNetflix[type],MATCH($A781,tblNetflix[show_id],0)),"")</f>
        <v/>
      </c>
      <c r="D781" s="19">
        <f>IFERROR(INDEX(tblNetflix[rating],MATCH($A781,tblNetflix[show_id],0)),"")</f>
        <v/>
      </c>
      <c r="E781" s="19">
        <f>IFERROR(INDEX(tblNetflix[year_added],MATCH($A781,tblNetflix[show_id],0)),"")</f>
        <v/>
      </c>
      <c r="F781" s="19">
        <f>IF(AND(OR(YearFilter="All",$E781=YearFilter),OR(RatingFilter="All",$D781=RatingFilter),OR(TypeFilter="All",$C781=TypeFilter)),1,0)</f>
        <v/>
      </c>
    </row>
    <row r="782" ht="15" customHeight="1" s="20">
      <c r="A782" s="19" t="inlineStr">
        <is>
          <t>s3049</t>
        </is>
      </c>
      <c r="B782" s="19" t="inlineStr">
        <is>
          <t>Romantic Movies</t>
        </is>
      </c>
      <c r="C782" s="19">
        <f>IFERROR(INDEX(tblNetflix[type],MATCH($A782,tblNetflix[show_id],0)),"")</f>
        <v/>
      </c>
      <c r="D782" s="19">
        <f>IFERROR(INDEX(tblNetflix[rating],MATCH($A782,tblNetflix[show_id],0)),"")</f>
        <v/>
      </c>
      <c r="E782" s="19">
        <f>IFERROR(INDEX(tblNetflix[year_added],MATCH($A782,tblNetflix[show_id],0)),"")</f>
        <v/>
      </c>
      <c r="F782" s="19">
        <f>IF(AND(OR(YearFilter="All",$E782=YearFilter),OR(RatingFilter="All",$D782=RatingFilter),OR(TypeFilter="All",$C782=TypeFilter)),1,0)</f>
        <v/>
      </c>
    </row>
    <row r="783" ht="15" customHeight="1" s="20">
      <c r="A783" s="19" t="inlineStr">
        <is>
          <t>s3061</t>
        </is>
      </c>
      <c r="B783" s="19" t="inlineStr">
        <is>
          <t>Horror Movies</t>
        </is>
      </c>
      <c r="C783" s="19">
        <f>IFERROR(INDEX(tblNetflix[type],MATCH($A783,tblNetflix[show_id],0)),"")</f>
        <v/>
      </c>
      <c r="D783" s="19">
        <f>IFERROR(INDEX(tblNetflix[rating],MATCH($A783,tblNetflix[show_id],0)),"")</f>
        <v/>
      </c>
      <c r="E783" s="19">
        <f>IFERROR(INDEX(tblNetflix[year_added],MATCH($A783,tblNetflix[show_id],0)),"")</f>
        <v/>
      </c>
      <c r="F783" s="19">
        <f>IF(AND(OR(YearFilter="All",$E783=YearFilter),OR(RatingFilter="All",$D783=RatingFilter),OR(TypeFilter="All",$C783=TypeFilter)),1,0)</f>
        <v/>
      </c>
    </row>
    <row r="784" ht="15" customHeight="1" s="20">
      <c r="A784" s="19" t="inlineStr">
        <is>
          <t>s3061</t>
        </is>
      </c>
      <c r="B784" s="19" t="inlineStr">
        <is>
          <t>International Movies</t>
        </is>
      </c>
      <c r="C784" s="19">
        <f>IFERROR(INDEX(tblNetflix[type],MATCH($A784,tblNetflix[show_id],0)),"")</f>
        <v/>
      </c>
      <c r="D784" s="19">
        <f>IFERROR(INDEX(tblNetflix[rating],MATCH($A784,tblNetflix[show_id],0)),"")</f>
        <v/>
      </c>
      <c r="E784" s="19">
        <f>IFERROR(INDEX(tblNetflix[year_added],MATCH($A784,tblNetflix[show_id],0)),"")</f>
        <v/>
      </c>
      <c r="F784" s="19">
        <f>IF(AND(OR(YearFilter="All",$E784=YearFilter),OR(RatingFilter="All",$D784=RatingFilter),OR(TypeFilter="All",$C784=TypeFilter)),1,0)</f>
        <v/>
      </c>
    </row>
    <row r="785" ht="15" customHeight="1" s="20">
      <c r="A785" s="19" t="inlineStr">
        <is>
          <t>s3061</t>
        </is>
      </c>
      <c r="B785" s="19" t="inlineStr">
        <is>
          <t>Thrillers</t>
        </is>
      </c>
      <c r="C785" s="19">
        <f>IFERROR(INDEX(tblNetflix[type],MATCH($A785,tblNetflix[show_id],0)),"")</f>
        <v/>
      </c>
      <c r="D785" s="19">
        <f>IFERROR(INDEX(tblNetflix[rating],MATCH($A785,tblNetflix[show_id],0)),"")</f>
        <v/>
      </c>
      <c r="E785" s="19">
        <f>IFERROR(INDEX(tblNetflix[year_added],MATCH($A785,tblNetflix[show_id],0)),"")</f>
        <v/>
      </c>
      <c r="F785" s="19">
        <f>IF(AND(OR(YearFilter="All",$E785=YearFilter),OR(RatingFilter="All",$D785=RatingFilter),OR(TypeFilter="All",$C785=TypeFilter)),1,0)</f>
        <v/>
      </c>
    </row>
    <row r="786" ht="15" customHeight="1" s="20">
      <c r="A786" s="19" t="inlineStr">
        <is>
          <t>s3078</t>
        </is>
      </c>
      <c r="B786" s="19" t="inlineStr">
        <is>
          <t>Horror Movies</t>
        </is>
      </c>
      <c r="C786" s="19">
        <f>IFERROR(INDEX(tblNetflix[type],MATCH($A786,tblNetflix[show_id],0)),"")</f>
        <v/>
      </c>
      <c r="D786" s="19">
        <f>IFERROR(INDEX(tblNetflix[rating],MATCH($A786,tblNetflix[show_id],0)),"")</f>
        <v/>
      </c>
      <c r="E786" s="19">
        <f>IFERROR(INDEX(tblNetflix[year_added],MATCH($A786,tblNetflix[show_id],0)),"")</f>
        <v/>
      </c>
      <c r="F786" s="19">
        <f>IF(AND(OR(YearFilter="All",$E786=YearFilter),OR(RatingFilter="All",$D786=RatingFilter),OR(TypeFilter="All",$C786=TypeFilter)),1,0)</f>
        <v/>
      </c>
    </row>
    <row r="787" ht="15" customHeight="1" s="20">
      <c r="A787" s="19" t="inlineStr">
        <is>
          <t>s3078</t>
        </is>
      </c>
      <c r="B787" s="19" t="inlineStr">
        <is>
          <t>International Movies</t>
        </is>
      </c>
      <c r="C787" s="19">
        <f>IFERROR(INDEX(tblNetflix[type],MATCH($A787,tblNetflix[show_id],0)),"")</f>
        <v/>
      </c>
      <c r="D787" s="19">
        <f>IFERROR(INDEX(tblNetflix[rating],MATCH($A787,tblNetflix[show_id],0)),"")</f>
        <v/>
      </c>
      <c r="E787" s="19">
        <f>IFERROR(INDEX(tblNetflix[year_added],MATCH($A787,tblNetflix[show_id],0)),"")</f>
        <v/>
      </c>
      <c r="F787" s="19">
        <f>IF(AND(OR(YearFilter="All",$E787=YearFilter),OR(RatingFilter="All",$D787=RatingFilter),OR(TypeFilter="All",$C787=TypeFilter)),1,0)</f>
        <v/>
      </c>
    </row>
    <row r="788" ht="15" customHeight="1" s="20">
      <c r="A788" s="19" t="inlineStr">
        <is>
          <t>s3078</t>
        </is>
      </c>
      <c r="B788" s="19" t="inlineStr">
        <is>
          <t>Thrillers</t>
        </is>
      </c>
      <c r="C788" s="19">
        <f>IFERROR(INDEX(tblNetflix[type],MATCH($A788,tblNetflix[show_id],0)),"")</f>
        <v/>
      </c>
      <c r="D788" s="19">
        <f>IFERROR(INDEX(tblNetflix[rating],MATCH($A788,tblNetflix[show_id],0)),"")</f>
        <v/>
      </c>
      <c r="E788" s="19">
        <f>IFERROR(INDEX(tblNetflix[year_added],MATCH($A788,tblNetflix[show_id],0)),"")</f>
        <v/>
      </c>
      <c r="F788" s="19">
        <f>IF(AND(OR(YearFilter="All",$E788=YearFilter),OR(RatingFilter="All",$D788=RatingFilter),OR(TypeFilter="All",$C788=TypeFilter)),1,0)</f>
        <v/>
      </c>
    </row>
    <row r="789" ht="15" customHeight="1" s="20">
      <c r="A789" s="19" t="inlineStr">
        <is>
          <t>s3079</t>
        </is>
      </c>
      <c r="B789" s="19" t="inlineStr">
        <is>
          <t>Dramas</t>
        </is>
      </c>
      <c r="C789" s="19">
        <f>IFERROR(INDEX(tblNetflix[type],MATCH($A789,tblNetflix[show_id],0)),"")</f>
        <v/>
      </c>
      <c r="D789" s="19">
        <f>IFERROR(INDEX(tblNetflix[rating],MATCH($A789,tblNetflix[show_id],0)),"")</f>
        <v/>
      </c>
      <c r="E789" s="19">
        <f>IFERROR(INDEX(tblNetflix[year_added],MATCH($A789,tblNetflix[show_id],0)),"")</f>
        <v/>
      </c>
      <c r="F789" s="19">
        <f>IF(AND(OR(YearFilter="All",$E789=YearFilter),OR(RatingFilter="All",$D789=RatingFilter),OR(TypeFilter="All",$C789=TypeFilter)),1,0)</f>
        <v/>
      </c>
    </row>
    <row r="790" ht="15" customHeight="1" s="20">
      <c r="A790" s="19" t="inlineStr">
        <is>
          <t>s3079</t>
        </is>
      </c>
      <c r="B790" s="19" t="inlineStr">
        <is>
          <t>Independent Movies</t>
        </is>
      </c>
      <c r="C790" s="19">
        <f>IFERROR(INDEX(tblNetflix[type],MATCH($A790,tblNetflix[show_id],0)),"")</f>
        <v/>
      </c>
      <c r="D790" s="19">
        <f>IFERROR(INDEX(tblNetflix[rating],MATCH($A790,tblNetflix[show_id],0)),"")</f>
        <v/>
      </c>
      <c r="E790" s="19">
        <f>IFERROR(INDEX(tblNetflix[year_added],MATCH($A790,tblNetflix[show_id],0)),"")</f>
        <v/>
      </c>
      <c r="F790" s="19">
        <f>IF(AND(OR(YearFilter="All",$E790=YearFilter),OR(RatingFilter="All",$D790=RatingFilter),OR(TypeFilter="All",$C790=TypeFilter)),1,0)</f>
        <v/>
      </c>
    </row>
    <row r="791" ht="15" customHeight="1" s="20">
      <c r="A791" s="19" t="inlineStr">
        <is>
          <t>s3079</t>
        </is>
      </c>
      <c r="B791" s="19" t="inlineStr">
        <is>
          <t>International Movies</t>
        </is>
      </c>
      <c r="C791" s="19">
        <f>IFERROR(INDEX(tblNetflix[type],MATCH($A791,tblNetflix[show_id],0)),"")</f>
        <v/>
      </c>
      <c r="D791" s="19">
        <f>IFERROR(INDEX(tblNetflix[rating],MATCH($A791,tblNetflix[show_id],0)),"")</f>
        <v/>
      </c>
      <c r="E791" s="19">
        <f>IFERROR(INDEX(tblNetflix[year_added],MATCH($A791,tblNetflix[show_id],0)),"")</f>
        <v/>
      </c>
      <c r="F791" s="19">
        <f>IF(AND(OR(YearFilter="All",$E791=YearFilter),OR(RatingFilter="All",$D791=RatingFilter),OR(TypeFilter="All",$C791=TypeFilter)),1,0)</f>
        <v/>
      </c>
    </row>
    <row r="792" ht="15" customHeight="1" s="20">
      <c r="A792" s="19" t="inlineStr">
        <is>
          <t>s3127</t>
        </is>
      </c>
      <c r="B792" s="19" t="inlineStr">
        <is>
          <t>Comedies</t>
        </is>
      </c>
      <c r="C792" s="19">
        <f>IFERROR(INDEX(tblNetflix[type],MATCH($A792,tblNetflix[show_id],0)),"")</f>
        <v/>
      </c>
      <c r="D792" s="19">
        <f>IFERROR(INDEX(tblNetflix[rating],MATCH($A792,tblNetflix[show_id],0)),"")</f>
        <v/>
      </c>
      <c r="E792" s="19">
        <f>IFERROR(INDEX(tblNetflix[year_added],MATCH($A792,tblNetflix[show_id],0)),"")</f>
        <v/>
      </c>
      <c r="F792" s="19">
        <f>IF(AND(OR(YearFilter="All",$E792=YearFilter),OR(RatingFilter="All",$D792=RatingFilter),OR(TypeFilter="All",$C792=TypeFilter)),1,0)</f>
        <v/>
      </c>
    </row>
    <row r="793" ht="15" customHeight="1" s="20">
      <c r="A793" s="19" t="inlineStr">
        <is>
          <t>s3127</t>
        </is>
      </c>
      <c r="B793" s="19" t="inlineStr">
        <is>
          <t>Dramas</t>
        </is>
      </c>
      <c r="C793" s="19">
        <f>IFERROR(INDEX(tblNetflix[type],MATCH($A793,tblNetflix[show_id],0)),"")</f>
        <v/>
      </c>
      <c r="D793" s="19">
        <f>IFERROR(INDEX(tblNetflix[rating],MATCH($A793,tblNetflix[show_id],0)),"")</f>
        <v/>
      </c>
      <c r="E793" s="19">
        <f>IFERROR(INDEX(tblNetflix[year_added],MATCH($A793,tblNetflix[show_id],0)),"")</f>
        <v/>
      </c>
      <c r="F793" s="19">
        <f>IF(AND(OR(YearFilter="All",$E793=YearFilter),OR(RatingFilter="All",$D793=RatingFilter),OR(TypeFilter="All",$C793=TypeFilter)),1,0)</f>
        <v/>
      </c>
    </row>
    <row r="794" ht="15" customHeight="1" s="20">
      <c r="A794" s="19" t="inlineStr">
        <is>
          <t>s3127</t>
        </is>
      </c>
      <c r="B794" s="19" t="inlineStr">
        <is>
          <t>International Movies</t>
        </is>
      </c>
      <c r="C794" s="19">
        <f>IFERROR(INDEX(tblNetflix[type],MATCH($A794,tblNetflix[show_id],0)),"")</f>
        <v/>
      </c>
      <c r="D794" s="19">
        <f>IFERROR(INDEX(tblNetflix[rating],MATCH($A794,tblNetflix[show_id],0)),"")</f>
        <v/>
      </c>
      <c r="E794" s="19">
        <f>IFERROR(INDEX(tblNetflix[year_added],MATCH($A794,tblNetflix[show_id],0)),"")</f>
        <v/>
      </c>
      <c r="F794" s="19">
        <f>IF(AND(OR(YearFilter="All",$E794=YearFilter),OR(RatingFilter="All",$D794=RatingFilter),OR(TypeFilter="All",$C794=TypeFilter)),1,0)</f>
        <v/>
      </c>
    </row>
    <row r="795" ht="15" customHeight="1" s="20">
      <c r="A795" s="19" t="inlineStr">
        <is>
          <t>s3132</t>
        </is>
      </c>
      <c r="B795" s="19" t="inlineStr">
        <is>
          <t>Comedies</t>
        </is>
      </c>
      <c r="C795" s="19">
        <f>IFERROR(INDEX(tblNetflix[type],MATCH($A795,tblNetflix[show_id],0)),"")</f>
        <v/>
      </c>
      <c r="D795" s="19">
        <f>IFERROR(INDEX(tblNetflix[rating],MATCH($A795,tblNetflix[show_id],0)),"")</f>
        <v/>
      </c>
      <c r="E795" s="19">
        <f>IFERROR(INDEX(tblNetflix[year_added],MATCH($A795,tblNetflix[show_id],0)),"")</f>
        <v/>
      </c>
      <c r="F795" s="19">
        <f>IF(AND(OR(YearFilter="All",$E795=YearFilter),OR(RatingFilter="All",$D795=RatingFilter),OR(TypeFilter="All",$C795=TypeFilter)),1,0)</f>
        <v/>
      </c>
    </row>
    <row r="796" ht="15" customHeight="1" s="20">
      <c r="A796" s="19" t="inlineStr">
        <is>
          <t>s3132</t>
        </is>
      </c>
      <c r="B796" s="19" t="inlineStr">
        <is>
          <t>Dramas</t>
        </is>
      </c>
      <c r="C796" s="19">
        <f>IFERROR(INDEX(tblNetflix[type],MATCH($A796,tblNetflix[show_id],0)),"")</f>
        <v/>
      </c>
      <c r="D796" s="19">
        <f>IFERROR(INDEX(tblNetflix[rating],MATCH($A796,tblNetflix[show_id],0)),"")</f>
        <v/>
      </c>
      <c r="E796" s="19">
        <f>IFERROR(INDEX(tblNetflix[year_added],MATCH($A796,tblNetflix[show_id],0)),"")</f>
        <v/>
      </c>
      <c r="F796" s="19">
        <f>IF(AND(OR(YearFilter="All",$E796=YearFilter),OR(RatingFilter="All",$D796=RatingFilter),OR(TypeFilter="All",$C796=TypeFilter)),1,0)</f>
        <v/>
      </c>
    </row>
    <row r="797" ht="15" customHeight="1" s="20">
      <c r="A797" s="19" t="inlineStr">
        <is>
          <t>s3132</t>
        </is>
      </c>
      <c r="B797" s="19" t="inlineStr">
        <is>
          <t>International Movies</t>
        </is>
      </c>
      <c r="C797" s="19">
        <f>IFERROR(INDEX(tblNetflix[type],MATCH($A797,tblNetflix[show_id],0)),"")</f>
        <v/>
      </c>
      <c r="D797" s="19">
        <f>IFERROR(INDEX(tblNetflix[rating],MATCH($A797,tblNetflix[show_id],0)),"")</f>
        <v/>
      </c>
      <c r="E797" s="19">
        <f>IFERROR(INDEX(tblNetflix[year_added],MATCH($A797,tblNetflix[show_id],0)),"")</f>
        <v/>
      </c>
      <c r="F797" s="19">
        <f>IF(AND(OR(YearFilter="All",$E797=YearFilter),OR(RatingFilter="All",$D797=RatingFilter),OR(TypeFilter="All",$C797=TypeFilter)),1,0)</f>
        <v/>
      </c>
    </row>
    <row r="798" ht="15" customHeight="1" s="20">
      <c r="A798" s="19" t="inlineStr">
        <is>
          <t>s3133</t>
        </is>
      </c>
      <c r="B798" s="19" t="inlineStr">
        <is>
          <t>Comedies</t>
        </is>
      </c>
      <c r="C798" s="19">
        <f>IFERROR(INDEX(tblNetflix[type],MATCH($A798,tblNetflix[show_id],0)),"")</f>
        <v/>
      </c>
      <c r="D798" s="19">
        <f>IFERROR(INDEX(tblNetflix[rating],MATCH($A798,tblNetflix[show_id],0)),"")</f>
        <v/>
      </c>
      <c r="E798" s="19">
        <f>IFERROR(INDEX(tblNetflix[year_added],MATCH($A798,tblNetflix[show_id],0)),"")</f>
        <v/>
      </c>
      <c r="F798" s="19">
        <f>IF(AND(OR(YearFilter="All",$E798=YearFilter),OR(RatingFilter="All",$D798=RatingFilter),OR(TypeFilter="All",$C798=TypeFilter)),1,0)</f>
        <v/>
      </c>
    </row>
    <row r="799" ht="15" customHeight="1" s="20">
      <c r="A799" s="19" t="inlineStr">
        <is>
          <t>s3133</t>
        </is>
      </c>
      <c r="B799" s="19" t="inlineStr">
        <is>
          <t>Dramas</t>
        </is>
      </c>
      <c r="C799" s="19">
        <f>IFERROR(INDEX(tblNetflix[type],MATCH($A799,tblNetflix[show_id],0)),"")</f>
        <v/>
      </c>
      <c r="D799" s="19">
        <f>IFERROR(INDEX(tblNetflix[rating],MATCH($A799,tblNetflix[show_id],0)),"")</f>
        <v/>
      </c>
      <c r="E799" s="19">
        <f>IFERROR(INDEX(tblNetflix[year_added],MATCH($A799,tblNetflix[show_id],0)),"")</f>
        <v/>
      </c>
      <c r="F799" s="19">
        <f>IF(AND(OR(YearFilter="All",$E799=YearFilter),OR(RatingFilter="All",$D799=RatingFilter),OR(TypeFilter="All",$C799=TypeFilter)),1,0)</f>
        <v/>
      </c>
    </row>
    <row r="800" ht="15" customHeight="1" s="20">
      <c r="A800" s="19" t="inlineStr">
        <is>
          <t>s3133</t>
        </is>
      </c>
      <c r="B800" s="19" t="inlineStr">
        <is>
          <t>International Movies</t>
        </is>
      </c>
      <c r="C800" s="19">
        <f>IFERROR(INDEX(tblNetflix[type],MATCH($A800,tblNetflix[show_id],0)),"")</f>
        <v/>
      </c>
      <c r="D800" s="19">
        <f>IFERROR(INDEX(tblNetflix[rating],MATCH($A800,tblNetflix[show_id],0)),"")</f>
        <v/>
      </c>
      <c r="E800" s="19">
        <f>IFERROR(INDEX(tblNetflix[year_added],MATCH($A800,tblNetflix[show_id],0)),"")</f>
        <v/>
      </c>
      <c r="F800" s="19">
        <f>IF(AND(OR(YearFilter="All",$E800=YearFilter),OR(RatingFilter="All",$D800=RatingFilter),OR(TypeFilter="All",$C800=TypeFilter)),1,0)</f>
        <v/>
      </c>
    </row>
    <row r="801" ht="15" customHeight="1" s="20">
      <c r="A801" s="19" t="inlineStr">
        <is>
          <t>s3134</t>
        </is>
      </c>
      <c r="B801" s="19" t="inlineStr">
        <is>
          <t>Action &amp; Adventure</t>
        </is>
      </c>
      <c r="C801" s="19">
        <f>IFERROR(INDEX(tblNetflix[type],MATCH($A801,tblNetflix[show_id],0)),"")</f>
        <v/>
      </c>
      <c r="D801" s="19">
        <f>IFERROR(INDEX(tblNetflix[rating],MATCH($A801,tblNetflix[show_id],0)),"")</f>
        <v/>
      </c>
      <c r="E801" s="19">
        <f>IFERROR(INDEX(tblNetflix[year_added],MATCH($A801,tblNetflix[show_id],0)),"")</f>
        <v/>
      </c>
      <c r="F801" s="19">
        <f>IF(AND(OR(YearFilter="All",$E801=YearFilter),OR(RatingFilter="All",$D801=RatingFilter),OR(TypeFilter="All",$C801=TypeFilter)),1,0)</f>
        <v/>
      </c>
    </row>
    <row r="802" ht="15" customHeight="1" s="20">
      <c r="A802" s="19" t="inlineStr">
        <is>
          <t>s3134</t>
        </is>
      </c>
      <c r="B802" s="19" t="inlineStr">
        <is>
          <t>International Movies</t>
        </is>
      </c>
      <c r="C802" s="19">
        <f>IFERROR(INDEX(tblNetflix[type],MATCH($A802,tblNetflix[show_id],0)),"")</f>
        <v/>
      </c>
      <c r="D802" s="19">
        <f>IFERROR(INDEX(tblNetflix[rating],MATCH($A802,tblNetflix[show_id],0)),"")</f>
        <v/>
      </c>
      <c r="E802" s="19">
        <f>IFERROR(INDEX(tblNetflix[year_added],MATCH($A802,tblNetflix[show_id],0)),"")</f>
        <v/>
      </c>
      <c r="F802" s="19">
        <f>IF(AND(OR(YearFilter="All",$E802=YearFilter),OR(RatingFilter="All",$D802=RatingFilter),OR(TypeFilter="All",$C802=TypeFilter)),1,0)</f>
        <v/>
      </c>
    </row>
    <row r="803" ht="15" customHeight="1" s="20">
      <c r="A803" s="19" t="inlineStr">
        <is>
          <t>s3135</t>
        </is>
      </c>
      <c r="B803" s="19" t="inlineStr">
        <is>
          <t>Action &amp; Adventure</t>
        </is>
      </c>
      <c r="C803" s="19">
        <f>IFERROR(INDEX(tblNetflix[type],MATCH($A803,tblNetflix[show_id],0)),"")</f>
        <v/>
      </c>
      <c r="D803" s="19">
        <f>IFERROR(INDEX(tblNetflix[rating],MATCH($A803,tblNetflix[show_id],0)),"")</f>
        <v/>
      </c>
      <c r="E803" s="19">
        <f>IFERROR(INDEX(tblNetflix[year_added],MATCH($A803,tblNetflix[show_id],0)),"")</f>
        <v/>
      </c>
      <c r="F803" s="19">
        <f>IF(AND(OR(YearFilter="All",$E803=YearFilter),OR(RatingFilter="All",$D803=RatingFilter),OR(TypeFilter="All",$C803=TypeFilter)),1,0)</f>
        <v/>
      </c>
    </row>
    <row r="804" ht="15" customHeight="1" s="20">
      <c r="A804" s="19" t="inlineStr">
        <is>
          <t>s3135</t>
        </is>
      </c>
      <c r="B804" s="19" t="inlineStr">
        <is>
          <t>International Movies</t>
        </is>
      </c>
      <c r="C804" s="19">
        <f>IFERROR(INDEX(tblNetflix[type],MATCH($A804,tblNetflix[show_id],0)),"")</f>
        <v/>
      </c>
      <c r="D804" s="19">
        <f>IFERROR(INDEX(tblNetflix[rating],MATCH($A804,tblNetflix[show_id],0)),"")</f>
        <v/>
      </c>
      <c r="E804" s="19">
        <f>IFERROR(INDEX(tblNetflix[year_added],MATCH($A804,tblNetflix[show_id],0)),"")</f>
        <v/>
      </c>
      <c r="F804" s="19">
        <f>IF(AND(OR(YearFilter="All",$E804=YearFilter),OR(RatingFilter="All",$D804=RatingFilter),OR(TypeFilter="All",$C804=TypeFilter)),1,0)</f>
        <v/>
      </c>
    </row>
    <row r="805" ht="15" customHeight="1" s="20">
      <c r="A805" s="19" t="inlineStr">
        <is>
          <t>s3135</t>
        </is>
      </c>
      <c r="B805" s="19" t="inlineStr">
        <is>
          <t>Music &amp; Musicals</t>
        </is>
      </c>
      <c r="C805" s="19">
        <f>IFERROR(INDEX(tblNetflix[type],MATCH($A805,tblNetflix[show_id],0)),"")</f>
        <v/>
      </c>
      <c r="D805" s="19">
        <f>IFERROR(INDEX(tblNetflix[rating],MATCH($A805,tblNetflix[show_id],0)),"")</f>
        <v/>
      </c>
      <c r="E805" s="19">
        <f>IFERROR(INDEX(tblNetflix[year_added],MATCH($A805,tblNetflix[show_id],0)),"")</f>
        <v/>
      </c>
      <c r="F805" s="19">
        <f>IF(AND(OR(YearFilter="All",$E805=YearFilter),OR(RatingFilter="All",$D805=RatingFilter),OR(TypeFilter="All",$C805=TypeFilter)),1,0)</f>
        <v/>
      </c>
    </row>
    <row r="806" ht="15" customHeight="1" s="20">
      <c r="A806" s="19" t="inlineStr">
        <is>
          <t>s3136</t>
        </is>
      </c>
      <c r="B806" s="19" t="inlineStr">
        <is>
          <t>Action &amp; Adventure</t>
        </is>
      </c>
      <c r="C806" s="19">
        <f>IFERROR(INDEX(tblNetflix[type],MATCH($A806,tblNetflix[show_id],0)),"")</f>
        <v/>
      </c>
      <c r="D806" s="19">
        <f>IFERROR(INDEX(tblNetflix[rating],MATCH($A806,tblNetflix[show_id],0)),"")</f>
        <v/>
      </c>
      <c r="E806" s="19">
        <f>IFERROR(INDEX(tblNetflix[year_added],MATCH($A806,tblNetflix[show_id],0)),"")</f>
        <v/>
      </c>
      <c r="F806" s="19">
        <f>IF(AND(OR(YearFilter="All",$E806=YearFilter),OR(RatingFilter="All",$D806=RatingFilter),OR(TypeFilter="All",$C806=TypeFilter)),1,0)</f>
        <v/>
      </c>
    </row>
    <row r="807" ht="15" customHeight="1" s="20">
      <c r="A807" s="19" t="inlineStr">
        <is>
          <t>s3136</t>
        </is>
      </c>
      <c r="B807" s="19" t="inlineStr">
        <is>
          <t>Comedies</t>
        </is>
      </c>
      <c r="C807" s="19">
        <f>IFERROR(INDEX(tblNetflix[type],MATCH($A807,tblNetflix[show_id],0)),"")</f>
        <v/>
      </c>
      <c r="D807" s="19">
        <f>IFERROR(INDEX(tblNetflix[rating],MATCH($A807,tblNetflix[show_id],0)),"")</f>
        <v/>
      </c>
      <c r="E807" s="19">
        <f>IFERROR(INDEX(tblNetflix[year_added],MATCH($A807,tblNetflix[show_id],0)),"")</f>
        <v/>
      </c>
      <c r="F807" s="19">
        <f>IF(AND(OR(YearFilter="All",$E807=YearFilter),OR(RatingFilter="All",$D807=RatingFilter),OR(TypeFilter="All",$C807=TypeFilter)),1,0)</f>
        <v/>
      </c>
    </row>
    <row r="808" ht="15" customHeight="1" s="20">
      <c r="A808" s="19" t="inlineStr">
        <is>
          <t>s3136</t>
        </is>
      </c>
      <c r="B808" s="19" t="inlineStr">
        <is>
          <t>Dramas</t>
        </is>
      </c>
      <c r="C808" s="19">
        <f>IFERROR(INDEX(tblNetflix[type],MATCH($A808,tblNetflix[show_id],0)),"")</f>
        <v/>
      </c>
      <c r="D808" s="19">
        <f>IFERROR(INDEX(tblNetflix[rating],MATCH($A808,tblNetflix[show_id],0)),"")</f>
        <v/>
      </c>
      <c r="E808" s="19">
        <f>IFERROR(INDEX(tblNetflix[year_added],MATCH($A808,tblNetflix[show_id],0)),"")</f>
        <v/>
      </c>
      <c r="F808" s="19">
        <f>IF(AND(OR(YearFilter="All",$E808=YearFilter),OR(RatingFilter="All",$D808=RatingFilter),OR(TypeFilter="All",$C808=TypeFilter)),1,0)</f>
        <v/>
      </c>
    </row>
    <row r="809" ht="15" customHeight="1" s="20">
      <c r="A809" s="19" t="inlineStr">
        <is>
          <t>s3137</t>
        </is>
      </c>
      <c r="B809" s="19" t="inlineStr">
        <is>
          <t>International Movies</t>
        </is>
      </c>
      <c r="C809" s="19">
        <f>IFERROR(INDEX(tblNetflix[type],MATCH($A809,tblNetflix[show_id],0)),"")</f>
        <v/>
      </c>
      <c r="D809" s="19">
        <f>IFERROR(INDEX(tblNetflix[rating],MATCH($A809,tblNetflix[show_id],0)),"")</f>
        <v/>
      </c>
      <c r="E809" s="19">
        <f>IFERROR(INDEX(tblNetflix[year_added],MATCH($A809,tblNetflix[show_id],0)),"")</f>
        <v/>
      </c>
      <c r="F809" s="19">
        <f>IF(AND(OR(YearFilter="All",$E809=YearFilter),OR(RatingFilter="All",$D809=RatingFilter),OR(TypeFilter="All",$C809=TypeFilter)),1,0)</f>
        <v/>
      </c>
    </row>
    <row r="810" ht="15" customHeight="1" s="20">
      <c r="A810" s="19" t="inlineStr">
        <is>
          <t>s3137</t>
        </is>
      </c>
      <c r="B810" s="19" t="inlineStr">
        <is>
          <t>Thrillers</t>
        </is>
      </c>
      <c r="C810" s="19">
        <f>IFERROR(INDEX(tblNetflix[type],MATCH($A810,tblNetflix[show_id],0)),"")</f>
        <v/>
      </c>
      <c r="D810" s="19">
        <f>IFERROR(INDEX(tblNetflix[rating],MATCH($A810,tblNetflix[show_id],0)),"")</f>
        <v/>
      </c>
      <c r="E810" s="19">
        <f>IFERROR(INDEX(tblNetflix[year_added],MATCH($A810,tblNetflix[show_id],0)),"")</f>
        <v/>
      </c>
      <c r="F810" s="19">
        <f>IF(AND(OR(YearFilter="All",$E810=YearFilter),OR(RatingFilter="All",$D810=RatingFilter),OR(TypeFilter="All",$C810=TypeFilter)),1,0)</f>
        <v/>
      </c>
    </row>
    <row r="811" ht="15" customHeight="1" s="20">
      <c r="A811" s="19" t="inlineStr">
        <is>
          <t>s3140</t>
        </is>
      </c>
      <c r="B811" s="19" t="inlineStr">
        <is>
          <t>Comedies</t>
        </is>
      </c>
      <c r="C811" s="19">
        <f>IFERROR(INDEX(tblNetflix[type],MATCH($A811,tblNetflix[show_id],0)),"")</f>
        <v/>
      </c>
      <c r="D811" s="19">
        <f>IFERROR(INDEX(tblNetflix[rating],MATCH($A811,tblNetflix[show_id],0)),"")</f>
        <v/>
      </c>
      <c r="E811" s="19">
        <f>IFERROR(INDEX(tblNetflix[year_added],MATCH($A811,tblNetflix[show_id],0)),"")</f>
        <v/>
      </c>
      <c r="F811" s="19">
        <f>IF(AND(OR(YearFilter="All",$E811=YearFilter),OR(RatingFilter="All",$D811=RatingFilter),OR(TypeFilter="All",$C811=TypeFilter)),1,0)</f>
        <v/>
      </c>
    </row>
    <row r="812" ht="15" customHeight="1" s="20">
      <c r="A812" s="19" t="inlineStr">
        <is>
          <t>s3140</t>
        </is>
      </c>
      <c r="B812" s="19" t="inlineStr">
        <is>
          <t>Dramas</t>
        </is>
      </c>
      <c r="C812" s="19">
        <f>IFERROR(INDEX(tblNetflix[type],MATCH($A812,tblNetflix[show_id],0)),"")</f>
        <v/>
      </c>
      <c r="D812" s="19">
        <f>IFERROR(INDEX(tblNetflix[rating],MATCH($A812,tblNetflix[show_id],0)),"")</f>
        <v/>
      </c>
      <c r="E812" s="19">
        <f>IFERROR(INDEX(tblNetflix[year_added],MATCH($A812,tblNetflix[show_id],0)),"")</f>
        <v/>
      </c>
      <c r="F812" s="19">
        <f>IF(AND(OR(YearFilter="All",$E812=YearFilter),OR(RatingFilter="All",$D812=RatingFilter),OR(TypeFilter="All",$C812=TypeFilter)),1,0)</f>
        <v/>
      </c>
    </row>
    <row r="813" ht="15" customHeight="1" s="20">
      <c r="A813" s="19" t="inlineStr">
        <is>
          <t>s3140</t>
        </is>
      </c>
      <c r="B813" s="19" t="inlineStr">
        <is>
          <t>International Movies</t>
        </is>
      </c>
      <c r="C813" s="19">
        <f>IFERROR(INDEX(tblNetflix[type],MATCH($A813,tblNetflix[show_id],0)),"")</f>
        <v/>
      </c>
      <c r="D813" s="19">
        <f>IFERROR(INDEX(tblNetflix[rating],MATCH($A813,tblNetflix[show_id],0)),"")</f>
        <v/>
      </c>
      <c r="E813" s="19">
        <f>IFERROR(INDEX(tblNetflix[year_added],MATCH($A813,tblNetflix[show_id],0)),"")</f>
        <v/>
      </c>
      <c r="F813" s="19">
        <f>IF(AND(OR(YearFilter="All",$E813=YearFilter),OR(RatingFilter="All",$D813=RatingFilter),OR(TypeFilter="All",$C813=TypeFilter)),1,0)</f>
        <v/>
      </c>
    </row>
    <row r="814" ht="15" customHeight="1" s="20">
      <c r="A814" s="19" t="inlineStr">
        <is>
          <t>s3142</t>
        </is>
      </c>
      <c r="B814" s="19" t="inlineStr">
        <is>
          <t>Dramas</t>
        </is>
      </c>
      <c r="C814" s="19">
        <f>IFERROR(INDEX(tblNetflix[type],MATCH($A814,tblNetflix[show_id],0)),"")</f>
        <v/>
      </c>
      <c r="D814" s="19">
        <f>IFERROR(INDEX(tblNetflix[rating],MATCH($A814,tblNetflix[show_id],0)),"")</f>
        <v/>
      </c>
      <c r="E814" s="19">
        <f>IFERROR(INDEX(tblNetflix[year_added],MATCH($A814,tblNetflix[show_id],0)),"")</f>
        <v/>
      </c>
      <c r="F814" s="19">
        <f>IF(AND(OR(YearFilter="All",$E814=YearFilter),OR(RatingFilter="All",$D814=RatingFilter),OR(TypeFilter="All",$C814=TypeFilter)),1,0)</f>
        <v/>
      </c>
    </row>
    <row r="815" ht="15" customHeight="1" s="20">
      <c r="A815" s="19" t="inlineStr">
        <is>
          <t>s3142</t>
        </is>
      </c>
      <c r="B815" s="19" t="inlineStr">
        <is>
          <t>International Movies</t>
        </is>
      </c>
      <c r="C815" s="19">
        <f>IFERROR(INDEX(tblNetflix[type],MATCH($A815,tblNetflix[show_id],0)),"")</f>
        <v/>
      </c>
      <c r="D815" s="19">
        <f>IFERROR(INDEX(tblNetflix[rating],MATCH($A815,tblNetflix[show_id],0)),"")</f>
        <v/>
      </c>
      <c r="E815" s="19">
        <f>IFERROR(INDEX(tblNetflix[year_added],MATCH($A815,tblNetflix[show_id],0)),"")</f>
        <v/>
      </c>
      <c r="F815" s="19">
        <f>IF(AND(OR(YearFilter="All",$E815=YearFilter),OR(RatingFilter="All",$D815=RatingFilter),OR(TypeFilter="All",$C815=TypeFilter)),1,0)</f>
        <v/>
      </c>
    </row>
    <row r="816" ht="15" customHeight="1" s="20">
      <c r="A816" s="19" t="inlineStr">
        <is>
          <t>s3142</t>
        </is>
      </c>
      <c r="B816" s="19" t="inlineStr">
        <is>
          <t>Thrillers</t>
        </is>
      </c>
      <c r="C816" s="19">
        <f>IFERROR(INDEX(tblNetflix[type],MATCH($A816,tblNetflix[show_id],0)),"")</f>
        <v/>
      </c>
      <c r="D816" s="19">
        <f>IFERROR(INDEX(tblNetflix[rating],MATCH($A816,tblNetflix[show_id],0)),"")</f>
        <v/>
      </c>
      <c r="E816" s="19">
        <f>IFERROR(INDEX(tblNetflix[year_added],MATCH($A816,tblNetflix[show_id],0)),"")</f>
        <v/>
      </c>
      <c r="F816" s="19">
        <f>IF(AND(OR(YearFilter="All",$E816=YearFilter),OR(RatingFilter="All",$D816=RatingFilter),OR(TypeFilter="All",$C816=TypeFilter)),1,0)</f>
        <v/>
      </c>
    </row>
    <row r="817" ht="15" customHeight="1" s="20">
      <c r="A817" s="19" t="inlineStr">
        <is>
          <t>s3143</t>
        </is>
      </c>
      <c r="B817" s="19" t="inlineStr">
        <is>
          <t>Action &amp; Adventure</t>
        </is>
      </c>
      <c r="C817" s="19">
        <f>IFERROR(INDEX(tblNetflix[type],MATCH($A817,tblNetflix[show_id],0)),"")</f>
        <v/>
      </c>
      <c r="D817" s="19">
        <f>IFERROR(INDEX(tblNetflix[rating],MATCH($A817,tblNetflix[show_id],0)),"")</f>
        <v/>
      </c>
      <c r="E817" s="19">
        <f>IFERROR(INDEX(tblNetflix[year_added],MATCH($A817,tblNetflix[show_id],0)),"")</f>
        <v/>
      </c>
      <c r="F817" s="19">
        <f>IF(AND(OR(YearFilter="All",$E817=YearFilter),OR(RatingFilter="All",$D817=RatingFilter),OR(TypeFilter="All",$C817=TypeFilter)),1,0)</f>
        <v/>
      </c>
    </row>
    <row r="818" ht="15" customHeight="1" s="20">
      <c r="A818" s="19" t="inlineStr">
        <is>
          <t>s3143</t>
        </is>
      </c>
      <c r="B818" s="19" t="inlineStr">
        <is>
          <t>Dramas</t>
        </is>
      </c>
      <c r="C818" s="19">
        <f>IFERROR(INDEX(tblNetflix[type],MATCH($A818,tblNetflix[show_id],0)),"")</f>
        <v/>
      </c>
      <c r="D818" s="19">
        <f>IFERROR(INDEX(tblNetflix[rating],MATCH($A818,tblNetflix[show_id],0)),"")</f>
        <v/>
      </c>
      <c r="E818" s="19">
        <f>IFERROR(INDEX(tblNetflix[year_added],MATCH($A818,tblNetflix[show_id],0)),"")</f>
        <v/>
      </c>
      <c r="F818" s="19">
        <f>IF(AND(OR(YearFilter="All",$E818=YearFilter),OR(RatingFilter="All",$D818=RatingFilter),OR(TypeFilter="All",$C818=TypeFilter)),1,0)</f>
        <v/>
      </c>
    </row>
    <row r="819" ht="15" customHeight="1" s="20">
      <c r="A819" s="19" t="inlineStr">
        <is>
          <t>s3143</t>
        </is>
      </c>
      <c r="B819" s="19" t="inlineStr">
        <is>
          <t>International Movies</t>
        </is>
      </c>
      <c r="C819" s="19">
        <f>IFERROR(INDEX(tblNetflix[type],MATCH($A819,tblNetflix[show_id],0)),"")</f>
        <v/>
      </c>
      <c r="D819" s="19">
        <f>IFERROR(INDEX(tblNetflix[rating],MATCH($A819,tblNetflix[show_id],0)),"")</f>
        <v/>
      </c>
      <c r="E819" s="19">
        <f>IFERROR(INDEX(tblNetflix[year_added],MATCH($A819,tblNetflix[show_id],0)),"")</f>
        <v/>
      </c>
      <c r="F819" s="19">
        <f>IF(AND(OR(YearFilter="All",$E819=YearFilter),OR(RatingFilter="All",$D819=RatingFilter),OR(TypeFilter="All",$C819=TypeFilter)),1,0)</f>
        <v/>
      </c>
    </row>
    <row r="820" ht="15" customHeight="1" s="20">
      <c r="A820" s="19" t="inlineStr">
        <is>
          <t>s3144</t>
        </is>
      </c>
      <c r="B820" s="19" t="inlineStr">
        <is>
          <t>Dramas</t>
        </is>
      </c>
      <c r="C820" s="19">
        <f>IFERROR(INDEX(tblNetflix[type],MATCH($A820,tblNetflix[show_id],0)),"")</f>
        <v/>
      </c>
      <c r="D820" s="19">
        <f>IFERROR(INDEX(tblNetflix[rating],MATCH($A820,tblNetflix[show_id],0)),"")</f>
        <v/>
      </c>
      <c r="E820" s="19">
        <f>IFERROR(INDEX(tblNetflix[year_added],MATCH($A820,tblNetflix[show_id],0)),"")</f>
        <v/>
      </c>
      <c r="F820" s="19">
        <f>IF(AND(OR(YearFilter="All",$E820=YearFilter),OR(RatingFilter="All",$D820=RatingFilter),OR(TypeFilter="All",$C820=TypeFilter)),1,0)</f>
        <v/>
      </c>
    </row>
    <row r="821" ht="15" customHeight="1" s="20">
      <c r="A821" s="19" t="inlineStr">
        <is>
          <t>s3144</t>
        </is>
      </c>
      <c r="B821" s="19" t="inlineStr">
        <is>
          <t>International Movies</t>
        </is>
      </c>
      <c r="C821" s="19">
        <f>IFERROR(INDEX(tblNetflix[type],MATCH($A821,tblNetflix[show_id],0)),"")</f>
        <v/>
      </c>
      <c r="D821" s="19">
        <f>IFERROR(INDEX(tblNetflix[rating],MATCH($A821,tblNetflix[show_id],0)),"")</f>
        <v/>
      </c>
      <c r="E821" s="19">
        <f>IFERROR(INDEX(tblNetflix[year_added],MATCH($A821,tblNetflix[show_id],0)),"")</f>
        <v/>
      </c>
      <c r="F821" s="19">
        <f>IF(AND(OR(YearFilter="All",$E821=YearFilter),OR(RatingFilter="All",$D821=RatingFilter),OR(TypeFilter="All",$C821=TypeFilter)),1,0)</f>
        <v/>
      </c>
    </row>
    <row r="822" ht="15" customHeight="1" s="20">
      <c r="A822" s="19" t="inlineStr">
        <is>
          <t>s3144</t>
        </is>
      </c>
      <c r="B822" s="19" t="inlineStr">
        <is>
          <t>Romantic Movies</t>
        </is>
      </c>
      <c r="C822" s="19">
        <f>IFERROR(INDEX(tblNetflix[type],MATCH($A822,tblNetflix[show_id],0)),"")</f>
        <v/>
      </c>
      <c r="D822" s="19">
        <f>IFERROR(INDEX(tblNetflix[rating],MATCH($A822,tblNetflix[show_id],0)),"")</f>
        <v/>
      </c>
      <c r="E822" s="19">
        <f>IFERROR(INDEX(tblNetflix[year_added],MATCH($A822,tblNetflix[show_id],0)),"")</f>
        <v/>
      </c>
      <c r="F822" s="19">
        <f>IF(AND(OR(YearFilter="All",$E822=YearFilter),OR(RatingFilter="All",$D822=RatingFilter),OR(TypeFilter="All",$C822=TypeFilter)),1,0)</f>
        <v/>
      </c>
    </row>
    <row r="823" ht="15" customHeight="1" s="20">
      <c r="A823" s="19" t="inlineStr">
        <is>
          <t>s3146</t>
        </is>
      </c>
      <c r="B823" s="19" t="inlineStr">
        <is>
          <t>Dramas</t>
        </is>
      </c>
      <c r="C823" s="19">
        <f>IFERROR(INDEX(tblNetflix[type],MATCH($A823,tblNetflix[show_id],0)),"")</f>
        <v/>
      </c>
      <c r="D823" s="19">
        <f>IFERROR(INDEX(tblNetflix[rating],MATCH($A823,tblNetflix[show_id],0)),"")</f>
        <v/>
      </c>
      <c r="E823" s="19">
        <f>IFERROR(INDEX(tblNetflix[year_added],MATCH($A823,tblNetflix[show_id],0)),"")</f>
        <v/>
      </c>
      <c r="F823" s="19">
        <f>IF(AND(OR(YearFilter="All",$E823=YearFilter),OR(RatingFilter="All",$D823=RatingFilter),OR(TypeFilter="All",$C823=TypeFilter)),1,0)</f>
        <v/>
      </c>
    </row>
    <row r="824" ht="15" customHeight="1" s="20">
      <c r="A824" s="19" t="inlineStr">
        <is>
          <t>s3146</t>
        </is>
      </c>
      <c r="B824" s="19" t="inlineStr">
        <is>
          <t>International Movies</t>
        </is>
      </c>
      <c r="C824" s="19">
        <f>IFERROR(INDEX(tblNetflix[type],MATCH($A824,tblNetflix[show_id],0)),"")</f>
        <v/>
      </c>
      <c r="D824" s="19">
        <f>IFERROR(INDEX(tblNetflix[rating],MATCH($A824,tblNetflix[show_id],0)),"")</f>
        <v/>
      </c>
      <c r="E824" s="19">
        <f>IFERROR(INDEX(tblNetflix[year_added],MATCH($A824,tblNetflix[show_id],0)),"")</f>
        <v/>
      </c>
      <c r="F824" s="19">
        <f>IF(AND(OR(YearFilter="All",$E824=YearFilter),OR(RatingFilter="All",$D824=RatingFilter),OR(TypeFilter="All",$C824=TypeFilter)),1,0)</f>
        <v/>
      </c>
    </row>
    <row r="825" ht="15" customHeight="1" s="20">
      <c r="A825" s="19" t="inlineStr">
        <is>
          <t>s3146</t>
        </is>
      </c>
      <c r="B825" s="19" t="inlineStr">
        <is>
          <t>Music &amp; Musicals</t>
        </is>
      </c>
      <c r="C825" s="19">
        <f>IFERROR(INDEX(tblNetflix[type],MATCH($A825,tblNetflix[show_id],0)),"")</f>
        <v/>
      </c>
      <c r="D825" s="19">
        <f>IFERROR(INDEX(tblNetflix[rating],MATCH($A825,tblNetflix[show_id],0)),"")</f>
        <v/>
      </c>
      <c r="E825" s="19">
        <f>IFERROR(INDEX(tblNetflix[year_added],MATCH($A825,tblNetflix[show_id],0)),"")</f>
        <v/>
      </c>
      <c r="F825" s="19">
        <f>IF(AND(OR(YearFilter="All",$E825=YearFilter),OR(RatingFilter="All",$D825=RatingFilter),OR(TypeFilter="All",$C825=TypeFilter)),1,0)</f>
        <v/>
      </c>
    </row>
    <row r="826" ht="15" customHeight="1" s="20">
      <c r="A826" s="19" t="inlineStr">
        <is>
          <t>s3148</t>
        </is>
      </c>
      <c r="B826" s="19" t="inlineStr">
        <is>
          <t>Dramas</t>
        </is>
      </c>
      <c r="C826" s="19">
        <f>IFERROR(INDEX(tblNetflix[type],MATCH($A826,tblNetflix[show_id],0)),"")</f>
        <v/>
      </c>
      <c r="D826" s="19">
        <f>IFERROR(INDEX(tblNetflix[rating],MATCH($A826,tblNetflix[show_id],0)),"")</f>
        <v/>
      </c>
      <c r="E826" s="19">
        <f>IFERROR(INDEX(tblNetflix[year_added],MATCH($A826,tblNetflix[show_id],0)),"")</f>
        <v/>
      </c>
      <c r="F826" s="19">
        <f>IF(AND(OR(YearFilter="All",$E826=YearFilter),OR(RatingFilter="All",$D826=RatingFilter),OR(TypeFilter="All",$C826=TypeFilter)),1,0)</f>
        <v/>
      </c>
    </row>
    <row r="827" ht="15" customHeight="1" s="20">
      <c r="A827" s="19" t="inlineStr">
        <is>
          <t>s3148</t>
        </is>
      </c>
      <c r="B827" s="19" t="inlineStr">
        <is>
          <t>International Movies</t>
        </is>
      </c>
      <c r="C827" s="19">
        <f>IFERROR(INDEX(tblNetflix[type],MATCH($A827,tblNetflix[show_id],0)),"")</f>
        <v/>
      </c>
      <c r="D827" s="19">
        <f>IFERROR(INDEX(tblNetflix[rating],MATCH($A827,tblNetflix[show_id],0)),"")</f>
        <v/>
      </c>
      <c r="E827" s="19">
        <f>IFERROR(INDEX(tblNetflix[year_added],MATCH($A827,tblNetflix[show_id],0)),"")</f>
        <v/>
      </c>
      <c r="F827" s="19">
        <f>IF(AND(OR(YearFilter="All",$E827=YearFilter),OR(RatingFilter="All",$D827=RatingFilter),OR(TypeFilter="All",$C827=TypeFilter)),1,0)</f>
        <v/>
      </c>
    </row>
    <row r="828" ht="15" customHeight="1" s="20">
      <c r="A828" s="19" t="inlineStr">
        <is>
          <t>s3148</t>
        </is>
      </c>
      <c r="B828" s="19" t="inlineStr">
        <is>
          <t>Thrillers</t>
        </is>
      </c>
      <c r="C828" s="19">
        <f>IFERROR(INDEX(tblNetflix[type],MATCH($A828,tblNetflix[show_id],0)),"")</f>
        <v/>
      </c>
      <c r="D828" s="19">
        <f>IFERROR(INDEX(tblNetflix[rating],MATCH($A828,tblNetflix[show_id],0)),"")</f>
        <v/>
      </c>
      <c r="E828" s="19">
        <f>IFERROR(INDEX(tblNetflix[year_added],MATCH($A828,tblNetflix[show_id],0)),"")</f>
        <v/>
      </c>
      <c r="F828" s="19">
        <f>IF(AND(OR(YearFilter="All",$E828=YearFilter),OR(RatingFilter="All",$D828=RatingFilter),OR(TypeFilter="All",$C828=TypeFilter)),1,0)</f>
        <v/>
      </c>
    </row>
    <row r="829" ht="15" customHeight="1" s="20">
      <c r="A829" s="19" t="inlineStr">
        <is>
          <t>s3150</t>
        </is>
      </c>
      <c r="B829" s="19" t="inlineStr">
        <is>
          <t>Comedies</t>
        </is>
      </c>
      <c r="C829" s="19">
        <f>IFERROR(INDEX(tblNetflix[type],MATCH($A829,tblNetflix[show_id],0)),"")</f>
        <v/>
      </c>
      <c r="D829" s="19">
        <f>IFERROR(INDEX(tblNetflix[rating],MATCH($A829,tblNetflix[show_id],0)),"")</f>
        <v/>
      </c>
      <c r="E829" s="19">
        <f>IFERROR(INDEX(tblNetflix[year_added],MATCH($A829,tblNetflix[show_id],0)),"")</f>
        <v/>
      </c>
      <c r="F829" s="19">
        <f>IF(AND(OR(YearFilter="All",$E829=YearFilter),OR(RatingFilter="All",$D829=RatingFilter),OR(TypeFilter="All",$C829=TypeFilter)),1,0)</f>
        <v/>
      </c>
    </row>
    <row r="830" ht="15" customHeight="1" s="20">
      <c r="A830" s="19" t="inlineStr">
        <is>
          <t>s3150</t>
        </is>
      </c>
      <c r="B830" s="19" t="inlineStr">
        <is>
          <t>Dramas</t>
        </is>
      </c>
      <c r="C830" s="19">
        <f>IFERROR(INDEX(tblNetflix[type],MATCH($A830,tblNetflix[show_id],0)),"")</f>
        <v/>
      </c>
      <c r="D830" s="19">
        <f>IFERROR(INDEX(tblNetflix[rating],MATCH($A830,tblNetflix[show_id],0)),"")</f>
        <v/>
      </c>
      <c r="E830" s="19">
        <f>IFERROR(INDEX(tblNetflix[year_added],MATCH($A830,tblNetflix[show_id],0)),"")</f>
        <v/>
      </c>
      <c r="F830" s="19">
        <f>IF(AND(OR(YearFilter="All",$E830=YearFilter),OR(RatingFilter="All",$D830=RatingFilter),OR(TypeFilter="All",$C830=TypeFilter)),1,0)</f>
        <v/>
      </c>
    </row>
    <row r="831" ht="15" customHeight="1" s="20">
      <c r="A831" s="19" t="inlineStr">
        <is>
          <t>s3150</t>
        </is>
      </c>
      <c r="B831" s="19" t="inlineStr">
        <is>
          <t>International Movies</t>
        </is>
      </c>
      <c r="C831" s="19">
        <f>IFERROR(INDEX(tblNetflix[type],MATCH($A831,tblNetflix[show_id],0)),"")</f>
        <v/>
      </c>
      <c r="D831" s="19">
        <f>IFERROR(INDEX(tblNetflix[rating],MATCH($A831,tblNetflix[show_id],0)),"")</f>
        <v/>
      </c>
      <c r="E831" s="19">
        <f>IFERROR(INDEX(tblNetflix[year_added],MATCH($A831,tblNetflix[show_id],0)),"")</f>
        <v/>
      </c>
      <c r="F831" s="19">
        <f>IF(AND(OR(YearFilter="All",$E831=YearFilter),OR(RatingFilter="All",$D831=RatingFilter),OR(TypeFilter="All",$C831=TypeFilter)),1,0)</f>
        <v/>
      </c>
    </row>
    <row r="832" ht="15" customHeight="1" s="20">
      <c r="A832" s="19" t="inlineStr">
        <is>
          <t>s3159</t>
        </is>
      </c>
      <c r="B832" s="19" t="inlineStr">
        <is>
          <t>Dramas</t>
        </is>
      </c>
      <c r="C832" s="19">
        <f>IFERROR(INDEX(tblNetflix[type],MATCH($A832,tblNetflix[show_id],0)),"")</f>
        <v/>
      </c>
      <c r="D832" s="19">
        <f>IFERROR(INDEX(tblNetflix[rating],MATCH($A832,tblNetflix[show_id],0)),"")</f>
        <v/>
      </c>
      <c r="E832" s="19">
        <f>IFERROR(INDEX(tblNetflix[year_added],MATCH($A832,tblNetflix[show_id],0)),"")</f>
        <v/>
      </c>
      <c r="F832" s="19">
        <f>IF(AND(OR(YearFilter="All",$E832=YearFilter),OR(RatingFilter="All",$D832=RatingFilter),OR(TypeFilter="All",$C832=TypeFilter)),1,0)</f>
        <v/>
      </c>
    </row>
    <row r="833" ht="15" customHeight="1" s="20">
      <c r="A833" s="19" t="inlineStr">
        <is>
          <t>s3159</t>
        </is>
      </c>
      <c r="B833" s="19" t="inlineStr">
        <is>
          <t>International Movies</t>
        </is>
      </c>
      <c r="C833" s="19">
        <f>IFERROR(INDEX(tblNetflix[type],MATCH($A833,tblNetflix[show_id],0)),"")</f>
        <v/>
      </c>
      <c r="D833" s="19">
        <f>IFERROR(INDEX(tblNetflix[rating],MATCH($A833,tblNetflix[show_id],0)),"")</f>
        <v/>
      </c>
      <c r="E833" s="19">
        <f>IFERROR(INDEX(tblNetflix[year_added],MATCH($A833,tblNetflix[show_id],0)),"")</f>
        <v/>
      </c>
      <c r="F833" s="19">
        <f>IF(AND(OR(YearFilter="All",$E833=YearFilter),OR(RatingFilter="All",$D833=RatingFilter),OR(TypeFilter="All",$C833=TypeFilter)),1,0)</f>
        <v/>
      </c>
    </row>
    <row r="834" ht="15" customHeight="1" s="20">
      <c r="A834" s="19" t="inlineStr">
        <is>
          <t>s3164</t>
        </is>
      </c>
      <c r="B834" s="19" t="inlineStr">
        <is>
          <t>Action &amp; Adventure</t>
        </is>
      </c>
      <c r="C834" s="19">
        <f>IFERROR(INDEX(tblNetflix[type],MATCH($A834,tblNetflix[show_id],0)),"")</f>
        <v/>
      </c>
      <c r="D834" s="19">
        <f>IFERROR(INDEX(tblNetflix[rating],MATCH($A834,tblNetflix[show_id],0)),"")</f>
        <v/>
      </c>
      <c r="E834" s="19">
        <f>IFERROR(INDEX(tblNetflix[year_added],MATCH($A834,tblNetflix[show_id],0)),"")</f>
        <v/>
      </c>
      <c r="F834" s="19">
        <f>IF(AND(OR(YearFilter="All",$E834=YearFilter),OR(RatingFilter="All",$D834=RatingFilter),OR(TypeFilter="All",$C834=TypeFilter)),1,0)</f>
        <v/>
      </c>
    </row>
    <row r="835" ht="15" customHeight="1" s="20">
      <c r="A835" s="19" t="inlineStr">
        <is>
          <t>s3164</t>
        </is>
      </c>
      <c r="B835" s="19" t="inlineStr">
        <is>
          <t>International Movies</t>
        </is>
      </c>
      <c r="C835" s="19">
        <f>IFERROR(INDEX(tblNetflix[type],MATCH($A835,tblNetflix[show_id],0)),"")</f>
        <v/>
      </c>
      <c r="D835" s="19">
        <f>IFERROR(INDEX(tblNetflix[rating],MATCH($A835,tblNetflix[show_id],0)),"")</f>
        <v/>
      </c>
      <c r="E835" s="19">
        <f>IFERROR(INDEX(tblNetflix[year_added],MATCH($A835,tblNetflix[show_id],0)),"")</f>
        <v/>
      </c>
      <c r="F835" s="19">
        <f>IF(AND(OR(YearFilter="All",$E835=YearFilter),OR(RatingFilter="All",$D835=RatingFilter),OR(TypeFilter="All",$C835=TypeFilter)),1,0)</f>
        <v/>
      </c>
    </row>
    <row r="836" ht="15" customHeight="1" s="20">
      <c r="A836" s="19" t="inlineStr">
        <is>
          <t>s3190</t>
        </is>
      </c>
      <c r="B836" s="19" t="inlineStr">
        <is>
          <t>Comedies</t>
        </is>
      </c>
      <c r="C836" s="19">
        <f>IFERROR(INDEX(tblNetflix[type],MATCH($A836,tblNetflix[show_id],0)),"")</f>
        <v/>
      </c>
      <c r="D836" s="19">
        <f>IFERROR(INDEX(tblNetflix[rating],MATCH($A836,tblNetflix[show_id],0)),"")</f>
        <v/>
      </c>
      <c r="E836" s="19">
        <f>IFERROR(INDEX(tblNetflix[year_added],MATCH($A836,tblNetflix[show_id],0)),"")</f>
        <v/>
      </c>
      <c r="F836" s="19">
        <f>IF(AND(OR(YearFilter="All",$E836=YearFilter),OR(RatingFilter="All",$D836=RatingFilter),OR(TypeFilter="All",$C836=TypeFilter)),1,0)</f>
        <v/>
      </c>
    </row>
    <row r="837" ht="15" customHeight="1" s="20">
      <c r="A837" s="19" t="inlineStr">
        <is>
          <t>s3190</t>
        </is>
      </c>
      <c r="B837" s="19" t="inlineStr">
        <is>
          <t>International Movies</t>
        </is>
      </c>
      <c r="C837" s="19">
        <f>IFERROR(INDEX(tblNetflix[type],MATCH($A837,tblNetflix[show_id],0)),"")</f>
        <v/>
      </c>
      <c r="D837" s="19">
        <f>IFERROR(INDEX(tblNetflix[rating],MATCH($A837,tblNetflix[show_id],0)),"")</f>
        <v/>
      </c>
      <c r="E837" s="19">
        <f>IFERROR(INDEX(tblNetflix[year_added],MATCH($A837,tblNetflix[show_id],0)),"")</f>
        <v/>
      </c>
      <c r="F837" s="19">
        <f>IF(AND(OR(YearFilter="All",$E837=YearFilter),OR(RatingFilter="All",$D837=RatingFilter),OR(TypeFilter="All",$C837=TypeFilter)),1,0)</f>
        <v/>
      </c>
    </row>
    <row r="838" ht="15" customHeight="1" s="20">
      <c r="A838" s="19" t="inlineStr">
        <is>
          <t>s3190</t>
        </is>
      </c>
      <c r="B838" s="19" t="inlineStr">
        <is>
          <t>Romantic Movies</t>
        </is>
      </c>
      <c r="C838" s="19">
        <f>IFERROR(INDEX(tblNetflix[type],MATCH($A838,tblNetflix[show_id],0)),"")</f>
        <v/>
      </c>
      <c r="D838" s="19">
        <f>IFERROR(INDEX(tblNetflix[rating],MATCH($A838,tblNetflix[show_id],0)),"")</f>
        <v/>
      </c>
      <c r="E838" s="19">
        <f>IFERROR(INDEX(tblNetflix[year_added],MATCH($A838,tblNetflix[show_id],0)),"")</f>
        <v/>
      </c>
      <c r="F838" s="19">
        <f>IF(AND(OR(YearFilter="All",$E838=YearFilter),OR(RatingFilter="All",$D838=RatingFilter),OR(TypeFilter="All",$C838=TypeFilter)),1,0)</f>
        <v/>
      </c>
    </row>
    <row r="839" ht="15" customHeight="1" s="20">
      <c r="A839" s="19" t="inlineStr">
        <is>
          <t>s3194</t>
        </is>
      </c>
      <c r="B839" s="19" t="inlineStr">
        <is>
          <t>Comedies</t>
        </is>
      </c>
      <c r="C839" s="19">
        <f>IFERROR(INDEX(tblNetflix[type],MATCH($A839,tblNetflix[show_id],0)),"")</f>
        <v/>
      </c>
      <c r="D839" s="19">
        <f>IFERROR(INDEX(tblNetflix[rating],MATCH($A839,tblNetflix[show_id],0)),"")</f>
        <v/>
      </c>
      <c r="E839" s="19">
        <f>IFERROR(INDEX(tblNetflix[year_added],MATCH($A839,tblNetflix[show_id],0)),"")</f>
        <v/>
      </c>
      <c r="F839" s="19">
        <f>IF(AND(OR(YearFilter="All",$E839=YearFilter),OR(RatingFilter="All",$D839=RatingFilter),OR(TypeFilter="All",$C839=TypeFilter)),1,0)</f>
        <v/>
      </c>
    </row>
    <row r="840" ht="15" customHeight="1" s="20">
      <c r="A840" s="19" t="inlineStr">
        <is>
          <t>s3194</t>
        </is>
      </c>
      <c r="B840" s="19" t="inlineStr">
        <is>
          <t>International Movies</t>
        </is>
      </c>
      <c r="C840" s="19">
        <f>IFERROR(INDEX(tblNetflix[type],MATCH($A840,tblNetflix[show_id],0)),"")</f>
        <v/>
      </c>
      <c r="D840" s="19">
        <f>IFERROR(INDEX(tblNetflix[rating],MATCH($A840,tblNetflix[show_id],0)),"")</f>
        <v/>
      </c>
      <c r="E840" s="19">
        <f>IFERROR(INDEX(tblNetflix[year_added],MATCH($A840,tblNetflix[show_id],0)),"")</f>
        <v/>
      </c>
      <c r="F840" s="19">
        <f>IF(AND(OR(YearFilter="All",$E840=YearFilter),OR(RatingFilter="All",$D840=RatingFilter),OR(TypeFilter="All",$C840=TypeFilter)),1,0)</f>
        <v/>
      </c>
    </row>
    <row r="841" ht="15" customHeight="1" s="20">
      <c r="A841" s="19" t="inlineStr">
        <is>
          <t>s3194</t>
        </is>
      </c>
      <c r="B841" s="19" t="inlineStr">
        <is>
          <t>Romantic Movies</t>
        </is>
      </c>
      <c r="C841" s="19">
        <f>IFERROR(INDEX(tblNetflix[type],MATCH($A841,tblNetflix[show_id],0)),"")</f>
        <v/>
      </c>
      <c r="D841" s="19">
        <f>IFERROR(INDEX(tblNetflix[rating],MATCH($A841,tblNetflix[show_id],0)),"")</f>
        <v/>
      </c>
      <c r="E841" s="19">
        <f>IFERROR(INDEX(tblNetflix[year_added],MATCH($A841,tblNetflix[show_id],0)),"")</f>
        <v/>
      </c>
      <c r="F841" s="19">
        <f>IF(AND(OR(YearFilter="All",$E841=YearFilter),OR(RatingFilter="All",$D841=RatingFilter),OR(TypeFilter="All",$C841=TypeFilter)),1,0)</f>
        <v/>
      </c>
    </row>
    <row r="842" ht="15" customHeight="1" s="20">
      <c r="A842" s="19" t="inlineStr">
        <is>
          <t>s3196</t>
        </is>
      </c>
      <c r="B842" s="19" t="inlineStr">
        <is>
          <t>Dramas</t>
        </is>
      </c>
      <c r="C842" s="19">
        <f>IFERROR(INDEX(tblNetflix[type],MATCH($A842,tblNetflix[show_id],0)),"")</f>
        <v/>
      </c>
      <c r="D842" s="19">
        <f>IFERROR(INDEX(tblNetflix[rating],MATCH($A842,tblNetflix[show_id],0)),"")</f>
        <v/>
      </c>
      <c r="E842" s="19">
        <f>IFERROR(INDEX(tblNetflix[year_added],MATCH($A842,tblNetflix[show_id],0)),"")</f>
        <v/>
      </c>
      <c r="F842" s="19">
        <f>IF(AND(OR(YearFilter="All",$E842=YearFilter),OR(RatingFilter="All",$D842=RatingFilter),OR(TypeFilter="All",$C842=TypeFilter)),1,0)</f>
        <v/>
      </c>
    </row>
    <row r="843" ht="15" customHeight="1" s="20">
      <c r="A843" s="19" t="inlineStr">
        <is>
          <t>s3196</t>
        </is>
      </c>
      <c r="B843" s="19" t="inlineStr">
        <is>
          <t>International Movies</t>
        </is>
      </c>
      <c r="C843" s="19">
        <f>IFERROR(INDEX(tblNetflix[type],MATCH($A843,tblNetflix[show_id],0)),"")</f>
        <v/>
      </c>
      <c r="D843" s="19">
        <f>IFERROR(INDEX(tblNetflix[rating],MATCH($A843,tblNetflix[show_id],0)),"")</f>
        <v/>
      </c>
      <c r="E843" s="19">
        <f>IFERROR(INDEX(tblNetflix[year_added],MATCH($A843,tblNetflix[show_id],0)),"")</f>
        <v/>
      </c>
      <c r="F843" s="19">
        <f>IF(AND(OR(YearFilter="All",$E843=YearFilter),OR(RatingFilter="All",$D843=RatingFilter),OR(TypeFilter="All",$C843=TypeFilter)),1,0)</f>
        <v/>
      </c>
    </row>
    <row r="844" ht="15" customHeight="1" s="20">
      <c r="A844" s="19" t="inlineStr">
        <is>
          <t>s3196</t>
        </is>
      </c>
      <c r="B844" s="19" t="inlineStr">
        <is>
          <t>Romantic Movies</t>
        </is>
      </c>
      <c r="C844" s="19">
        <f>IFERROR(INDEX(tblNetflix[type],MATCH($A844,tblNetflix[show_id],0)),"")</f>
        <v/>
      </c>
      <c r="D844" s="19">
        <f>IFERROR(INDEX(tblNetflix[rating],MATCH($A844,tblNetflix[show_id],0)),"")</f>
        <v/>
      </c>
      <c r="E844" s="19">
        <f>IFERROR(INDEX(tblNetflix[year_added],MATCH($A844,tblNetflix[show_id],0)),"")</f>
        <v/>
      </c>
      <c r="F844" s="19">
        <f>IF(AND(OR(YearFilter="All",$E844=YearFilter),OR(RatingFilter="All",$D844=RatingFilter),OR(TypeFilter="All",$C844=TypeFilter)),1,0)</f>
        <v/>
      </c>
    </row>
    <row r="845" ht="15" customHeight="1" s="20">
      <c r="A845" s="19" t="inlineStr">
        <is>
          <t>s3197</t>
        </is>
      </c>
      <c r="B845" s="19" t="inlineStr">
        <is>
          <t>Dramas</t>
        </is>
      </c>
      <c r="C845" s="19">
        <f>IFERROR(INDEX(tblNetflix[type],MATCH($A845,tblNetflix[show_id],0)),"")</f>
        <v/>
      </c>
      <c r="D845" s="19">
        <f>IFERROR(INDEX(tblNetflix[rating],MATCH($A845,tblNetflix[show_id],0)),"")</f>
        <v/>
      </c>
      <c r="E845" s="19">
        <f>IFERROR(INDEX(tblNetflix[year_added],MATCH($A845,tblNetflix[show_id],0)),"")</f>
        <v/>
      </c>
      <c r="F845" s="19">
        <f>IF(AND(OR(YearFilter="All",$E845=YearFilter),OR(RatingFilter="All",$D845=RatingFilter),OR(TypeFilter="All",$C845=TypeFilter)),1,0)</f>
        <v/>
      </c>
    </row>
    <row r="846" ht="15" customHeight="1" s="20">
      <c r="A846" s="19" t="inlineStr">
        <is>
          <t>s3197</t>
        </is>
      </c>
      <c r="B846" s="19" t="inlineStr">
        <is>
          <t>International Movies</t>
        </is>
      </c>
      <c r="C846" s="19">
        <f>IFERROR(INDEX(tblNetflix[type],MATCH($A846,tblNetflix[show_id],0)),"")</f>
        <v/>
      </c>
      <c r="D846" s="19">
        <f>IFERROR(INDEX(tblNetflix[rating],MATCH($A846,tblNetflix[show_id],0)),"")</f>
        <v/>
      </c>
      <c r="E846" s="19">
        <f>IFERROR(INDEX(tblNetflix[year_added],MATCH($A846,tblNetflix[show_id],0)),"")</f>
        <v/>
      </c>
      <c r="F846" s="19">
        <f>IF(AND(OR(YearFilter="All",$E846=YearFilter),OR(RatingFilter="All",$D846=RatingFilter),OR(TypeFilter="All",$C846=TypeFilter)),1,0)</f>
        <v/>
      </c>
    </row>
    <row r="847" ht="15" customHeight="1" s="20">
      <c r="A847" s="19" t="inlineStr">
        <is>
          <t>s3197</t>
        </is>
      </c>
      <c r="B847" s="19" t="inlineStr">
        <is>
          <t>Romantic Movies</t>
        </is>
      </c>
      <c r="C847" s="19">
        <f>IFERROR(INDEX(tblNetflix[type],MATCH($A847,tblNetflix[show_id],0)),"")</f>
        <v/>
      </c>
      <c r="D847" s="19">
        <f>IFERROR(INDEX(tblNetflix[rating],MATCH($A847,tblNetflix[show_id],0)),"")</f>
        <v/>
      </c>
      <c r="E847" s="19">
        <f>IFERROR(INDEX(tblNetflix[year_added],MATCH($A847,tblNetflix[show_id],0)),"")</f>
        <v/>
      </c>
      <c r="F847" s="19">
        <f>IF(AND(OR(YearFilter="All",$E847=YearFilter),OR(RatingFilter="All",$D847=RatingFilter),OR(TypeFilter="All",$C847=TypeFilter)),1,0)</f>
        <v/>
      </c>
    </row>
    <row r="848" ht="15" customHeight="1" s="20">
      <c r="A848" s="19" t="inlineStr">
        <is>
          <t>s3199</t>
        </is>
      </c>
      <c r="B848" s="19" t="inlineStr">
        <is>
          <t>Dramas</t>
        </is>
      </c>
      <c r="C848" s="19">
        <f>IFERROR(INDEX(tblNetflix[type],MATCH($A848,tblNetflix[show_id],0)),"")</f>
        <v/>
      </c>
      <c r="D848" s="19">
        <f>IFERROR(INDEX(tblNetflix[rating],MATCH($A848,tblNetflix[show_id],0)),"")</f>
        <v/>
      </c>
      <c r="E848" s="19">
        <f>IFERROR(INDEX(tblNetflix[year_added],MATCH($A848,tblNetflix[show_id],0)),"")</f>
        <v/>
      </c>
      <c r="F848" s="19">
        <f>IF(AND(OR(YearFilter="All",$E848=YearFilter),OR(RatingFilter="All",$D848=RatingFilter),OR(TypeFilter="All",$C848=TypeFilter)),1,0)</f>
        <v/>
      </c>
    </row>
    <row r="849" ht="15" customHeight="1" s="20">
      <c r="A849" s="19" t="inlineStr">
        <is>
          <t>s3199</t>
        </is>
      </c>
      <c r="B849" s="19" t="inlineStr">
        <is>
          <t>International Movies</t>
        </is>
      </c>
      <c r="C849" s="19">
        <f>IFERROR(INDEX(tblNetflix[type],MATCH($A849,tblNetflix[show_id],0)),"")</f>
        <v/>
      </c>
      <c r="D849" s="19">
        <f>IFERROR(INDEX(tblNetflix[rating],MATCH($A849,tblNetflix[show_id],0)),"")</f>
        <v/>
      </c>
      <c r="E849" s="19">
        <f>IFERROR(INDEX(tblNetflix[year_added],MATCH($A849,tblNetflix[show_id],0)),"")</f>
        <v/>
      </c>
      <c r="F849" s="19">
        <f>IF(AND(OR(YearFilter="All",$E849=YearFilter),OR(RatingFilter="All",$D849=RatingFilter),OR(TypeFilter="All",$C849=TypeFilter)),1,0)</f>
        <v/>
      </c>
    </row>
    <row r="850" ht="15" customHeight="1" s="20">
      <c r="A850" s="19" t="inlineStr">
        <is>
          <t>s3199</t>
        </is>
      </c>
      <c r="B850" s="19" t="inlineStr">
        <is>
          <t>Romantic Movies</t>
        </is>
      </c>
      <c r="C850" s="19">
        <f>IFERROR(INDEX(tblNetflix[type],MATCH($A850,tblNetflix[show_id],0)),"")</f>
        <v/>
      </c>
      <c r="D850" s="19">
        <f>IFERROR(INDEX(tblNetflix[rating],MATCH($A850,tblNetflix[show_id],0)),"")</f>
        <v/>
      </c>
      <c r="E850" s="19">
        <f>IFERROR(INDEX(tblNetflix[year_added],MATCH($A850,tblNetflix[show_id],0)),"")</f>
        <v/>
      </c>
      <c r="F850" s="19">
        <f>IF(AND(OR(YearFilter="All",$E850=YearFilter),OR(RatingFilter="All",$D850=RatingFilter),OR(TypeFilter="All",$C850=TypeFilter)),1,0)</f>
        <v/>
      </c>
    </row>
    <row r="851" ht="15" customHeight="1" s="20">
      <c r="A851" s="19" t="inlineStr">
        <is>
          <t>s3202</t>
        </is>
      </c>
      <c r="B851" s="19" t="inlineStr">
        <is>
          <t>Comedies</t>
        </is>
      </c>
      <c r="C851" s="19">
        <f>IFERROR(INDEX(tblNetflix[type],MATCH($A851,tblNetflix[show_id],0)),"")</f>
        <v/>
      </c>
      <c r="D851" s="19">
        <f>IFERROR(INDEX(tblNetflix[rating],MATCH($A851,tblNetflix[show_id],0)),"")</f>
        <v/>
      </c>
      <c r="E851" s="19">
        <f>IFERROR(INDEX(tblNetflix[year_added],MATCH($A851,tblNetflix[show_id],0)),"")</f>
        <v/>
      </c>
      <c r="F851" s="19">
        <f>IF(AND(OR(YearFilter="All",$E851=YearFilter),OR(RatingFilter="All",$D851=RatingFilter),OR(TypeFilter="All",$C851=TypeFilter)),1,0)</f>
        <v/>
      </c>
    </row>
    <row r="852" ht="15" customHeight="1" s="20">
      <c r="A852" s="19" t="inlineStr">
        <is>
          <t>s3202</t>
        </is>
      </c>
      <c r="B852" s="19" t="inlineStr">
        <is>
          <t>Dramas</t>
        </is>
      </c>
      <c r="C852" s="19">
        <f>IFERROR(INDEX(tblNetflix[type],MATCH($A852,tblNetflix[show_id],0)),"")</f>
        <v/>
      </c>
      <c r="D852" s="19">
        <f>IFERROR(INDEX(tblNetflix[rating],MATCH($A852,tblNetflix[show_id],0)),"")</f>
        <v/>
      </c>
      <c r="E852" s="19">
        <f>IFERROR(INDEX(tblNetflix[year_added],MATCH($A852,tblNetflix[show_id],0)),"")</f>
        <v/>
      </c>
      <c r="F852" s="19">
        <f>IF(AND(OR(YearFilter="All",$E852=YearFilter),OR(RatingFilter="All",$D852=RatingFilter),OR(TypeFilter="All",$C852=TypeFilter)),1,0)</f>
        <v/>
      </c>
    </row>
    <row r="853" ht="15" customHeight="1" s="20">
      <c r="A853" s="19" t="inlineStr">
        <is>
          <t>s3202</t>
        </is>
      </c>
      <c r="B853" s="19" t="inlineStr">
        <is>
          <t>International Movies</t>
        </is>
      </c>
      <c r="C853" s="19">
        <f>IFERROR(INDEX(tblNetflix[type],MATCH($A853,tblNetflix[show_id],0)),"")</f>
        <v/>
      </c>
      <c r="D853" s="19">
        <f>IFERROR(INDEX(tblNetflix[rating],MATCH($A853,tblNetflix[show_id],0)),"")</f>
        <v/>
      </c>
      <c r="E853" s="19">
        <f>IFERROR(INDEX(tblNetflix[year_added],MATCH($A853,tblNetflix[show_id],0)),"")</f>
        <v/>
      </c>
      <c r="F853" s="19">
        <f>IF(AND(OR(YearFilter="All",$E853=YearFilter),OR(RatingFilter="All",$D853=RatingFilter),OR(TypeFilter="All",$C853=TypeFilter)),1,0)</f>
        <v/>
      </c>
    </row>
    <row r="854" ht="15" customHeight="1" s="20">
      <c r="A854" s="19" t="inlineStr">
        <is>
          <t>s3207</t>
        </is>
      </c>
      <c r="B854" s="19" t="inlineStr">
        <is>
          <t>Comedies</t>
        </is>
      </c>
      <c r="C854" s="19">
        <f>IFERROR(INDEX(tblNetflix[type],MATCH($A854,tblNetflix[show_id],0)),"")</f>
        <v/>
      </c>
      <c r="D854" s="19">
        <f>IFERROR(INDEX(tblNetflix[rating],MATCH($A854,tblNetflix[show_id],0)),"")</f>
        <v/>
      </c>
      <c r="E854" s="19">
        <f>IFERROR(INDEX(tblNetflix[year_added],MATCH($A854,tblNetflix[show_id],0)),"")</f>
        <v/>
      </c>
      <c r="F854" s="19">
        <f>IF(AND(OR(YearFilter="All",$E854=YearFilter),OR(RatingFilter="All",$D854=RatingFilter),OR(TypeFilter="All",$C854=TypeFilter)),1,0)</f>
        <v/>
      </c>
    </row>
    <row r="855" ht="15" customHeight="1" s="20">
      <c r="A855" s="19" t="inlineStr">
        <is>
          <t>s3207</t>
        </is>
      </c>
      <c r="B855" s="19" t="inlineStr">
        <is>
          <t>Dramas</t>
        </is>
      </c>
      <c r="C855" s="19">
        <f>IFERROR(INDEX(tblNetflix[type],MATCH($A855,tblNetflix[show_id],0)),"")</f>
        <v/>
      </c>
      <c r="D855" s="19">
        <f>IFERROR(INDEX(tblNetflix[rating],MATCH($A855,tblNetflix[show_id],0)),"")</f>
        <v/>
      </c>
      <c r="E855" s="19">
        <f>IFERROR(INDEX(tblNetflix[year_added],MATCH($A855,tblNetflix[show_id],0)),"")</f>
        <v/>
      </c>
      <c r="F855" s="19">
        <f>IF(AND(OR(YearFilter="All",$E855=YearFilter),OR(RatingFilter="All",$D855=RatingFilter),OR(TypeFilter="All",$C855=TypeFilter)),1,0)</f>
        <v/>
      </c>
    </row>
    <row r="856" ht="15" customHeight="1" s="20">
      <c r="A856" s="19" t="inlineStr">
        <is>
          <t>s3207</t>
        </is>
      </c>
      <c r="B856" s="19" t="inlineStr">
        <is>
          <t>International Movies</t>
        </is>
      </c>
      <c r="C856" s="19">
        <f>IFERROR(INDEX(tblNetflix[type],MATCH($A856,tblNetflix[show_id],0)),"")</f>
        <v/>
      </c>
      <c r="D856" s="19">
        <f>IFERROR(INDEX(tblNetflix[rating],MATCH($A856,tblNetflix[show_id],0)),"")</f>
        <v/>
      </c>
      <c r="E856" s="19">
        <f>IFERROR(INDEX(tblNetflix[year_added],MATCH($A856,tblNetflix[show_id],0)),"")</f>
        <v/>
      </c>
      <c r="F856" s="19">
        <f>IF(AND(OR(YearFilter="All",$E856=YearFilter),OR(RatingFilter="All",$D856=RatingFilter),OR(TypeFilter="All",$C856=TypeFilter)),1,0)</f>
        <v/>
      </c>
    </row>
    <row r="857" ht="15" customHeight="1" s="20">
      <c r="A857" s="19" t="inlineStr">
        <is>
          <t>s3225</t>
        </is>
      </c>
      <c r="B857" s="19" t="inlineStr">
        <is>
          <t>Comedies</t>
        </is>
      </c>
      <c r="C857" s="19">
        <f>IFERROR(INDEX(tblNetflix[type],MATCH($A857,tblNetflix[show_id],0)),"")</f>
        <v/>
      </c>
      <c r="D857" s="19">
        <f>IFERROR(INDEX(tblNetflix[rating],MATCH($A857,tblNetflix[show_id],0)),"")</f>
        <v/>
      </c>
      <c r="E857" s="19">
        <f>IFERROR(INDEX(tblNetflix[year_added],MATCH($A857,tblNetflix[show_id],0)),"")</f>
        <v/>
      </c>
      <c r="F857" s="19">
        <f>IF(AND(OR(YearFilter="All",$E857=YearFilter),OR(RatingFilter="All",$D857=RatingFilter),OR(TypeFilter="All",$C857=TypeFilter)),1,0)</f>
        <v/>
      </c>
    </row>
    <row r="858" ht="15" customHeight="1" s="20">
      <c r="A858" s="19" t="inlineStr">
        <is>
          <t>s3225</t>
        </is>
      </c>
      <c r="B858" s="19" t="inlineStr">
        <is>
          <t>International Movies</t>
        </is>
      </c>
      <c r="C858" s="19">
        <f>IFERROR(INDEX(tblNetflix[type],MATCH($A858,tblNetflix[show_id],0)),"")</f>
        <v/>
      </c>
      <c r="D858" s="19">
        <f>IFERROR(INDEX(tblNetflix[rating],MATCH($A858,tblNetflix[show_id],0)),"")</f>
        <v/>
      </c>
      <c r="E858" s="19">
        <f>IFERROR(INDEX(tblNetflix[year_added],MATCH($A858,tblNetflix[show_id],0)),"")</f>
        <v/>
      </c>
      <c r="F858" s="19">
        <f>IF(AND(OR(YearFilter="All",$E858=YearFilter),OR(RatingFilter="All",$D858=RatingFilter),OR(TypeFilter="All",$C858=TypeFilter)),1,0)</f>
        <v/>
      </c>
    </row>
    <row r="859" ht="15" customHeight="1" s="20">
      <c r="A859" s="19" t="inlineStr">
        <is>
          <t>s3225</t>
        </is>
      </c>
      <c r="B859" s="19" t="inlineStr">
        <is>
          <t>Romantic Movies</t>
        </is>
      </c>
      <c r="C859" s="19">
        <f>IFERROR(INDEX(tblNetflix[type],MATCH($A859,tblNetflix[show_id],0)),"")</f>
        <v/>
      </c>
      <c r="D859" s="19">
        <f>IFERROR(INDEX(tblNetflix[rating],MATCH($A859,tblNetflix[show_id],0)),"")</f>
        <v/>
      </c>
      <c r="E859" s="19">
        <f>IFERROR(INDEX(tblNetflix[year_added],MATCH($A859,tblNetflix[show_id],0)),"")</f>
        <v/>
      </c>
      <c r="F859" s="19">
        <f>IF(AND(OR(YearFilter="All",$E859=YearFilter),OR(RatingFilter="All",$D859=RatingFilter),OR(TypeFilter="All",$C859=TypeFilter)),1,0)</f>
        <v/>
      </c>
    </row>
    <row r="860" ht="15" customHeight="1" s="20">
      <c r="A860" s="19" t="inlineStr">
        <is>
          <t>s3234</t>
        </is>
      </c>
      <c r="B860" s="19" t="inlineStr">
        <is>
          <t>Action &amp; Adventure</t>
        </is>
      </c>
      <c r="C860" s="19">
        <f>IFERROR(INDEX(tblNetflix[type],MATCH($A860,tblNetflix[show_id],0)),"")</f>
        <v/>
      </c>
      <c r="D860" s="19">
        <f>IFERROR(INDEX(tblNetflix[rating],MATCH($A860,tblNetflix[show_id],0)),"")</f>
        <v/>
      </c>
      <c r="E860" s="19">
        <f>IFERROR(INDEX(tblNetflix[year_added],MATCH($A860,tblNetflix[show_id],0)),"")</f>
        <v/>
      </c>
      <c r="F860" s="19">
        <f>IF(AND(OR(YearFilter="All",$E860=YearFilter),OR(RatingFilter="All",$D860=RatingFilter),OR(TypeFilter="All",$C860=TypeFilter)),1,0)</f>
        <v/>
      </c>
    </row>
    <row r="861" ht="15" customHeight="1" s="20">
      <c r="A861" s="19" t="inlineStr">
        <is>
          <t>s3234</t>
        </is>
      </c>
      <c r="B861" s="19" t="inlineStr">
        <is>
          <t>Dramas</t>
        </is>
      </c>
      <c r="C861" s="19">
        <f>IFERROR(INDEX(tblNetflix[type],MATCH($A861,tblNetflix[show_id],0)),"")</f>
        <v/>
      </c>
      <c r="D861" s="19">
        <f>IFERROR(INDEX(tblNetflix[rating],MATCH($A861,tblNetflix[show_id],0)),"")</f>
        <v/>
      </c>
      <c r="E861" s="19">
        <f>IFERROR(INDEX(tblNetflix[year_added],MATCH($A861,tblNetflix[show_id],0)),"")</f>
        <v/>
      </c>
      <c r="F861" s="19">
        <f>IF(AND(OR(YearFilter="All",$E861=YearFilter),OR(RatingFilter="All",$D861=RatingFilter),OR(TypeFilter="All",$C861=TypeFilter)),1,0)</f>
        <v/>
      </c>
    </row>
    <row r="862" ht="15" customHeight="1" s="20">
      <c r="A862" s="19" t="inlineStr">
        <is>
          <t>s3234</t>
        </is>
      </c>
      <c r="B862" s="19" t="inlineStr">
        <is>
          <t>International Movies</t>
        </is>
      </c>
      <c r="C862" s="19">
        <f>IFERROR(INDEX(tblNetflix[type],MATCH($A862,tblNetflix[show_id],0)),"")</f>
        <v/>
      </c>
      <c r="D862" s="19">
        <f>IFERROR(INDEX(tblNetflix[rating],MATCH($A862,tblNetflix[show_id],0)),"")</f>
        <v/>
      </c>
      <c r="E862" s="19">
        <f>IFERROR(INDEX(tblNetflix[year_added],MATCH($A862,tblNetflix[show_id],0)),"")</f>
        <v/>
      </c>
      <c r="F862" s="19">
        <f>IF(AND(OR(YearFilter="All",$E862=YearFilter),OR(RatingFilter="All",$D862=RatingFilter),OR(TypeFilter="All",$C862=TypeFilter)),1,0)</f>
        <v/>
      </c>
    </row>
    <row r="863" ht="15" customHeight="1" s="20">
      <c r="A863" s="19" t="inlineStr">
        <is>
          <t>s3252</t>
        </is>
      </c>
      <c r="B863" s="19" t="inlineStr">
        <is>
          <t>Dramas</t>
        </is>
      </c>
      <c r="C863" s="19">
        <f>IFERROR(INDEX(tblNetflix[type],MATCH($A863,tblNetflix[show_id],0)),"")</f>
        <v/>
      </c>
      <c r="D863" s="19">
        <f>IFERROR(INDEX(tblNetflix[rating],MATCH($A863,tblNetflix[show_id],0)),"")</f>
        <v/>
      </c>
      <c r="E863" s="19">
        <f>IFERROR(INDEX(tblNetflix[year_added],MATCH($A863,tblNetflix[show_id],0)),"")</f>
        <v/>
      </c>
      <c r="F863" s="19">
        <f>IF(AND(OR(YearFilter="All",$E863=YearFilter),OR(RatingFilter="All",$D863=RatingFilter),OR(TypeFilter="All",$C863=TypeFilter)),1,0)</f>
        <v/>
      </c>
    </row>
    <row r="864" ht="15" customHeight="1" s="20">
      <c r="A864" s="19" t="inlineStr">
        <is>
          <t>s3252</t>
        </is>
      </c>
      <c r="B864" s="19" t="inlineStr">
        <is>
          <t>International Movies</t>
        </is>
      </c>
      <c r="C864" s="19">
        <f>IFERROR(INDEX(tblNetflix[type],MATCH($A864,tblNetflix[show_id],0)),"")</f>
        <v/>
      </c>
      <c r="D864" s="19">
        <f>IFERROR(INDEX(tblNetflix[rating],MATCH($A864,tblNetflix[show_id],0)),"")</f>
        <v/>
      </c>
      <c r="E864" s="19">
        <f>IFERROR(INDEX(tblNetflix[year_added],MATCH($A864,tblNetflix[show_id],0)),"")</f>
        <v/>
      </c>
      <c r="F864" s="19">
        <f>IF(AND(OR(YearFilter="All",$E864=YearFilter),OR(RatingFilter="All",$D864=RatingFilter),OR(TypeFilter="All",$C864=TypeFilter)),1,0)</f>
        <v/>
      </c>
    </row>
    <row r="865" ht="15" customHeight="1" s="20">
      <c r="A865" s="19" t="inlineStr">
        <is>
          <t>s3252</t>
        </is>
      </c>
      <c r="B865" s="19" t="inlineStr">
        <is>
          <t>Romantic Movies</t>
        </is>
      </c>
      <c r="C865" s="19">
        <f>IFERROR(INDEX(tblNetflix[type],MATCH($A865,tblNetflix[show_id],0)),"")</f>
        <v/>
      </c>
      <c r="D865" s="19">
        <f>IFERROR(INDEX(tblNetflix[rating],MATCH($A865,tblNetflix[show_id],0)),"")</f>
        <v/>
      </c>
      <c r="E865" s="19">
        <f>IFERROR(INDEX(tblNetflix[year_added],MATCH($A865,tblNetflix[show_id],0)),"")</f>
        <v/>
      </c>
      <c r="F865" s="19">
        <f>IF(AND(OR(YearFilter="All",$E865=YearFilter),OR(RatingFilter="All",$D865=RatingFilter),OR(TypeFilter="All",$C865=TypeFilter)),1,0)</f>
        <v/>
      </c>
    </row>
    <row r="866" ht="15" customHeight="1" s="20">
      <c r="A866" s="19" t="inlineStr">
        <is>
          <t>s3255</t>
        </is>
      </c>
      <c r="B866" s="19" t="inlineStr">
        <is>
          <t>Dramas</t>
        </is>
      </c>
      <c r="C866" s="19">
        <f>IFERROR(INDEX(tblNetflix[type],MATCH($A866,tblNetflix[show_id],0)),"")</f>
        <v/>
      </c>
      <c r="D866" s="19">
        <f>IFERROR(INDEX(tblNetflix[rating],MATCH($A866,tblNetflix[show_id],0)),"")</f>
        <v/>
      </c>
      <c r="E866" s="19">
        <f>IFERROR(INDEX(tblNetflix[year_added],MATCH($A866,tblNetflix[show_id],0)),"")</f>
        <v/>
      </c>
      <c r="F866" s="19">
        <f>IF(AND(OR(YearFilter="All",$E866=YearFilter),OR(RatingFilter="All",$D866=RatingFilter),OR(TypeFilter="All",$C866=TypeFilter)),1,0)</f>
        <v/>
      </c>
    </row>
    <row r="867" ht="15" customHeight="1" s="20">
      <c r="A867" s="19" t="inlineStr">
        <is>
          <t>s3255</t>
        </is>
      </c>
      <c r="B867" s="19" t="inlineStr">
        <is>
          <t>Independent Movies</t>
        </is>
      </c>
      <c r="C867" s="19">
        <f>IFERROR(INDEX(tblNetflix[type],MATCH($A867,tblNetflix[show_id],0)),"")</f>
        <v/>
      </c>
      <c r="D867" s="19">
        <f>IFERROR(INDEX(tblNetflix[rating],MATCH($A867,tblNetflix[show_id],0)),"")</f>
        <v/>
      </c>
      <c r="E867" s="19">
        <f>IFERROR(INDEX(tblNetflix[year_added],MATCH($A867,tblNetflix[show_id],0)),"")</f>
        <v/>
      </c>
      <c r="F867" s="19">
        <f>IF(AND(OR(YearFilter="All",$E867=YearFilter),OR(RatingFilter="All",$D867=RatingFilter),OR(TypeFilter="All",$C867=TypeFilter)),1,0)</f>
        <v/>
      </c>
    </row>
    <row r="868" ht="15" customHeight="1" s="20">
      <c r="A868" s="19" t="inlineStr">
        <is>
          <t>s3255</t>
        </is>
      </c>
      <c r="B868" s="19" t="inlineStr">
        <is>
          <t>International Movies</t>
        </is>
      </c>
      <c r="C868" s="19">
        <f>IFERROR(INDEX(tblNetflix[type],MATCH($A868,tblNetflix[show_id],0)),"")</f>
        <v/>
      </c>
      <c r="D868" s="19">
        <f>IFERROR(INDEX(tblNetflix[rating],MATCH($A868,tblNetflix[show_id],0)),"")</f>
        <v/>
      </c>
      <c r="E868" s="19">
        <f>IFERROR(INDEX(tblNetflix[year_added],MATCH($A868,tblNetflix[show_id],0)),"")</f>
        <v/>
      </c>
      <c r="F868" s="19">
        <f>IF(AND(OR(YearFilter="All",$E868=YearFilter),OR(RatingFilter="All",$D868=RatingFilter),OR(TypeFilter="All",$C868=TypeFilter)),1,0)</f>
        <v/>
      </c>
    </row>
    <row r="869" ht="15" customHeight="1" s="20">
      <c r="A869" s="19" t="inlineStr">
        <is>
          <t>s3268</t>
        </is>
      </c>
      <c r="B869" s="19" t="inlineStr">
        <is>
          <t>Action &amp; Adventure</t>
        </is>
      </c>
      <c r="C869" s="19">
        <f>IFERROR(INDEX(tblNetflix[type],MATCH($A869,tblNetflix[show_id],0)),"")</f>
        <v/>
      </c>
      <c r="D869" s="19">
        <f>IFERROR(INDEX(tblNetflix[rating],MATCH($A869,tblNetflix[show_id],0)),"")</f>
        <v/>
      </c>
      <c r="E869" s="19">
        <f>IFERROR(INDEX(tblNetflix[year_added],MATCH($A869,tblNetflix[show_id],0)),"")</f>
        <v/>
      </c>
      <c r="F869" s="19">
        <f>IF(AND(OR(YearFilter="All",$E869=YearFilter),OR(RatingFilter="All",$D869=RatingFilter),OR(TypeFilter="All",$C869=TypeFilter)),1,0)</f>
        <v/>
      </c>
    </row>
    <row r="870" ht="15" customHeight="1" s="20">
      <c r="A870" s="19" t="inlineStr">
        <is>
          <t>s3268</t>
        </is>
      </c>
      <c r="B870" s="19" t="inlineStr">
        <is>
          <t>Dramas</t>
        </is>
      </c>
      <c r="C870" s="19">
        <f>IFERROR(INDEX(tblNetflix[type],MATCH($A870,tblNetflix[show_id],0)),"")</f>
        <v/>
      </c>
      <c r="D870" s="19">
        <f>IFERROR(INDEX(tblNetflix[rating],MATCH($A870,tblNetflix[show_id],0)),"")</f>
        <v/>
      </c>
      <c r="E870" s="19">
        <f>IFERROR(INDEX(tblNetflix[year_added],MATCH($A870,tblNetflix[show_id],0)),"")</f>
        <v/>
      </c>
      <c r="F870" s="19">
        <f>IF(AND(OR(YearFilter="All",$E870=YearFilter),OR(RatingFilter="All",$D870=RatingFilter),OR(TypeFilter="All",$C870=TypeFilter)),1,0)</f>
        <v/>
      </c>
    </row>
    <row r="871" ht="15" customHeight="1" s="20">
      <c r="A871" s="19" t="inlineStr">
        <is>
          <t>s3268</t>
        </is>
      </c>
      <c r="B871" s="19" t="inlineStr">
        <is>
          <t>International Movies</t>
        </is>
      </c>
      <c r="C871" s="19">
        <f>IFERROR(INDEX(tblNetflix[type],MATCH($A871,tblNetflix[show_id],0)),"")</f>
        <v/>
      </c>
      <c r="D871" s="19">
        <f>IFERROR(INDEX(tblNetflix[rating],MATCH($A871,tblNetflix[show_id],0)),"")</f>
        <v/>
      </c>
      <c r="E871" s="19">
        <f>IFERROR(INDEX(tblNetflix[year_added],MATCH($A871,tblNetflix[show_id],0)),"")</f>
        <v/>
      </c>
      <c r="F871" s="19">
        <f>IF(AND(OR(YearFilter="All",$E871=YearFilter),OR(RatingFilter="All",$D871=RatingFilter),OR(TypeFilter="All",$C871=TypeFilter)),1,0)</f>
        <v/>
      </c>
    </row>
    <row r="872" ht="15" customHeight="1" s="20">
      <c r="A872" s="19" t="inlineStr">
        <is>
          <t>s3269</t>
        </is>
      </c>
      <c r="B872" s="19" t="inlineStr">
        <is>
          <t>Comedies</t>
        </is>
      </c>
      <c r="C872" s="19">
        <f>IFERROR(INDEX(tblNetflix[type],MATCH($A872,tblNetflix[show_id],0)),"")</f>
        <v/>
      </c>
      <c r="D872" s="19">
        <f>IFERROR(INDEX(tblNetflix[rating],MATCH($A872,tblNetflix[show_id],0)),"")</f>
        <v/>
      </c>
      <c r="E872" s="19">
        <f>IFERROR(INDEX(tblNetflix[year_added],MATCH($A872,tblNetflix[show_id],0)),"")</f>
        <v/>
      </c>
      <c r="F872" s="19">
        <f>IF(AND(OR(YearFilter="All",$E872=YearFilter),OR(RatingFilter="All",$D872=RatingFilter),OR(TypeFilter="All",$C872=TypeFilter)),1,0)</f>
        <v/>
      </c>
    </row>
    <row r="873" ht="15" customHeight="1" s="20">
      <c r="A873" s="19" t="inlineStr">
        <is>
          <t>s3269</t>
        </is>
      </c>
      <c r="B873" s="19" t="inlineStr">
        <is>
          <t>Independent Movies</t>
        </is>
      </c>
      <c r="C873" s="19">
        <f>IFERROR(INDEX(tblNetflix[type],MATCH($A873,tblNetflix[show_id],0)),"")</f>
        <v/>
      </c>
      <c r="D873" s="19">
        <f>IFERROR(INDEX(tblNetflix[rating],MATCH($A873,tblNetflix[show_id],0)),"")</f>
        <v/>
      </c>
      <c r="E873" s="19">
        <f>IFERROR(INDEX(tblNetflix[year_added],MATCH($A873,tblNetflix[show_id],0)),"")</f>
        <v/>
      </c>
      <c r="F873" s="19">
        <f>IF(AND(OR(YearFilter="All",$E873=YearFilter),OR(RatingFilter="All",$D873=RatingFilter),OR(TypeFilter="All",$C873=TypeFilter)),1,0)</f>
        <v/>
      </c>
    </row>
    <row r="874" ht="15" customHeight="1" s="20">
      <c r="A874" s="19" t="inlineStr">
        <is>
          <t>s3269</t>
        </is>
      </c>
      <c r="B874" s="19" t="inlineStr">
        <is>
          <t>International Movies</t>
        </is>
      </c>
      <c r="C874" s="19">
        <f>IFERROR(INDEX(tblNetflix[type],MATCH($A874,tblNetflix[show_id],0)),"")</f>
        <v/>
      </c>
      <c r="D874" s="19">
        <f>IFERROR(INDEX(tblNetflix[rating],MATCH($A874,tblNetflix[show_id],0)),"")</f>
        <v/>
      </c>
      <c r="E874" s="19">
        <f>IFERROR(INDEX(tblNetflix[year_added],MATCH($A874,tblNetflix[show_id],0)),"")</f>
        <v/>
      </c>
      <c r="F874" s="19">
        <f>IF(AND(OR(YearFilter="All",$E874=YearFilter),OR(RatingFilter="All",$D874=RatingFilter),OR(TypeFilter="All",$C874=TypeFilter)),1,0)</f>
        <v/>
      </c>
    </row>
    <row r="875" ht="15" customHeight="1" s="20">
      <c r="A875" s="19" t="inlineStr">
        <is>
          <t>s3279</t>
        </is>
      </c>
      <c r="B875" s="19" t="inlineStr">
        <is>
          <t>Documentaries</t>
        </is>
      </c>
      <c r="C875" s="19">
        <f>IFERROR(INDEX(tblNetflix[type],MATCH($A875,tblNetflix[show_id],0)),"")</f>
        <v/>
      </c>
      <c r="D875" s="19">
        <f>IFERROR(INDEX(tblNetflix[rating],MATCH($A875,tblNetflix[show_id],0)),"")</f>
        <v/>
      </c>
      <c r="E875" s="19">
        <f>IFERROR(INDEX(tblNetflix[year_added],MATCH($A875,tblNetflix[show_id],0)),"")</f>
        <v/>
      </c>
      <c r="F875" s="19">
        <f>IF(AND(OR(YearFilter="All",$E875=YearFilter),OR(RatingFilter="All",$D875=RatingFilter),OR(TypeFilter="All",$C875=TypeFilter)),1,0)</f>
        <v/>
      </c>
    </row>
    <row r="876" ht="15" customHeight="1" s="20">
      <c r="A876" s="19" t="inlineStr">
        <is>
          <t>s3279</t>
        </is>
      </c>
      <c r="B876" s="19" t="inlineStr">
        <is>
          <t>International Movies</t>
        </is>
      </c>
      <c r="C876" s="19">
        <f>IFERROR(INDEX(tblNetflix[type],MATCH($A876,tblNetflix[show_id],0)),"")</f>
        <v/>
      </c>
      <c r="D876" s="19">
        <f>IFERROR(INDEX(tblNetflix[rating],MATCH($A876,tblNetflix[show_id],0)),"")</f>
        <v/>
      </c>
      <c r="E876" s="19">
        <f>IFERROR(INDEX(tblNetflix[year_added],MATCH($A876,tblNetflix[show_id],0)),"")</f>
        <v/>
      </c>
      <c r="F876" s="19">
        <f>IF(AND(OR(YearFilter="All",$E876=YearFilter),OR(RatingFilter="All",$D876=RatingFilter),OR(TypeFilter="All",$C876=TypeFilter)),1,0)</f>
        <v/>
      </c>
    </row>
    <row r="877" ht="15" customHeight="1" s="20">
      <c r="A877" s="19" t="inlineStr">
        <is>
          <t>s3294</t>
        </is>
      </c>
      <c r="B877" s="19" t="inlineStr">
        <is>
          <t>International TV Shows</t>
        </is>
      </c>
      <c r="C877" s="19">
        <f>IFERROR(INDEX(tblNetflix[type],MATCH($A877,tblNetflix[show_id],0)),"")</f>
        <v/>
      </c>
      <c r="D877" s="19">
        <f>IFERROR(INDEX(tblNetflix[rating],MATCH($A877,tblNetflix[show_id],0)),"")</f>
        <v/>
      </c>
      <c r="E877" s="19">
        <f>IFERROR(INDEX(tblNetflix[year_added],MATCH($A877,tblNetflix[show_id],0)),"")</f>
        <v/>
      </c>
      <c r="F877" s="19">
        <f>IF(AND(OR(YearFilter="All",$E877=YearFilter),OR(RatingFilter="All",$D877=RatingFilter),OR(TypeFilter="All",$C877=TypeFilter)),1,0)</f>
        <v/>
      </c>
    </row>
    <row r="878" ht="15" customHeight="1" s="20">
      <c r="A878" s="19" t="inlineStr">
        <is>
          <t>s3294</t>
        </is>
      </c>
      <c r="B878" s="19" t="inlineStr">
        <is>
          <t>Romantic TV Shows</t>
        </is>
      </c>
      <c r="C878" s="19">
        <f>IFERROR(INDEX(tblNetflix[type],MATCH($A878,tblNetflix[show_id],0)),"")</f>
        <v/>
      </c>
      <c r="D878" s="19">
        <f>IFERROR(INDEX(tblNetflix[rating],MATCH($A878,tblNetflix[show_id],0)),"")</f>
        <v/>
      </c>
      <c r="E878" s="19">
        <f>IFERROR(INDEX(tblNetflix[year_added],MATCH($A878,tblNetflix[show_id],0)),"")</f>
        <v/>
      </c>
      <c r="F878" s="19">
        <f>IF(AND(OR(YearFilter="All",$E878=YearFilter),OR(RatingFilter="All",$D878=RatingFilter),OR(TypeFilter="All",$C878=TypeFilter)),1,0)</f>
        <v/>
      </c>
    </row>
    <row r="879" ht="15" customHeight="1" s="20">
      <c r="A879" s="19" t="inlineStr">
        <is>
          <t>s3294</t>
        </is>
      </c>
      <c r="B879" s="19" t="inlineStr">
        <is>
          <t>TV Comedies</t>
        </is>
      </c>
      <c r="C879" s="19">
        <f>IFERROR(INDEX(tblNetflix[type],MATCH($A879,tblNetflix[show_id],0)),"")</f>
        <v/>
      </c>
      <c r="D879" s="19">
        <f>IFERROR(INDEX(tblNetflix[rating],MATCH($A879,tblNetflix[show_id],0)),"")</f>
        <v/>
      </c>
      <c r="E879" s="19">
        <f>IFERROR(INDEX(tblNetflix[year_added],MATCH($A879,tblNetflix[show_id],0)),"")</f>
        <v/>
      </c>
      <c r="F879" s="19">
        <f>IF(AND(OR(YearFilter="All",$E879=YearFilter),OR(RatingFilter="All",$D879=RatingFilter),OR(TypeFilter="All",$C879=TypeFilter)),1,0)</f>
        <v/>
      </c>
    </row>
    <row r="880" ht="15" customHeight="1" s="20">
      <c r="A880" s="19" t="inlineStr">
        <is>
          <t>s3300</t>
        </is>
      </c>
      <c r="B880" s="19" t="inlineStr">
        <is>
          <t>International Movies</t>
        </is>
      </c>
      <c r="C880" s="19">
        <f>IFERROR(INDEX(tblNetflix[type],MATCH($A880,tblNetflix[show_id],0)),"")</f>
        <v/>
      </c>
      <c r="D880" s="19">
        <f>IFERROR(INDEX(tblNetflix[rating],MATCH($A880,tblNetflix[show_id],0)),"")</f>
        <v/>
      </c>
      <c r="E880" s="19">
        <f>IFERROR(INDEX(tblNetflix[year_added],MATCH($A880,tblNetflix[show_id],0)),"")</f>
        <v/>
      </c>
      <c r="F880" s="19">
        <f>IF(AND(OR(YearFilter="All",$E880=YearFilter),OR(RatingFilter="All",$D880=RatingFilter),OR(TypeFilter="All",$C880=TypeFilter)),1,0)</f>
        <v/>
      </c>
    </row>
    <row r="881" ht="15" customHeight="1" s="20">
      <c r="A881" s="19" t="inlineStr">
        <is>
          <t>s3300</t>
        </is>
      </c>
      <c r="B881" s="19" t="inlineStr">
        <is>
          <t>Thrillers</t>
        </is>
      </c>
      <c r="C881" s="19">
        <f>IFERROR(INDEX(tblNetflix[type],MATCH($A881,tblNetflix[show_id],0)),"")</f>
        <v/>
      </c>
      <c r="D881" s="19">
        <f>IFERROR(INDEX(tblNetflix[rating],MATCH($A881,tblNetflix[show_id],0)),"")</f>
        <v/>
      </c>
      <c r="E881" s="19">
        <f>IFERROR(INDEX(tblNetflix[year_added],MATCH($A881,tblNetflix[show_id],0)),"")</f>
        <v/>
      </c>
      <c r="F881" s="19">
        <f>IF(AND(OR(YearFilter="All",$E881=YearFilter),OR(RatingFilter="All",$D881=RatingFilter),OR(TypeFilter="All",$C881=TypeFilter)),1,0)</f>
        <v/>
      </c>
    </row>
    <row r="882" ht="15" customHeight="1" s="20">
      <c r="A882" s="19" t="inlineStr">
        <is>
          <t>s3313</t>
        </is>
      </c>
      <c r="B882" s="19" t="inlineStr">
        <is>
          <t>Dramas</t>
        </is>
      </c>
      <c r="C882" s="19">
        <f>IFERROR(INDEX(tblNetflix[type],MATCH($A882,tblNetflix[show_id],0)),"")</f>
        <v/>
      </c>
      <c r="D882" s="19">
        <f>IFERROR(INDEX(tblNetflix[rating],MATCH($A882,tblNetflix[show_id],0)),"")</f>
        <v/>
      </c>
      <c r="E882" s="19">
        <f>IFERROR(INDEX(tblNetflix[year_added],MATCH($A882,tblNetflix[show_id],0)),"")</f>
        <v/>
      </c>
      <c r="F882" s="19">
        <f>IF(AND(OR(YearFilter="All",$E882=YearFilter),OR(RatingFilter="All",$D882=RatingFilter),OR(TypeFilter="All",$C882=TypeFilter)),1,0)</f>
        <v/>
      </c>
    </row>
    <row r="883" ht="15" customHeight="1" s="20">
      <c r="A883" s="19" t="inlineStr">
        <is>
          <t>s3313</t>
        </is>
      </c>
      <c r="B883" s="19" t="inlineStr">
        <is>
          <t>International Movies</t>
        </is>
      </c>
      <c r="C883" s="19">
        <f>IFERROR(INDEX(tblNetflix[type],MATCH($A883,tblNetflix[show_id],0)),"")</f>
        <v/>
      </c>
      <c r="D883" s="19">
        <f>IFERROR(INDEX(tblNetflix[rating],MATCH($A883,tblNetflix[show_id],0)),"")</f>
        <v/>
      </c>
      <c r="E883" s="19">
        <f>IFERROR(INDEX(tblNetflix[year_added],MATCH($A883,tblNetflix[show_id],0)),"")</f>
        <v/>
      </c>
      <c r="F883" s="19">
        <f>IF(AND(OR(YearFilter="All",$E883=YearFilter),OR(RatingFilter="All",$D883=RatingFilter),OR(TypeFilter="All",$C883=TypeFilter)),1,0)</f>
        <v/>
      </c>
    </row>
    <row r="884" ht="15" customHeight="1" s="20">
      <c r="A884" s="19" t="inlineStr">
        <is>
          <t>s3313</t>
        </is>
      </c>
      <c r="B884" s="19" t="inlineStr">
        <is>
          <t>Thrillers</t>
        </is>
      </c>
      <c r="C884" s="19">
        <f>IFERROR(INDEX(tblNetflix[type],MATCH($A884,tblNetflix[show_id],0)),"")</f>
        <v/>
      </c>
      <c r="D884" s="19">
        <f>IFERROR(INDEX(tblNetflix[rating],MATCH($A884,tblNetflix[show_id],0)),"")</f>
        <v/>
      </c>
      <c r="E884" s="19">
        <f>IFERROR(INDEX(tblNetflix[year_added],MATCH($A884,tblNetflix[show_id],0)),"")</f>
        <v/>
      </c>
      <c r="F884" s="19">
        <f>IF(AND(OR(YearFilter="All",$E884=YearFilter),OR(RatingFilter="All",$D884=RatingFilter),OR(TypeFilter="All",$C884=TypeFilter)),1,0)</f>
        <v/>
      </c>
    </row>
    <row r="885" ht="15" customHeight="1" s="20">
      <c r="A885" s="19" t="inlineStr">
        <is>
          <t>s3335</t>
        </is>
      </c>
      <c r="B885" s="19" t="inlineStr">
        <is>
          <t>Action &amp; Adventure</t>
        </is>
      </c>
      <c r="C885" s="19">
        <f>IFERROR(INDEX(tblNetflix[type],MATCH($A885,tblNetflix[show_id],0)),"")</f>
        <v/>
      </c>
      <c r="D885" s="19">
        <f>IFERROR(INDEX(tblNetflix[rating],MATCH($A885,tblNetflix[show_id],0)),"")</f>
        <v/>
      </c>
      <c r="E885" s="19">
        <f>IFERROR(INDEX(tblNetflix[year_added],MATCH($A885,tblNetflix[show_id],0)),"")</f>
        <v/>
      </c>
      <c r="F885" s="19">
        <f>IF(AND(OR(YearFilter="All",$E885=YearFilter),OR(RatingFilter="All",$D885=RatingFilter),OR(TypeFilter="All",$C885=TypeFilter)),1,0)</f>
        <v/>
      </c>
    </row>
    <row r="886" ht="15" customHeight="1" s="20">
      <c r="A886" s="19" t="inlineStr">
        <is>
          <t>s3335</t>
        </is>
      </c>
      <c r="B886" s="19" t="inlineStr">
        <is>
          <t>International Movies</t>
        </is>
      </c>
      <c r="C886" s="19">
        <f>IFERROR(INDEX(tblNetflix[type],MATCH($A886,tblNetflix[show_id],0)),"")</f>
        <v/>
      </c>
      <c r="D886" s="19">
        <f>IFERROR(INDEX(tblNetflix[rating],MATCH($A886,tblNetflix[show_id],0)),"")</f>
        <v/>
      </c>
      <c r="E886" s="19">
        <f>IFERROR(INDEX(tblNetflix[year_added],MATCH($A886,tblNetflix[show_id],0)),"")</f>
        <v/>
      </c>
      <c r="F886" s="19">
        <f>IF(AND(OR(YearFilter="All",$E886=YearFilter),OR(RatingFilter="All",$D886=RatingFilter),OR(TypeFilter="All",$C886=TypeFilter)),1,0)</f>
        <v/>
      </c>
    </row>
    <row r="887" ht="15" customHeight="1" s="20">
      <c r="A887" s="19" t="inlineStr">
        <is>
          <t>s3360</t>
        </is>
      </c>
      <c r="B887" s="19" t="inlineStr">
        <is>
          <t>Dramas</t>
        </is>
      </c>
      <c r="C887" s="19">
        <f>IFERROR(INDEX(tblNetflix[type],MATCH($A887,tblNetflix[show_id],0)),"")</f>
        <v/>
      </c>
      <c r="D887" s="19">
        <f>IFERROR(INDEX(tblNetflix[rating],MATCH($A887,tblNetflix[show_id],0)),"")</f>
        <v/>
      </c>
      <c r="E887" s="19">
        <f>IFERROR(INDEX(tblNetflix[year_added],MATCH($A887,tblNetflix[show_id],0)),"")</f>
        <v/>
      </c>
      <c r="F887" s="19">
        <f>IF(AND(OR(YearFilter="All",$E887=YearFilter),OR(RatingFilter="All",$D887=RatingFilter),OR(TypeFilter="All",$C887=TypeFilter)),1,0)</f>
        <v/>
      </c>
    </row>
    <row r="888" ht="15" customHeight="1" s="20">
      <c r="A888" s="19" t="inlineStr">
        <is>
          <t>s3360</t>
        </is>
      </c>
      <c r="B888" s="19" t="inlineStr">
        <is>
          <t>International Movies</t>
        </is>
      </c>
      <c r="C888" s="19">
        <f>IFERROR(INDEX(tblNetflix[type],MATCH($A888,tblNetflix[show_id],0)),"")</f>
        <v/>
      </c>
      <c r="D888" s="19">
        <f>IFERROR(INDEX(tblNetflix[rating],MATCH($A888,tblNetflix[show_id],0)),"")</f>
        <v/>
      </c>
      <c r="E888" s="19">
        <f>IFERROR(INDEX(tblNetflix[year_added],MATCH($A888,tblNetflix[show_id],0)),"")</f>
        <v/>
      </c>
      <c r="F888" s="19">
        <f>IF(AND(OR(YearFilter="All",$E888=YearFilter),OR(RatingFilter="All",$D888=RatingFilter),OR(TypeFilter="All",$C888=TypeFilter)),1,0)</f>
        <v/>
      </c>
    </row>
    <row r="889" ht="15" customHeight="1" s="20">
      <c r="A889" s="19" t="inlineStr">
        <is>
          <t>s3360</t>
        </is>
      </c>
      <c r="B889" s="19" t="inlineStr">
        <is>
          <t>Romantic Movies</t>
        </is>
      </c>
      <c r="C889" s="19">
        <f>IFERROR(INDEX(tblNetflix[type],MATCH($A889,tblNetflix[show_id],0)),"")</f>
        <v/>
      </c>
      <c r="D889" s="19">
        <f>IFERROR(INDEX(tblNetflix[rating],MATCH($A889,tblNetflix[show_id],0)),"")</f>
        <v/>
      </c>
      <c r="E889" s="19">
        <f>IFERROR(INDEX(tblNetflix[year_added],MATCH($A889,tblNetflix[show_id],0)),"")</f>
        <v/>
      </c>
      <c r="F889" s="19">
        <f>IF(AND(OR(YearFilter="All",$E889=YearFilter),OR(RatingFilter="All",$D889=RatingFilter),OR(TypeFilter="All",$C889=TypeFilter)),1,0)</f>
        <v/>
      </c>
    </row>
    <row r="890" ht="15" customHeight="1" s="20">
      <c r="A890" s="19" t="inlineStr">
        <is>
          <t>s3404</t>
        </is>
      </c>
      <c r="B890" s="19" t="inlineStr">
        <is>
          <t>Kids' TV</t>
        </is>
      </c>
      <c r="C890" s="19">
        <f>IFERROR(INDEX(tblNetflix[type],MATCH($A890,tblNetflix[show_id],0)),"")</f>
        <v/>
      </c>
      <c r="D890" s="19">
        <f>IFERROR(INDEX(tblNetflix[rating],MATCH($A890,tblNetflix[show_id],0)),"")</f>
        <v/>
      </c>
      <c r="E890" s="19">
        <f>IFERROR(INDEX(tblNetflix[year_added],MATCH($A890,tblNetflix[show_id],0)),"")</f>
        <v/>
      </c>
      <c r="F890" s="19">
        <f>IF(AND(OR(YearFilter="All",$E890=YearFilter),OR(RatingFilter="All",$D890=RatingFilter),OR(TypeFilter="All",$C890=TypeFilter)),1,0)</f>
        <v/>
      </c>
    </row>
    <row r="891" ht="15" customHeight="1" s="20">
      <c r="A891" s="19" t="inlineStr">
        <is>
          <t>s3404</t>
        </is>
      </c>
      <c r="B891" s="19" t="inlineStr">
        <is>
          <t>TV Comedies</t>
        </is>
      </c>
      <c r="C891" s="19">
        <f>IFERROR(INDEX(tblNetflix[type],MATCH($A891,tblNetflix[show_id],0)),"")</f>
        <v/>
      </c>
      <c r="D891" s="19">
        <f>IFERROR(INDEX(tblNetflix[rating],MATCH($A891,tblNetflix[show_id],0)),"")</f>
        <v/>
      </c>
      <c r="E891" s="19">
        <f>IFERROR(INDEX(tblNetflix[year_added],MATCH($A891,tblNetflix[show_id],0)),"")</f>
        <v/>
      </c>
      <c r="F891" s="19">
        <f>IF(AND(OR(YearFilter="All",$E891=YearFilter),OR(RatingFilter="All",$D891=RatingFilter),OR(TypeFilter="All",$C891=TypeFilter)),1,0)</f>
        <v/>
      </c>
    </row>
    <row r="892" ht="15" customHeight="1" s="20">
      <c r="A892" s="19" t="inlineStr">
        <is>
          <t>s3413</t>
        </is>
      </c>
      <c r="B892" s="19" t="inlineStr">
        <is>
          <t>Comedies</t>
        </is>
      </c>
      <c r="C892" s="19">
        <f>IFERROR(INDEX(tblNetflix[type],MATCH($A892,tblNetflix[show_id],0)),"")</f>
        <v/>
      </c>
      <c r="D892" s="19">
        <f>IFERROR(INDEX(tblNetflix[rating],MATCH($A892,tblNetflix[show_id],0)),"")</f>
        <v/>
      </c>
      <c r="E892" s="19">
        <f>IFERROR(INDEX(tblNetflix[year_added],MATCH($A892,tblNetflix[show_id],0)),"")</f>
        <v/>
      </c>
      <c r="F892" s="19">
        <f>IF(AND(OR(YearFilter="All",$E892=YearFilter),OR(RatingFilter="All",$D892=RatingFilter),OR(TypeFilter="All",$C892=TypeFilter)),1,0)</f>
        <v/>
      </c>
    </row>
    <row r="893" ht="15" customHeight="1" s="20">
      <c r="A893" s="19" t="inlineStr">
        <is>
          <t>s3413</t>
        </is>
      </c>
      <c r="B893" s="19" t="inlineStr">
        <is>
          <t>Dramas</t>
        </is>
      </c>
      <c r="C893" s="19">
        <f>IFERROR(INDEX(tblNetflix[type],MATCH($A893,tblNetflix[show_id],0)),"")</f>
        <v/>
      </c>
      <c r="D893" s="19">
        <f>IFERROR(INDEX(tblNetflix[rating],MATCH($A893,tblNetflix[show_id],0)),"")</f>
        <v/>
      </c>
      <c r="E893" s="19">
        <f>IFERROR(INDEX(tblNetflix[year_added],MATCH($A893,tblNetflix[show_id],0)),"")</f>
        <v/>
      </c>
      <c r="F893" s="19">
        <f>IF(AND(OR(YearFilter="All",$E893=YearFilter),OR(RatingFilter="All",$D893=RatingFilter),OR(TypeFilter="All",$C893=TypeFilter)),1,0)</f>
        <v/>
      </c>
    </row>
    <row r="894" ht="15" customHeight="1" s="20">
      <c r="A894" s="19" t="inlineStr">
        <is>
          <t>s3413</t>
        </is>
      </c>
      <c r="B894" s="19" t="inlineStr">
        <is>
          <t>International Movies</t>
        </is>
      </c>
      <c r="C894" s="19">
        <f>IFERROR(INDEX(tblNetflix[type],MATCH($A894,tblNetflix[show_id],0)),"")</f>
        <v/>
      </c>
      <c r="D894" s="19">
        <f>IFERROR(INDEX(tblNetflix[rating],MATCH($A894,tblNetflix[show_id],0)),"")</f>
        <v/>
      </c>
      <c r="E894" s="19">
        <f>IFERROR(INDEX(tblNetflix[year_added],MATCH($A894,tblNetflix[show_id],0)),"")</f>
        <v/>
      </c>
      <c r="F894" s="19">
        <f>IF(AND(OR(YearFilter="All",$E894=YearFilter),OR(RatingFilter="All",$D894=RatingFilter),OR(TypeFilter="All",$C894=TypeFilter)),1,0)</f>
        <v/>
      </c>
    </row>
    <row r="895" ht="15" customHeight="1" s="20">
      <c r="A895" s="19" t="inlineStr">
        <is>
          <t>s3447</t>
        </is>
      </c>
      <c r="B895" s="19" t="inlineStr">
        <is>
          <t>Dramas</t>
        </is>
      </c>
      <c r="C895" s="19">
        <f>IFERROR(INDEX(tblNetflix[type],MATCH($A895,tblNetflix[show_id],0)),"")</f>
        <v/>
      </c>
      <c r="D895" s="19">
        <f>IFERROR(INDEX(tblNetflix[rating],MATCH($A895,tblNetflix[show_id],0)),"")</f>
        <v/>
      </c>
      <c r="E895" s="19">
        <f>IFERROR(INDEX(tblNetflix[year_added],MATCH($A895,tblNetflix[show_id],0)),"")</f>
        <v/>
      </c>
      <c r="F895" s="19">
        <f>IF(AND(OR(YearFilter="All",$E895=YearFilter),OR(RatingFilter="All",$D895=RatingFilter),OR(TypeFilter="All",$C895=TypeFilter)),1,0)</f>
        <v/>
      </c>
    </row>
    <row r="896" ht="15" customHeight="1" s="20">
      <c r="A896" s="19" t="inlineStr">
        <is>
          <t>s3447</t>
        </is>
      </c>
      <c r="B896" s="19" t="inlineStr">
        <is>
          <t>Independent Movies</t>
        </is>
      </c>
      <c r="C896" s="19">
        <f>IFERROR(INDEX(tblNetflix[type],MATCH($A896,tblNetflix[show_id],0)),"")</f>
        <v/>
      </c>
      <c r="D896" s="19">
        <f>IFERROR(INDEX(tblNetflix[rating],MATCH($A896,tblNetflix[show_id],0)),"")</f>
        <v/>
      </c>
      <c r="E896" s="19">
        <f>IFERROR(INDEX(tblNetflix[year_added],MATCH($A896,tblNetflix[show_id],0)),"")</f>
        <v/>
      </c>
      <c r="F896" s="19">
        <f>IF(AND(OR(YearFilter="All",$E896=YearFilter),OR(RatingFilter="All",$D896=RatingFilter),OR(TypeFilter="All",$C896=TypeFilter)),1,0)</f>
        <v/>
      </c>
    </row>
    <row r="897" ht="15" customHeight="1" s="20">
      <c r="A897" s="19" t="inlineStr">
        <is>
          <t>s3447</t>
        </is>
      </c>
      <c r="B897" s="19" t="inlineStr">
        <is>
          <t>International Movies</t>
        </is>
      </c>
      <c r="C897" s="19">
        <f>IFERROR(INDEX(tblNetflix[type],MATCH($A897,tblNetflix[show_id],0)),"")</f>
        <v/>
      </c>
      <c r="D897" s="19">
        <f>IFERROR(INDEX(tblNetflix[rating],MATCH($A897,tblNetflix[show_id],0)),"")</f>
        <v/>
      </c>
      <c r="E897" s="19">
        <f>IFERROR(INDEX(tblNetflix[year_added],MATCH($A897,tblNetflix[show_id],0)),"")</f>
        <v/>
      </c>
      <c r="F897" s="19">
        <f>IF(AND(OR(YearFilter="All",$E897=YearFilter),OR(RatingFilter="All",$D897=RatingFilter),OR(TypeFilter="All",$C897=TypeFilter)),1,0)</f>
        <v/>
      </c>
    </row>
    <row r="898" ht="15" customHeight="1" s="20">
      <c r="A898" s="19" t="inlineStr">
        <is>
          <t>s3464</t>
        </is>
      </c>
      <c r="B898" s="19" t="inlineStr">
        <is>
          <t>International TV Shows</t>
        </is>
      </c>
      <c r="C898" s="19">
        <f>IFERROR(INDEX(tblNetflix[type],MATCH($A898,tblNetflix[show_id],0)),"")</f>
        <v/>
      </c>
      <c r="D898" s="19">
        <f>IFERROR(INDEX(tblNetflix[rating],MATCH($A898,tblNetflix[show_id],0)),"")</f>
        <v/>
      </c>
      <c r="E898" s="19">
        <f>IFERROR(INDEX(tblNetflix[year_added],MATCH($A898,tblNetflix[show_id],0)),"")</f>
        <v/>
      </c>
      <c r="F898" s="19">
        <f>IF(AND(OR(YearFilter="All",$E898=YearFilter),OR(RatingFilter="All",$D898=RatingFilter),OR(TypeFilter="All",$C898=TypeFilter)),1,0)</f>
        <v/>
      </c>
    </row>
    <row r="899" ht="15" customHeight="1" s="20">
      <c r="A899" s="19" t="inlineStr">
        <is>
          <t>s3464</t>
        </is>
      </c>
      <c r="B899" s="19" t="inlineStr">
        <is>
          <t>Romantic TV Shows</t>
        </is>
      </c>
      <c r="C899" s="19">
        <f>IFERROR(INDEX(tblNetflix[type],MATCH($A899,tblNetflix[show_id],0)),"")</f>
        <v/>
      </c>
      <c r="D899" s="19">
        <f>IFERROR(INDEX(tblNetflix[rating],MATCH($A899,tblNetflix[show_id],0)),"")</f>
        <v/>
      </c>
      <c r="E899" s="19">
        <f>IFERROR(INDEX(tblNetflix[year_added],MATCH($A899,tblNetflix[show_id],0)),"")</f>
        <v/>
      </c>
      <c r="F899" s="19">
        <f>IF(AND(OR(YearFilter="All",$E899=YearFilter),OR(RatingFilter="All",$D899=RatingFilter),OR(TypeFilter="All",$C899=TypeFilter)),1,0)</f>
        <v/>
      </c>
    </row>
    <row r="900" ht="15" customHeight="1" s="20">
      <c r="A900" s="19" t="inlineStr">
        <is>
          <t>s3464</t>
        </is>
      </c>
      <c r="B900" s="19" t="inlineStr">
        <is>
          <t>TV Comedies</t>
        </is>
      </c>
      <c r="C900" s="19">
        <f>IFERROR(INDEX(tblNetflix[type],MATCH($A900,tblNetflix[show_id],0)),"")</f>
        <v/>
      </c>
      <c r="D900" s="19">
        <f>IFERROR(INDEX(tblNetflix[rating],MATCH($A900,tblNetflix[show_id],0)),"")</f>
        <v/>
      </c>
      <c r="E900" s="19">
        <f>IFERROR(INDEX(tblNetflix[year_added],MATCH($A900,tblNetflix[show_id],0)),"")</f>
        <v/>
      </c>
      <c r="F900" s="19">
        <f>IF(AND(OR(YearFilter="All",$E900=YearFilter),OR(RatingFilter="All",$D900=RatingFilter),OR(TypeFilter="All",$C900=TypeFilter)),1,0)</f>
        <v/>
      </c>
    </row>
    <row r="901" ht="15" customHeight="1" s="20">
      <c r="A901" s="19" t="inlineStr">
        <is>
          <t>s3465</t>
        </is>
      </c>
      <c r="B901" s="19" t="inlineStr">
        <is>
          <t>International TV Shows</t>
        </is>
      </c>
      <c r="C901" s="19">
        <f>IFERROR(INDEX(tblNetflix[type],MATCH($A901,tblNetflix[show_id],0)),"")</f>
        <v/>
      </c>
      <c r="D901" s="19">
        <f>IFERROR(INDEX(tblNetflix[rating],MATCH($A901,tblNetflix[show_id],0)),"")</f>
        <v/>
      </c>
      <c r="E901" s="19">
        <f>IFERROR(INDEX(tblNetflix[year_added],MATCH($A901,tblNetflix[show_id],0)),"")</f>
        <v/>
      </c>
      <c r="F901" s="19">
        <f>IF(AND(OR(YearFilter="All",$E901=YearFilter),OR(RatingFilter="All",$D901=RatingFilter),OR(TypeFilter="All",$C901=TypeFilter)),1,0)</f>
        <v/>
      </c>
    </row>
    <row r="902" ht="15" customHeight="1" s="20">
      <c r="A902" s="19" t="inlineStr">
        <is>
          <t>s3465</t>
        </is>
      </c>
      <c r="B902" s="19" t="inlineStr">
        <is>
          <t>TV Comedies</t>
        </is>
      </c>
      <c r="C902" s="19">
        <f>IFERROR(INDEX(tblNetflix[type],MATCH($A902,tblNetflix[show_id],0)),"")</f>
        <v/>
      </c>
      <c r="D902" s="19">
        <f>IFERROR(INDEX(tblNetflix[rating],MATCH($A902,tblNetflix[show_id],0)),"")</f>
        <v/>
      </c>
      <c r="E902" s="19">
        <f>IFERROR(INDEX(tblNetflix[year_added],MATCH($A902,tblNetflix[show_id],0)),"")</f>
        <v/>
      </c>
      <c r="F902" s="19">
        <f>IF(AND(OR(YearFilter="All",$E902=YearFilter),OR(RatingFilter="All",$D902=RatingFilter),OR(TypeFilter="All",$C902=TypeFilter)),1,0)</f>
        <v/>
      </c>
    </row>
    <row r="903" ht="15" customHeight="1" s="20">
      <c r="A903" s="19" t="inlineStr">
        <is>
          <t>s3467</t>
        </is>
      </c>
      <c r="B903" s="19" t="inlineStr">
        <is>
          <t>International TV Shows</t>
        </is>
      </c>
      <c r="C903" s="19">
        <f>IFERROR(INDEX(tblNetflix[type],MATCH($A903,tblNetflix[show_id],0)),"")</f>
        <v/>
      </c>
      <c r="D903" s="19">
        <f>IFERROR(INDEX(tblNetflix[rating],MATCH($A903,tblNetflix[show_id],0)),"")</f>
        <v/>
      </c>
      <c r="E903" s="19">
        <f>IFERROR(INDEX(tblNetflix[year_added],MATCH($A903,tblNetflix[show_id],0)),"")</f>
        <v/>
      </c>
      <c r="F903" s="19">
        <f>IF(AND(OR(YearFilter="All",$E903=YearFilter),OR(RatingFilter="All",$D903=RatingFilter),OR(TypeFilter="All",$C903=TypeFilter)),1,0)</f>
        <v/>
      </c>
    </row>
    <row r="904" ht="15" customHeight="1" s="20">
      <c r="A904" s="19" t="inlineStr">
        <is>
          <t>s3467</t>
        </is>
      </c>
      <c r="B904" s="19" t="inlineStr">
        <is>
          <t>TV Comedies</t>
        </is>
      </c>
      <c r="C904" s="19">
        <f>IFERROR(INDEX(tblNetflix[type],MATCH($A904,tblNetflix[show_id],0)),"")</f>
        <v/>
      </c>
      <c r="D904" s="19">
        <f>IFERROR(INDEX(tblNetflix[rating],MATCH($A904,tblNetflix[show_id],0)),"")</f>
        <v/>
      </c>
      <c r="E904" s="19">
        <f>IFERROR(INDEX(tblNetflix[year_added],MATCH($A904,tblNetflix[show_id],0)),"")</f>
        <v/>
      </c>
      <c r="F904" s="19">
        <f>IF(AND(OR(YearFilter="All",$E904=YearFilter),OR(RatingFilter="All",$D904=RatingFilter),OR(TypeFilter="All",$C904=TypeFilter)),1,0)</f>
        <v/>
      </c>
    </row>
    <row r="905" ht="15" customHeight="1" s="20">
      <c r="A905" s="19" t="inlineStr">
        <is>
          <t>s3467</t>
        </is>
      </c>
      <c r="B905" s="19" t="inlineStr">
        <is>
          <t>TV Dramas</t>
        </is>
      </c>
      <c r="C905" s="19">
        <f>IFERROR(INDEX(tblNetflix[type],MATCH($A905,tblNetflix[show_id],0)),"")</f>
        <v/>
      </c>
      <c r="D905" s="19">
        <f>IFERROR(INDEX(tblNetflix[rating],MATCH($A905,tblNetflix[show_id],0)),"")</f>
        <v/>
      </c>
      <c r="E905" s="19">
        <f>IFERROR(INDEX(tblNetflix[year_added],MATCH($A905,tblNetflix[show_id],0)),"")</f>
        <v/>
      </c>
      <c r="F905" s="19">
        <f>IF(AND(OR(YearFilter="All",$E905=YearFilter),OR(RatingFilter="All",$D905=RatingFilter),OR(TypeFilter="All",$C905=TypeFilter)),1,0)</f>
        <v/>
      </c>
    </row>
    <row r="906" ht="15" customHeight="1" s="20">
      <c r="A906" s="19" t="inlineStr">
        <is>
          <t>s3468</t>
        </is>
      </c>
      <c r="B906" s="19" t="inlineStr">
        <is>
          <t>International TV Shows</t>
        </is>
      </c>
      <c r="C906" s="19">
        <f>IFERROR(INDEX(tblNetflix[type],MATCH($A906,tblNetflix[show_id],0)),"")</f>
        <v/>
      </c>
      <c r="D906" s="19">
        <f>IFERROR(INDEX(tblNetflix[rating],MATCH($A906,tblNetflix[show_id],0)),"")</f>
        <v/>
      </c>
      <c r="E906" s="19">
        <f>IFERROR(INDEX(tblNetflix[year_added],MATCH($A906,tblNetflix[show_id],0)),"")</f>
        <v/>
      </c>
      <c r="F906" s="19">
        <f>IF(AND(OR(YearFilter="All",$E906=YearFilter),OR(RatingFilter="All",$D906=RatingFilter),OR(TypeFilter="All",$C906=TypeFilter)),1,0)</f>
        <v/>
      </c>
    </row>
    <row r="907" ht="15" customHeight="1" s="20">
      <c r="A907" s="19" t="inlineStr">
        <is>
          <t>s3468</t>
        </is>
      </c>
      <c r="B907" s="19" t="inlineStr">
        <is>
          <t>TV Comedies</t>
        </is>
      </c>
      <c r="C907" s="19">
        <f>IFERROR(INDEX(tblNetflix[type],MATCH($A907,tblNetflix[show_id],0)),"")</f>
        <v/>
      </c>
      <c r="D907" s="19">
        <f>IFERROR(INDEX(tblNetflix[rating],MATCH($A907,tblNetflix[show_id],0)),"")</f>
        <v/>
      </c>
      <c r="E907" s="19">
        <f>IFERROR(INDEX(tblNetflix[year_added],MATCH($A907,tblNetflix[show_id],0)),"")</f>
        <v/>
      </c>
      <c r="F907" s="19">
        <f>IF(AND(OR(YearFilter="All",$E907=YearFilter),OR(RatingFilter="All",$D907=RatingFilter),OR(TypeFilter="All",$C907=TypeFilter)),1,0)</f>
        <v/>
      </c>
    </row>
    <row r="908" ht="15" customHeight="1" s="20">
      <c r="A908" s="19" t="inlineStr">
        <is>
          <t>s3469</t>
        </is>
      </c>
      <c r="B908" s="19" t="inlineStr">
        <is>
          <t>Documentaries</t>
        </is>
      </c>
      <c r="C908" s="19">
        <f>IFERROR(INDEX(tblNetflix[type],MATCH($A908,tblNetflix[show_id],0)),"")</f>
        <v/>
      </c>
      <c r="D908" s="19">
        <f>IFERROR(INDEX(tblNetflix[rating],MATCH($A908,tblNetflix[show_id],0)),"")</f>
        <v/>
      </c>
      <c r="E908" s="19">
        <f>IFERROR(INDEX(tblNetflix[year_added],MATCH($A908,tblNetflix[show_id],0)),"")</f>
        <v/>
      </c>
      <c r="F908" s="19">
        <f>IF(AND(OR(YearFilter="All",$E908=YearFilter),OR(RatingFilter="All",$D908=RatingFilter),OR(TypeFilter="All",$C908=TypeFilter)),1,0)</f>
        <v/>
      </c>
    </row>
    <row r="909" ht="15" customHeight="1" s="20">
      <c r="A909" s="19" t="inlineStr">
        <is>
          <t>s3469</t>
        </is>
      </c>
      <c r="B909" s="19" t="inlineStr">
        <is>
          <t>International Movies</t>
        </is>
      </c>
      <c r="C909" s="19">
        <f>IFERROR(INDEX(tblNetflix[type],MATCH($A909,tblNetflix[show_id],0)),"")</f>
        <v/>
      </c>
      <c r="D909" s="19">
        <f>IFERROR(INDEX(tblNetflix[rating],MATCH($A909,tblNetflix[show_id],0)),"")</f>
        <v/>
      </c>
      <c r="E909" s="19">
        <f>IFERROR(INDEX(tblNetflix[year_added],MATCH($A909,tblNetflix[show_id],0)),"")</f>
        <v/>
      </c>
      <c r="F909" s="19">
        <f>IF(AND(OR(YearFilter="All",$E909=YearFilter),OR(RatingFilter="All",$D909=RatingFilter),OR(TypeFilter="All",$C909=TypeFilter)),1,0)</f>
        <v/>
      </c>
    </row>
    <row r="910" ht="15" customHeight="1" s="20">
      <c r="A910" s="19" t="inlineStr">
        <is>
          <t>s3469</t>
        </is>
      </c>
      <c r="B910" s="19" t="inlineStr">
        <is>
          <t>Sports Movies</t>
        </is>
      </c>
      <c r="C910" s="19">
        <f>IFERROR(INDEX(tblNetflix[type],MATCH($A910,tblNetflix[show_id],0)),"")</f>
        <v/>
      </c>
      <c r="D910" s="19">
        <f>IFERROR(INDEX(tblNetflix[rating],MATCH($A910,tblNetflix[show_id],0)),"")</f>
        <v/>
      </c>
      <c r="E910" s="19">
        <f>IFERROR(INDEX(tblNetflix[year_added],MATCH($A910,tblNetflix[show_id],0)),"")</f>
        <v/>
      </c>
      <c r="F910" s="19">
        <f>IF(AND(OR(YearFilter="All",$E910=YearFilter),OR(RatingFilter="All",$D910=RatingFilter),OR(TypeFilter="All",$C910=TypeFilter)),1,0)</f>
        <v/>
      </c>
    </row>
    <row r="911" ht="15" customHeight="1" s="20">
      <c r="A911" s="19" t="inlineStr">
        <is>
          <t>s3482</t>
        </is>
      </c>
      <c r="B911" s="19" t="inlineStr">
        <is>
          <t>International TV Shows</t>
        </is>
      </c>
      <c r="C911" s="19">
        <f>IFERROR(INDEX(tblNetflix[type],MATCH($A911,tblNetflix[show_id],0)),"")</f>
        <v/>
      </c>
      <c r="D911" s="19">
        <f>IFERROR(INDEX(tblNetflix[rating],MATCH($A911,tblNetflix[show_id],0)),"")</f>
        <v/>
      </c>
      <c r="E911" s="19">
        <f>IFERROR(INDEX(tblNetflix[year_added],MATCH($A911,tblNetflix[show_id],0)),"")</f>
        <v/>
      </c>
      <c r="F911" s="19">
        <f>IF(AND(OR(YearFilter="All",$E911=YearFilter),OR(RatingFilter="All",$D911=RatingFilter),OR(TypeFilter="All",$C911=TypeFilter)),1,0)</f>
        <v/>
      </c>
    </row>
    <row r="912" ht="15" customHeight="1" s="20">
      <c r="A912" s="19" t="inlineStr">
        <is>
          <t>s3482</t>
        </is>
      </c>
      <c r="B912" s="19" t="inlineStr">
        <is>
          <t>TV Action &amp; Adventure</t>
        </is>
      </c>
      <c r="C912" s="19">
        <f>IFERROR(INDEX(tblNetflix[type],MATCH($A912,tblNetflix[show_id],0)),"")</f>
        <v/>
      </c>
      <c r="D912" s="19">
        <f>IFERROR(INDEX(tblNetflix[rating],MATCH($A912,tblNetflix[show_id],0)),"")</f>
        <v/>
      </c>
      <c r="E912" s="19">
        <f>IFERROR(INDEX(tblNetflix[year_added],MATCH($A912,tblNetflix[show_id],0)),"")</f>
        <v/>
      </c>
      <c r="F912" s="19">
        <f>IF(AND(OR(YearFilter="All",$E912=YearFilter),OR(RatingFilter="All",$D912=RatingFilter),OR(TypeFilter="All",$C912=TypeFilter)),1,0)</f>
        <v/>
      </c>
    </row>
    <row r="913" ht="15" customHeight="1" s="20">
      <c r="A913" s="19" t="inlineStr">
        <is>
          <t>s3482</t>
        </is>
      </c>
      <c r="B913" s="19" t="inlineStr">
        <is>
          <t>TV Dramas</t>
        </is>
      </c>
      <c r="C913" s="19">
        <f>IFERROR(INDEX(tblNetflix[type],MATCH($A913,tblNetflix[show_id],0)),"")</f>
        <v/>
      </c>
      <c r="D913" s="19">
        <f>IFERROR(INDEX(tblNetflix[rating],MATCH($A913,tblNetflix[show_id],0)),"")</f>
        <v/>
      </c>
      <c r="E913" s="19">
        <f>IFERROR(INDEX(tblNetflix[year_added],MATCH($A913,tblNetflix[show_id],0)),"")</f>
        <v/>
      </c>
      <c r="F913" s="19">
        <f>IF(AND(OR(YearFilter="All",$E913=YearFilter),OR(RatingFilter="All",$D913=RatingFilter),OR(TypeFilter="All",$C913=TypeFilter)),1,0)</f>
        <v/>
      </c>
    </row>
    <row r="914" ht="15" customHeight="1" s="20">
      <c r="A914" s="19" t="inlineStr">
        <is>
          <t>s3487</t>
        </is>
      </c>
      <c r="B914" s="19" t="inlineStr">
        <is>
          <t>Dramas</t>
        </is>
      </c>
      <c r="C914" s="19">
        <f>IFERROR(INDEX(tblNetflix[type],MATCH($A914,tblNetflix[show_id],0)),"")</f>
        <v/>
      </c>
      <c r="D914" s="19">
        <f>IFERROR(INDEX(tblNetflix[rating],MATCH($A914,tblNetflix[show_id],0)),"")</f>
        <v/>
      </c>
      <c r="E914" s="19">
        <f>IFERROR(INDEX(tblNetflix[year_added],MATCH($A914,tblNetflix[show_id],0)),"")</f>
        <v/>
      </c>
      <c r="F914" s="19">
        <f>IF(AND(OR(YearFilter="All",$E914=YearFilter),OR(RatingFilter="All",$D914=RatingFilter),OR(TypeFilter="All",$C914=TypeFilter)),1,0)</f>
        <v/>
      </c>
    </row>
    <row r="915" ht="15" customHeight="1" s="20">
      <c r="A915" s="19" t="inlineStr">
        <is>
          <t>s3487</t>
        </is>
      </c>
      <c r="B915" s="19" t="inlineStr">
        <is>
          <t>International Movies</t>
        </is>
      </c>
      <c r="C915" s="19">
        <f>IFERROR(INDEX(tblNetflix[type],MATCH($A915,tblNetflix[show_id],0)),"")</f>
        <v/>
      </c>
      <c r="D915" s="19">
        <f>IFERROR(INDEX(tblNetflix[rating],MATCH($A915,tblNetflix[show_id],0)),"")</f>
        <v/>
      </c>
      <c r="E915" s="19">
        <f>IFERROR(INDEX(tblNetflix[year_added],MATCH($A915,tblNetflix[show_id],0)),"")</f>
        <v/>
      </c>
      <c r="F915" s="19">
        <f>IF(AND(OR(YearFilter="All",$E915=YearFilter),OR(RatingFilter="All",$D915=RatingFilter),OR(TypeFilter="All",$C915=TypeFilter)),1,0)</f>
        <v/>
      </c>
    </row>
    <row r="916" ht="15" customHeight="1" s="20">
      <c r="A916" s="19" t="inlineStr">
        <is>
          <t>s3487</t>
        </is>
      </c>
      <c r="B916" s="19" t="inlineStr">
        <is>
          <t>Romantic Movies</t>
        </is>
      </c>
      <c r="C916" s="19">
        <f>IFERROR(INDEX(tblNetflix[type],MATCH($A916,tblNetflix[show_id],0)),"")</f>
        <v/>
      </c>
      <c r="D916" s="19">
        <f>IFERROR(INDEX(tblNetflix[rating],MATCH($A916,tblNetflix[show_id],0)),"")</f>
        <v/>
      </c>
      <c r="E916" s="19">
        <f>IFERROR(INDEX(tblNetflix[year_added],MATCH($A916,tblNetflix[show_id],0)),"")</f>
        <v/>
      </c>
      <c r="F916" s="19">
        <f>IF(AND(OR(YearFilter="All",$E916=YearFilter),OR(RatingFilter="All",$D916=RatingFilter),OR(TypeFilter="All",$C916=TypeFilter)),1,0)</f>
        <v/>
      </c>
    </row>
    <row r="917" ht="15" customHeight="1" s="20">
      <c r="A917" s="19" t="inlineStr">
        <is>
          <t>s3497</t>
        </is>
      </c>
      <c r="B917" s="19" t="inlineStr">
        <is>
          <t>Comedies</t>
        </is>
      </c>
      <c r="C917" s="19">
        <f>IFERROR(INDEX(tblNetflix[type],MATCH($A917,tblNetflix[show_id],0)),"")</f>
        <v/>
      </c>
      <c r="D917" s="19">
        <f>IFERROR(INDEX(tblNetflix[rating],MATCH($A917,tblNetflix[show_id],0)),"")</f>
        <v/>
      </c>
      <c r="E917" s="19">
        <f>IFERROR(INDEX(tblNetflix[year_added],MATCH($A917,tblNetflix[show_id],0)),"")</f>
        <v/>
      </c>
      <c r="F917" s="19">
        <f>IF(AND(OR(YearFilter="All",$E917=YearFilter),OR(RatingFilter="All",$D917=RatingFilter),OR(TypeFilter="All",$C917=TypeFilter)),1,0)</f>
        <v/>
      </c>
    </row>
    <row r="918" ht="15" customHeight="1" s="20">
      <c r="A918" s="19" t="inlineStr">
        <is>
          <t>s3497</t>
        </is>
      </c>
      <c r="B918" s="19" t="inlineStr">
        <is>
          <t>Dramas</t>
        </is>
      </c>
      <c r="C918" s="19">
        <f>IFERROR(INDEX(tblNetflix[type],MATCH($A918,tblNetflix[show_id],0)),"")</f>
        <v/>
      </c>
      <c r="D918" s="19">
        <f>IFERROR(INDEX(tblNetflix[rating],MATCH($A918,tblNetflix[show_id],0)),"")</f>
        <v/>
      </c>
      <c r="E918" s="19">
        <f>IFERROR(INDEX(tblNetflix[year_added],MATCH($A918,tblNetflix[show_id],0)),"")</f>
        <v/>
      </c>
      <c r="F918" s="19">
        <f>IF(AND(OR(YearFilter="All",$E918=YearFilter),OR(RatingFilter="All",$D918=RatingFilter),OR(TypeFilter="All",$C918=TypeFilter)),1,0)</f>
        <v/>
      </c>
    </row>
    <row r="919" ht="15" customHeight="1" s="20">
      <c r="A919" s="19" t="inlineStr">
        <is>
          <t>s3497</t>
        </is>
      </c>
      <c r="B919" s="19" t="inlineStr">
        <is>
          <t>International Movies</t>
        </is>
      </c>
      <c r="C919" s="19">
        <f>IFERROR(INDEX(tblNetflix[type],MATCH($A919,tblNetflix[show_id],0)),"")</f>
        <v/>
      </c>
      <c r="D919" s="19">
        <f>IFERROR(INDEX(tblNetflix[rating],MATCH($A919,tblNetflix[show_id],0)),"")</f>
        <v/>
      </c>
      <c r="E919" s="19">
        <f>IFERROR(INDEX(tblNetflix[year_added],MATCH($A919,tblNetflix[show_id],0)),"")</f>
        <v/>
      </c>
      <c r="F919" s="19">
        <f>IF(AND(OR(YearFilter="All",$E919=YearFilter),OR(RatingFilter="All",$D919=RatingFilter),OR(TypeFilter="All",$C919=TypeFilter)),1,0)</f>
        <v/>
      </c>
    </row>
    <row r="920" ht="15" customHeight="1" s="20">
      <c r="A920" s="19" t="inlineStr">
        <is>
          <t>s3499</t>
        </is>
      </c>
      <c r="B920" s="19" t="inlineStr">
        <is>
          <t>Dramas</t>
        </is>
      </c>
      <c r="C920" s="19">
        <f>IFERROR(INDEX(tblNetflix[type],MATCH($A920,tblNetflix[show_id],0)),"")</f>
        <v/>
      </c>
      <c r="D920" s="19">
        <f>IFERROR(INDEX(tblNetflix[rating],MATCH($A920,tblNetflix[show_id],0)),"")</f>
        <v/>
      </c>
      <c r="E920" s="19">
        <f>IFERROR(INDEX(tblNetflix[year_added],MATCH($A920,tblNetflix[show_id],0)),"")</f>
        <v/>
      </c>
      <c r="F920" s="19">
        <f>IF(AND(OR(YearFilter="All",$E920=YearFilter),OR(RatingFilter="All",$D920=RatingFilter),OR(TypeFilter="All",$C920=TypeFilter)),1,0)</f>
        <v/>
      </c>
    </row>
    <row r="921" ht="15" customHeight="1" s="20">
      <c r="A921" s="19" t="inlineStr">
        <is>
          <t>s3499</t>
        </is>
      </c>
      <c r="B921" s="19" t="inlineStr">
        <is>
          <t>Independent Movies</t>
        </is>
      </c>
      <c r="C921" s="19">
        <f>IFERROR(INDEX(tblNetflix[type],MATCH($A921,tblNetflix[show_id],0)),"")</f>
        <v/>
      </c>
      <c r="D921" s="19">
        <f>IFERROR(INDEX(tblNetflix[rating],MATCH($A921,tblNetflix[show_id],0)),"")</f>
        <v/>
      </c>
      <c r="E921" s="19">
        <f>IFERROR(INDEX(tblNetflix[year_added],MATCH($A921,tblNetflix[show_id],0)),"")</f>
        <v/>
      </c>
      <c r="F921" s="19">
        <f>IF(AND(OR(YearFilter="All",$E921=YearFilter),OR(RatingFilter="All",$D921=RatingFilter),OR(TypeFilter="All",$C921=TypeFilter)),1,0)</f>
        <v/>
      </c>
    </row>
    <row r="922" ht="15" customHeight="1" s="20">
      <c r="A922" s="19" t="inlineStr">
        <is>
          <t>s3499</t>
        </is>
      </c>
      <c r="B922" s="19" t="inlineStr">
        <is>
          <t>International Movies</t>
        </is>
      </c>
      <c r="C922" s="19">
        <f>IFERROR(INDEX(tblNetflix[type],MATCH($A922,tblNetflix[show_id],0)),"")</f>
        <v/>
      </c>
      <c r="D922" s="19">
        <f>IFERROR(INDEX(tblNetflix[rating],MATCH($A922,tblNetflix[show_id],0)),"")</f>
        <v/>
      </c>
      <c r="E922" s="19">
        <f>IFERROR(INDEX(tblNetflix[year_added],MATCH($A922,tblNetflix[show_id],0)),"")</f>
        <v/>
      </c>
      <c r="F922" s="19">
        <f>IF(AND(OR(YearFilter="All",$E922=YearFilter),OR(RatingFilter="All",$D922=RatingFilter),OR(TypeFilter="All",$C922=TypeFilter)),1,0)</f>
        <v/>
      </c>
    </row>
    <row r="923" ht="15" customHeight="1" s="20">
      <c r="A923" s="19" t="inlineStr">
        <is>
          <t>s3510</t>
        </is>
      </c>
      <c r="B923" s="19" t="inlineStr">
        <is>
          <t>Dramas</t>
        </is>
      </c>
      <c r="C923" s="19">
        <f>IFERROR(INDEX(tblNetflix[type],MATCH($A923,tblNetflix[show_id],0)),"")</f>
        <v/>
      </c>
      <c r="D923" s="19">
        <f>IFERROR(INDEX(tblNetflix[rating],MATCH($A923,tblNetflix[show_id],0)),"")</f>
        <v/>
      </c>
      <c r="E923" s="19">
        <f>IFERROR(INDEX(tblNetflix[year_added],MATCH($A923,tblNetflix[show_id],0)),"")</f>
        <v/>
      </c>
      <c r="F923" s="19">
        <f>IF(AND(OR(YearFilter="All",$E923=YearFilter),OR(RatingFilter="All",$D923=RatingFilter),OR(TypeFilter="All",$C923=TypeFilter)),1,0)</f>
        <v/>
      </c>
    </row>
    <row r="924" ht="15" customHeight="1" s="20">
      <c r="A924" s="19" t="inlineStr">
        <is>
          <t>s3510</t>
        </is>
      </c>
      <c r="B924" s="19" t="inlineStr">
        <is>
          <t>International Movies</t>
        </is>
      </c>
      <c r="C924" s="19">
        <f>IFERROR(INDEX(tblNetflix[type],MATCH($A924,tblNetflix[show_id],0)),"")</f>
        <v/>
      </c>
      <c r="D924" s="19">
        <f>IFERROR(INDEX(tblNetflix[rating],MATCH($A924,tblNetflix[show_id],0)),"")</f>
        <v/>
      </c>
      <c r="E924" s="19">
        <f>IFERROR(INDEX(tblNetflix[year_added],MATCH($A924,tblNetflix[show_id],0)),"")</f>
        <v/>
      </c>
      <c r="F924" s="19">
        <f>IF(AND(OR(YearFilter="All",$E924=YearFilter),OR(RatingFilter="All",$D924=RatingFilter),OR(TypeFilter="All",$C924=TypeFilter)),1,0)</f>
        <v/>
      </c>
    </row>
    <row r="925" ht="15" customHeight="1" s="20">
      <c r="A925" s="19" t="inlineStr">
        <is>
          <t>s3510</t>
        </is>
      </c>
      <c r="B925" s="19" t="inlineStr">
        <is>
          <t>Romantic Movies</t>
        </is>
      </c>
      <c r="C925" s="19">
        <f>IFERROR(INDEX(tblNetflix[type],MATCH($A925,tblNetflix[show_id],0)),"")</f>
        <v/>
      </c>
      <c r="D925" s="19">
        <f>IFERROR(INDEX(tblNetflix[rating],MATCH($A925,tblNetflix[show_id],0)),"")</f>
        <v/>
      </c>
      <c r="E925" s="19">
        <f>IFERROR(INDEX(tblNetflix[year_added],MATCH($A925,tblNetflix[show_id],0)),"")</f>
        <v/>
      </c>
      <c r="F925" s="19">
        <f>IF(AND(OR(YearFilter="All",$E925=YearFilter),OR(RatingFilter="All",$D925=RatingFilter),OR(TypeFilter="All",$C925=TypeFilter)),1,0)</f>
        <v/>
      </c>
    </row>
    <row r="926" ht="15" customHeight="1" s="20">
      <c r="A926" s="19" t="inlineStr">
        <is>
          <t>s3517</t>
        </is>
      </c>
      <c r="B926" s="19" t="inlineStr">
        <is>
          <t>Comedies</t>
        </is>
      </c>
      <c r="C926" s="19">
        <f>IFERROR(INDEX(tblNetflix[type],MATCH($A926,tblNetflix[show_id],0)),"")</f>
        <v/>
      </c>
      <c r="D926" s="19">
        <f>IFERROR(INDEX(tblNetflix[rating],MATCH($A926,tblNetflix[show_id],0)),"")</f>
        <v/>
      </c>
      <c r="E926" s="19">
        <f>IFERROR(INDEX(tblNetflix[year_added],MATCH($A926,tblNetflix[show_id],0)),"")</f>
        <v/>
      </c>
      <c r="F926" s="19">
        <f>IF(AND(OR(YearFilter="All",$E926=YearFilter),OR(RatingFilter="All",$D926=RatingFilter),OR(TypeFilter="All",$C926=TypeFilter)),1,0)</f>
        <v/>
      </c>
    </row>
    <row r="927" ht="15" customHeight="1" s="20">
      <c r="A927" s="19" t="inlineStr">
        <is>
          <t>s3517</t>
        </is>
      </c>
      <c r="B927" s="19" t="inlineStr">
        <is>
          <t>International Movies</t>
        </is>
      </c>
      <c r="C927" s="19">
        <f>IFERROR(INDEX(tblNetflix[type],MATCH($A927,tblNetflix[show_id],0)),"")</f>
        <v/>
      </c>
      <c r="D927" s="19">
        <f>IFERROR(INDEX(tblNetflix[rating],MATCH($A927,tblNetflix[show_id],0)),"")</f>
        <v/>
      </c>
      <c r="E927" s="19">
        <f>IFERROR(INDEX(tblNetflix[year_added],MATCH($A927,tblNetflix[show_id],0)),"")</f>
        <v/>
      </c>
      <c r="F927" s="19">
        <f>IF(AND(OR(YearFilter="All",$E927=YearFilter),OR(RatingFilter="All",$D927=RatingFilter),OR(TypeFilter="All",$C927=TypeFilter)),1,0)</f>
        <v/>
      </c>
    </row>
    <row r="928" ht="15" customHeight="1" s="20">
      <c r="A928" s="19" t="inlineStr">
        <is>
          <t>s3517</t>
        </is>
      </c>
      <c r="B928" s="19" t="inlineStr">
        <is>
          <t>Music &amp; Musicals</t>
        </is>
      </c>
      <c r="C928" s="19">
        <f>IFERROR(INDEX(tblNetflix[type],MATCH($A928,tblNetflix[show_id],0)),"")</f>
        <v/>
      </c>
      <c r="D928" s="19">
        <f>IFERROR(INDEX(tblNetflix[rating],MATCH($A928,tblNetflix[show_id],0)),"")</f>
        <v/>
      </c>
      <c r="E928" s="19">
        <f>IFERROR(INDEX(tblNetflix[year_added],MATCH($A928,tblNetflix[show_id],0)),"")</f>
        <v/>
      </c>
      <c r="F928" s="19">
        <f>IF(AND(OR(YearFilter="All",$E928=YearFilter),OR(RatingFilter="All",$D928=RatingFilter),OR(TypeFilter="All",$C928=TypeFilter)),1,0)</f>
        <v/>
      </c>
    </row>
    <row r="929" ht="15" customHeight="1" s="20">
      <c r="A929" s="19" t="inlineStr">
        <is>
          <t>s3531</t>
        </is>
      </c>
      <c r="B929" s="19" t="inlineStr">
        <is>
          <t>Dramas</t>
        </is>
      </c>
      <c r="C929" s="19">
        <f>IFERROR(INDEX(tblNetflix[type],MATCH($A929,tblNetflix[show_id],0)),"")</f>
        <v/>
      </c>
      <c r="D929" s="19">
        <f>IFERROR(INDEX(tblNetflix[rating],MATCH($A929,tblNetflix[show_id],0)),"")</f>
        <v/>
      </c>
      <c r="E929" s="19">
        <f>IFERROR(INDEX(tblNetflix[year_added],MATCH($A929,tblNetflix[show_id],0)),"")</f>
        <v/>
      </c>
      <c r="F929" s="19">
        <f>IF(AND(OR(YearFilter="All",$E929=YearFilter),OR(RatingFilter="All",$D929=RatingFilter),OR(TypeFilter="All",$C929=TypeFilter)),1,0)</f>
        <v/>
      </c>
    </row>
    <row r="930" ht="15" customHeight="1" s="20">
      <c r="A930" s="19" t="inlineStr">
        <is>
          <t>s3531</t>
        </is>
      </c>
      <c r="B930" s="19" t="inlineStr">
        <is>
          <t>International Movies</t>
        </is>
      </c>
      <c r="C930" s="19">
        <f>IFERROR(INDEX(tblNetflix[type],MATCH($A930,tblNetflix[show_id],0)),"")</f>
        <v/>
      </c>
      <c r="D930" s="19">
        <f>IFERROR(INDEX(tblNetflix[rating],MATCH($A930,tblNetflix[show_id],0)),"")</f>
        <v/>
      </c>
      <c r="E930" s="19">
        <f>IFERROR(INDEX(tblNetflix[year_added],MATCH($A930,tblNetflix[show_id],0)),"")</f>
        <v/>
      </c>
      <c r="F930" s="19">
        <f>IF(AND(OR(YearFilter="All",$E930=YearFilter),OR(RatingFilter="All",$D930=RatingFilter),OR(TypeFilter="All",$C930=TypeFilter)),1,0)</f>
        <v/>
      </c>
    </row>
    <row r="931" ht="15" customHeight="1" s="20">
      <c r="A931" s="19" t="inlineStr">
        <is>
          <t>s3531</t>
        </is>
      </c>
      <c r="B931" s="19" t="inlineStr">
        <is>
          <t>Thrillers</t>
        </is>
      </c>
      <c r="C931" s="19">
        <f>IFERROR(INDEX(tblNetflix[type],MATCH($A931,tblNetflix[show_id],0)),"")</f>
        <v/>
      </c>
      <c r="D931" s="19">
        <f>IFERROR(INDEX(tblNetflix[rating],MATCH($A931,tblNetflix[show_id],0)),"")</f>
        <v/>
      </c>
      <c r="E931" s="19">
        <f>IFERROR(INDEX(tblNetflix[year_added],MATCH($A931,tblNetflix[show_id],0)),"")</f>
        <v/>
      </c>
      <c r="F931" s="19">
        <f>IF(AND(OR(YearFilter="All",$E931=YearFilter),OR(RatingFilter="All",$D931=RatingFilter),OR(TypeFilter="All",$C931=TypeFilter)),1,0)</f>
        <v/>
      </c>
    </row>
    <row r="932" ht="15" customHeight="1" s="20">
      <c r="A932" s="19" t="inlineStr">
        <is>
          <t>s3532</t>
        </is>
      </c>
      <c r="B932" s="19" t="inlineStr">
        <is>
          <t>Comedies</t>
        </is>
      </c>
      <c r="C932" s="19">
        <f>IFERROR(INDEX(tblNetflix[type],MATCH($A932,tblNetflix[show_id],0)),"")</f>
        <v/>
      </c>
      <c r="D932" s="19">
        <f>IFERROR(INDEX(tblNetflix[rating],MATCH($A932,tblNetflix[show_id],0)),"")</f>
        <v/>
      </c>
      <c r="E932" s="19">
        <f>IFERROR(INDEX(tblNetflix[year_added],MATCH($A932,tblNetflix[show_id],0)),"")</f>
        <v/>
      </c>
      <c r="F932" s="19">
        <f>IF(AND(OR(YearFilter="All",$E932=YearFilter),OR(RatingFilter="All",$D932=RatingFilter),OR(TypeFilter="All",$C932=TypeFilter)),1,0)</f>
        <v/>
      </c>
    </row>
    <row r="933" ht="15" customHeight="1" s="20">
      <c r="A933" s="19" t="inlineStr">
        <is>
          <t>s3532</t>
        </is>
      </c>
      <c r="B933" s="19" t="inlineStr">
        <is>
          <t>Dramas</t>
        </is>
      </c>
      <c r="C933" s="19">
        <f>IFERROR(INDEX(tblNetflix[type],MATCH($A933,tblNetflix[show_id],0)),"")</f>
        <v/>
      </c>
      <c r="D933" s="19">
        <f>IFERROR(INDEX(tblNetflix[rating],MATCH($A933,tblNetflix[show_id],0)),"")</f>
        <v/>
      </c>
      <c r="E933" s="19">
        <f>IFERROR(INDEX(tblNetflix[year_added],MATCH($A933,tblNetflix[show_id],0)),"")</f>
        <v/>
      </c>
      <c r="F933" s="19">
        <f>IF(AND(OR(YearFilter="All",$E933=YearFilter),OR(RatingFilter="All",$D933=RatingFilter),OR(TypeFilter="All",$C933=TypeFilter)),1,0)</f>
        <v/>
      </c>
    </row>
    <row r="934" ht="15" customHeight="1" s="20">
      <c r="A934" s="19" t="inlineStr">
        <is>
          <t>s3532</t>
        </is>
      </c>
      <c r="B934" s="19" t="inlineStr">
        <is>
          <t>Independent Movies</t>
        </is>
      </c>
      <c r="C934" s="19">
        <f>IFERROR(INDEX(tblNetflix[type],MATCH($A934,tblNetflix[show_id],0)),"")</f>
        <v/>
      </c>
      <c r="D934" s="19">
        <f>IFERROR(INDEX(tblNetflix[rating],MATCH($A934,tblNetflix[show_id],0)),"")</f>
        <v/>
      </c>
      <c r="E934" s="19">
        <f>IFERROR(INDEX(tblNetflix[year_added],MATCH($A934,tblNetflix[show_id],0)),"")</f>
        <v/>
      </c>
      <c r="F934" s="19">
        <f>IF(AND(OR(YearFilter="All",$E934=YearFilter),OR(RatingFilter="All",$D934=RatingFilter),OR(TypeFilter="All",$C934=TypeFilter)),1,0)</f>
        <v/>
      </c>
    </row>
    <row r="935" ht="15" customHeight="1" s="20">
      <c r="A935" s="19" t="inlineStr">
        <is>
          <t>s3533</t>
        </is>
      </c>
      <c r="B935" s="19" t="inlineStr">
        <is>
          <t>Comedies</t>
        </is>
      </c>
      <c r="C935" s="19">
        <f>IFERROR(INDEX(tblNetflix[type],MATCH($A935,tblNetflix[show_id],0)),"")</f>
        <v/>
      </c>
      <c r="D935" s="19">
        <f>IFERROR(INDEX(tblNetflix[rating],MATCH($A935,tblNetflix[show_id],0)),"")</f>
        <v/>
      </c>
      <c r="E935" s="19">
        <f>IFERROR(INDEX(tblNetflix[year_added],MATCH($A935,tblNetflix[show_id],0)),"")</f>
        <v/>
      </c>
      <c r="F935" s="19">
        <f>IF(AND(OR(YearFilter="All",$E935=YearFilter),OR(RatingFilter="All",$D935=RatingFilter),OR(TypeFilter="All",$C935=TypeFilter)),1,0)</f>
        <v/>
      </c>
    </row>
    <row r="936" ht="15" customHeight="1" s="20">
      <c r="A936" s="19" t="inlineStr">
        <is>
          <t>s3533</t>
        </is>
      </c>
      <c r="B936" s="19" t="inlineStr">
        <is>
          <t>Independent Movies</t>
        </is>
      </c>
      <c r="C936" s="19">
        <f>IFERROR(INDEX(tblNetflix[type],MATCH($A936,tblNetflix[show_id],0)),"")</f>
        <v/>
      </c>
      <c r="D936" s="19">
        <f>IFERROR(INDEX(tblNetflix[rating],MATCH($A936,tblNetflix[show_id],0)),"")</f>
        <v/>
      </c>
      <c r="E936" s="19">
        <f>IFERROR(INDEX(tblNetflix[year_added],MATCH($A936,tblNetflix[show_id],0)),"")</f>
        <v/>
      </c>
      <c r="F936" s="19">
        <f>IF(AND(OR(YearFilter="All",$E936=YearFilter),OR(RatingFilter="All",$D936=RatingFilter),OR(TypeFilter="All",$C936=TypeFilter)),1,0)</f>
        <v/>
      </c>
    </row>
    <row r="937" ht="15" customHeight="1" s="20">
      <c r="A937" s="19" t="inlineStr">
        <is>
          <t>s3533</t>
        </is>
      </c>
      <c r="B937" s="19" t="inlineStr">
        <is>
          <t>International Movies</t>
        </is>
      </c>
      <c r="C937" s="19">
        <f>IFERROR(INDEX(tblNetflix[type],MATCH($A937,tblNetflix[show_id],0)),"")</f>
        <v/>
      </c>
      <c r="D937" s="19">
        <f>IFERROR(INDEX(tblNetflix[rating],MATCH($A937,tblNetflix[show_id],0)),"")</f>
        <v/>
      </c>
      <c r="E937" s="19">
        <f>IFERROR(INDEX(tblNetflix[year_added],MATCH($A937,tblNetflix[show_id],0)),"")</f>
        <v/>
      </c>
      <c r="F937" s="19">
        <f>IF(AND(OR(YearFilter="All",$E937=YearFilter),OR(RatingFilter="All",$D937=RatingFilter),OR(TypeFilter="All",$C937=TypeFilter)),1,0)</f>
        <v/>
      </c>
    </row>
    <row r="938" ht="15" customHeight="1" s="20">
      <c r="A938" s="19" t="inlineStr">
        <is>
          <t>s3538</t>
        </is>
      </c>
      <c r="B938" s="19" t="inlineStr">
        <is>
          <t>Comedies</t>
        </is>
      </c>
      <c r="C938" s="19">
        <f>IFERROR(INDEX(tblNetflix[type],MATCH($A938,tblNetflix[show_id],0)),"")</f>
        <v/>
      </c>
      <c r="D938" s="19">
        <f>IFERROR(INDEX(tblNetflix[rating],MATCH($A938,tblNetflix[show_id],0)),"")</f>
        <v/>
      </c>
      <c r="E938" s="19">
        <f>IFERROR(INDEX(tblNetflix[year_added],MATCH($A938,tblNetflix[show_id],0)),"")</f>
        <v/>
      </c>
      <c r="F938" s="19">
        <f>IF(AND(OR(YearFilter="All",$E938=YearFilter),OR(RatingFilter="All",$D938=RatingFilter),OR(TypeFilter="All",$C938=TypeFilter)),1,0)</f>
        <v/>
      </c>
    </row>
    <row r="939" ht="15" customHeight="1" s="20">
      <c r="A939" s="19" t="inlineStr">
        <is>
          <t>s3538</t>
        </is>
      </c>
      <c r="B939" s="19" t="inlineStr">
        <is>
          <t>Dramas</t>
        </is>
      </c>
      <c r="C939" s="19">
        <f>IFERROR(INDEX(tblNetflix[type],MATCH($A939,tblNetflix[show_id],0)),"")</f>
        <v/>
      </c>
      <c r="D939" s="19">
        <f>IFERROR(INDEX(tblNetflix[rating],MATCH($A939,tblNetflix[show_id],0)),"")</f>
        <v/>
      </c>
      <c r="E939" s="19">
        <f>IFERROR(INDEX(tblNetflix[year_added],MATCH($A939,tblNetflix[show_id],0)),"")</f>
        <v/>
      </c>
      <c r="F939" s="19">
        <f>IF(AND(OR(YearFilter="All",$E939=YearFilter),OR(RatingFilter="All",$D939=RatingFilter),OR(TypeFilter="All",$C939=TypeFilter)),1,0)</f>
        <v/>
      </c>
    </row>
    <row r="940" ht="15" customHeight="1" s="20">
      <c r="A940" s="19" t="inlineStr">
        <is>
          <t>s3538</t>
        </is>
      </c>
      <c r="B940" s="19" t="inlineStr">
        <is>
          <t>International Movies</t>
        </is>
      </c>
      <c r="C940" s="19">
        <f>IFERROR(INDEX(tblNetflix[type],MATCH($A940,tblNetflix[show_id],0)),"")</f>
        <v/>
      </c>
      <c r="D940" s="19">
        <f>IFERROR(INDEX(tblNetflix[rating],MATCH($A940,tblNetflix[show_id],0)),"")</f>
        <v/>
      </c>
      <c r="E940" s="19">
        <f>IFERROR(INDEX(tblNetflix[year_added],MATCH($A940,tblNetflix[show_id],0)),"")</f>
        <v/>
      </c>
      <c r="F940" s="19">
        <f>IF(AND(OR(YearFilter="All",$E940=YearFilter),OR(RatingFilter="All",$D940=RatingFilter),OR(TypeFilter="All",$C940=TypeFilter)),1,0)</f>
        <v/>
      </c>
    </row>
    <row r="941" ht="15" customHeight="1" s="20">
      <c r="A941" s="19" t="inlineStr">
        <is>
          <t>s3564</t>
        </is>
      </c>
      <c r="B941" s="19" t="inlineStr">
        <is>
          <t>Comedies</t>
        </is>
      </c>
      <c r="C941" s="19">
        <f>IFERROR(INDEX(tblNetflix[type],MATCH($A941,tblNetflix[show_id],0)),"")</f>
        <v/>
      </c>
      <c r="D941" s="19">
        <f>IFERROR(INDEX(tblNetflix[rating],MATCH($A941,tblNetflix[show_id],0)),"")</f>
        <v/>
      </c>
      <c r="E941" s="19">
        <f>IFERROR(INDEX(tblNetflix[year_added],MATCH($A941,tblNetflix[show_id],0)),"")</f>
        <v/>
      </c>
      <c r="F941" s="19">
        <f>IF(AND(OR(YearFilter="All",$E941=YearFilter),OR(RatingFilter="All",$D941=RatingFilter),OR(TypeFilter="All",$C941=TypeFilter)),1,0)</f>
        <v/>
      </c>
    </row>
    <row r="942" ht="15" customHeight="1" s="20">
      <c r="A942" s="19" t="inlineStr">
        <is>
          <t>s3564</t>
        </is>
      </c>
      <c r="B942" s="19" t="inlineStr">
        <is>
          <t>Dramas</t>
        </is>
      </c>
      <c r="C942" s="19">
        <f>IFERROR(INDEX(tblNetflix[type],MATCH($A942,tblNetflix[show_id],0)),"")</f>
        <v/>
      </c>
      <c r="D942" s="19">
        <f>IFERROR(INDEX(tblNetflix[rating],MATCH($A942,tblNetflix[show_id],0)),"")</f>
        <v/>
      </c>
      <c r="E942" s="19">
        <f>IFERROR(INDEX(tblNetflix[year_added],MATCH($A942,tblNetflix[show_id],0)),"")</f>
        <v/>
      </c>
      <c r="F942" s="19">
        <f>IF(AND(OR(YearFilter="All",$E942=YearFilter),OR(RatingFilter="All",$D942=RatingFilter),OR(TypeFilter="All",$C942=TypeFilter)),1,0)</f>
        <v/>
      </c>
    </row>
    <row r="943" ht="15" customHeight="1" s="20">
      <c r="A943" s="19" t="inlineStr">
        <is>
          <t>s3564</t>
        </is>
      </c>
      <c r="B943" s="19" t="inlineStr">
        <is>
          <t>International Movies</t>
        </is>
      </c>
      <c r="C943" s="19">
        <f>IFERROR(INDEX(tblNetflix[type],MATCH($A943,tblNetflix[show_id],0)),"")</f>
        <v/>
      </c>
      <c r="D943" s="19">
        <f>IFERROR(INDEX(tblNetflix[rating],MATCH($A943,tblNetflix[show_id],0)),"")</f>
        <v/>
      </c>
      <c r="E943" s="19">
        <f>IFERROR(INDEX(tblNetflix[year_added],MATCH($A943,tblNetflix[show_id],0)),"")</f>
        <v/>
      </c>
      <c r="F943" s="19">
        <f>IF(AND(OR(YearFilter="All",$E943=YearFilter),OR(RatingFilter="All",$D943=RatingFilter),OR(TypeFilter="All",$C943=TypeFilter)),1,0)</f>
        <v/>
      </c>
    </row>
    <row r="944" ht="15" customHeight="1" s="20">
      <c r="A944" s="19" t="inlineStr">
        <is>
          <t>s3565</t>
        </is>
      </c>
      <c r="B944" s="19" t="inlineStr">
        <is>
          <t>Comedies</t>
        </is>
      </c>
      <c r="C944" s="19">
        <f>IFERROR(INDEX(tblNetflix[type],MATCH($A944,tblNetflix[show_id],0)),"")</f>
        <v/>
      </c>
      <c r="D944" s="19">
        <f>IFERROR(INDEX(tblNetflix[rating],MATCH($A944,tblNetflix[show_id],0)),"")</f>
        <v/>
      </c>
      <c r="E944" s="19">
        <f>IFERROR(INDEX(tblNetflix[year_added],MATCH($A944,tblNetflix[show_id],0)),"")</f>
        <v/>
      </c>
      <c r="F944" s="19">
        <f>IF(AND(OR(YearFilter="All",$E944=YearFilter),OR(RatingFilter="All",$D944=RatingFilter),OR(TypeFilter="All",$C944=TypeFilter)),1,0)</f>
        <v/>
      </c>
    </row>
    <row r="945" ht="15" customHeight="1" s="20">
      <c r="A945" s="19" t="inlineStr">
        <is>
          <t>s3565</t>
        </is>
      </c>
      <c r="B945" s="19" t="inlineStr">
        <is>
          <t>International Movies</t>
        </is>
      </c>
      <c r="C945" s="19">
        <f>IFERROR(INDEX(tblNetflix[type],MATCH($A945,tblNetflix[show_id],0)),"")</f>
        <v/>
      </c>
      <c r="D945" s="19">
        <f>IFERROR(INDEX(tblNetflix[rating],MATCH($A945,tblNetflix[show_id],0)),"")</f>
        <v/>
      </c>
      <c r="E945" s="19">
        <f>IFERROR(INDEX(tblNetflix[year_added],MATCH($A945,tblNetflix[show_id],0)),"")</f>
        <v/>
      </c>
      <c r="F945" s="19">
        <f>IF(AND(OR(YearFilter="All",$E945=YearFilter),OR(RatingFilter="All",$D945=RatingFilter),OR(TypeFilter="All",$C945=TypeFilter)),1,0)</f>
        <v/>
      </c>
    </row>
    <row r="946" ht="15" customHeight="1" s="20">
      <c r="A946" s="19" t="inlineStr">
        <is>
          <t>s3567</t>
        </is>
      </c>
      <c r="B946" s="19" t="inlineStr">
        <is>
          <t>Dramas</t>
        </is>
      </c>
      <c r="C946" s="19">
        <f>IFERROR(INDEX(tblNetflix[type],MATCH($A946,tblNetflix[show_id],0)),"")</f>
        <v/>
      </c>
      <c r="D946" s="19">
        <f>IFERROR(INDEX(tblNetflix[rating],MATCH($A946,tblNetflix[show_id],0)),"")</f>
        <v/>
      </c>
      <c r="E946" s="19">
        <f>IFERROR(INDEX(tblNetflix[year_added],MATCH($A946,tblNetflix[show_id],0)),"")</f>
        <v/>
      </c>
      <c r="F946" s="19">
        <f>IF(AND(OR(YearFilter="All",$E946=YearFilter),OR(RatingFilter="All",$D946=RatingFilter),OR(TypeFilter="All",$C946=TypeFilter)),1,0)</f>
        <v/>
      </c>
    </row>
    <row r="947" ht="15" customHeight="1" s="20">
      <c r="A947" s="19" t="inlineStr">
        <is>
          <t>s3567</t>
        </is>
      </c>
      <c r="B947" s="19" t="inlineStr">
        <is>
          <t>Independent Movies</t>
        </is>
      </c>
      <c r="C947" s="19">
        <f>IFERROR(INDEX(tblNetflix[type],MATCH($A947,tblNetflix[show_id],0)),"")</f>
        <v/>
      </c>
      <c r="D947" s="19">
        <f>IFERROR(INDEX(tblNetflix[rating],MATCH($A947,tblNetflix[show_id],0)),"")</f>
        <v/>
      </c>
      <c r="E947" s="19">
        <f>IFERROR(INDEX(tblNetflix[year_added],MATCH($A947,tblNetflix[show_id],0)),"")</f>
        <v/>
      </c>
      <c r="F947" s="19">
        <f>IF(AND(OR(YearFilter="All",$E947=YearFilter),OR(RatingFilter="All",$D947=RatingFilter),OR(TypeFilter="All",$C947=TypeFilter)),1,0)</f>
        <v/>
      </c>
    </row>
    <row r="948" ht="15" customHeight="1" s="20">
      <c r="A948" s="19" t="inlineStr">
        <is>
          <t>s3567</t>
        </is>
      </c>
      <c r="B948" s="19" t="inlineStr">
        <is>
          <t>International Movies</t>
        </is>
      </c>
      <c r="C948" s="19">
        <f>IFERROR(INDEX(tblNetflix[type],MATCH($A948,tblNetflix[show_id],0)),"")</f>
        <v/>
      </c>
      <c r="D948" s="19">
        <f>IFERROR(INDEX(tblNetflix[rating],MATCH($A948,tblNetflix[show_id],0)),"")</f>
        <v/>
      </c>
      <c r="E948" s="19">
        <f>IFERROR(INDEX(tblNetflix[year_added],MATCH($A948,tblNetflix[show_id],0)),"")</f>
        <v/>
      </c>
      <c r="F948" s="19">
        <f>IF(AND(OR(YearFilter="All",$E948=YearFilter),OR(RatingFilter="All",$D948=RatingFilter),OR(TypeFilter="All",$C948=TypeFilter)),1,0)</f>
        <v/>
      </c>
    </row>
    <row r="949" ht="15" customHeight="1" s="20">
      <c r="A949" s="19" t="inlineStr">
        <is>
          <t>s3570</t>
        </is>
      </c>
      <c r="B949" s="19" t="inlineStr">
        <is>
          <t>Horror Movies</t>
        </is>
      </c>
      <c r="C949" s="19">
        <f>IFERROR(INDEX(tblNetflix[type],MATCH($A949,tblNetflix[show_id],0)),"")</f>
        <v/>
      </c>
      <c r="D949" s="19">
        <f>IFERROR(INDEX(tblNetflix[rating],MATCH($A949,tblNetflix[show_id],0)),"")</f>
        <v/>
      </c>
      <c r="E949" s="19">
        <f>IFERROR(INDEX(tblNetflix[year_added],MATCH($A949,tblNetflix[show_id],0)),"")</f>
        <v/>
      </c>
      <c r="F949" s="19">
        <f>IF(AND(OR(YearFilter="All",$E949=YearFilter),OR(RatingFilter="All",$D949=RatingFilter),OR(TypeFilter="All",$C949=TypeFilter)),1,0)</f>
        <v/>
      </c>
    </row>
    <row r="950" ht="15" customHeight="1" s="20">
      <c r="A950" s="19" t="inlineStr">
        <is>
          <t>s3570</t>
        </is>
      </c>
      <c r="B950" s="19" t="inlineStr">
        <is>
          <t>International Movies</t>
        </is>
      </c>
      <c r="C950" s="19">
        <f>IFERROR(INDEX(tblNetflix[type],MATCH($A950,tblNetflix[show_id],0)),"")</f>
        <v/>
      </c>
      <c r="D950" s="19">
        <f>IFERROR(INDEX(tblNetflix[rating],MATCH($A950,tblNetflix[show_id],0)),"")</f>
        <v/>
      </c>
      <c r="E950" s="19">
        <f>IFERROR(INDEX(tblNetflix[year_added],MATCH($A950,tblNetflix[show_id],0)),"")</f>
        <v/>
      </c>
      <c r="F950" s="19">
        <f>IF(AND(OR(YearFilter="All",$E950=YearFilter),OR(RatingFilter="All",$D950=RatingFilter),OR(TypeFilter="All",$C950=TypeFilter)),1,0)</f>
        <v/>
      </c>
    </row>
    <row r="951" ht="15" customHeight="1" s="20">
      <c r="A951" s="19" t="inlineStr">
        <is>
          <t>s3570</t>
        </is>
      </c>
      <c r="B951" s="19" t="inlineStr">
        <is>
          <t>Thrillers</t>
        </is>
      </c>
      <c r="C951" s="19">
        <f>IFERROR(INDEX(tblNetflix[type],MATCH($A951,tblNetflix[show_id],0)),"")</f>
        <v/>
      </c>
      <c r="D951" s="19">
        <f>IFERROR(INDEX(tblNetflix[rating],MATCH($A951,tblNetflix[show_id],0)),"")</f>
        <v/>
      </c>
      <c r="E951" s="19">
        <f>IFERROR(INDEX(tblNetflix[year_added],MATCH($A951,tblNetflix[show_id],0)),"")</f>
        <v/>
      </c>
      <c r="F951" s="19">
        <f>IF(AND(OR(YearFilter="All",$E951=YearFilter),OR(RatingFilter="All",$D951=RatingFilter),OR(TypeFilter="All",$C951=TypeFilter)),1,0)</f>
        <v/>
      </c>
    </row>
    <row r="952" ht="15" customHeight="1" s="20">
      <c r="A952" s="19" t="inlineStr">
        <is>
          <t>s3590</t>
        </is>
      </c>
      <c r="B952" s="19" t="inlineStr">
        <is>
          <t>Crime TV Shows</t>
        </is>
      </c>
      <c r="C952" s="19">
        <f>IFERROR(INDEX(tblNetflix[type],MATCH($A952,tblNetflix[show_id],0)),"")</f>
        <v/>
      </c>
      <c r="D952" s="19">
        <f>IFERROR(INDEX(tblNetflix[rating],MATCH($A952,tblNetflix[show_id],0)),"")</f>
        <v/>
      </c>
      <c r="E952" s="19">
        <f>IFERROR(INDEX(tblNetflix[year_added],MATCH($A952,tblNetflix[show_id],0)),"")</f>
        <v/>
      </c>
      <c r="F952" s="19">
        <f>IF(AND(OR(YearFilter="All",$E952=YearFilter),OR(RatingFilter="All",$D952=RatingFilter),OR(TypeFilter="All",$C952=TypeFilter)),1,0)</f>
        <v/>
      </c>
    </row>
    <row r="953" ht="15" customHeight="1" s="20">
      <c r="A953" s="19" t="inlineStr">
        <is>
          <t>s3590</t>
        </is>
      </c>
      <c r="B953" s="19" t="inlineStr">
        <is>
          <t>International TV Shows</t>
        </is>
      </c>
      <c r="C953" s="19">
        <f>IFERROR(INDEX(tblNetflix[type],MATCH($A953,tblNetflix[show_id],0)),"")</f>
        <v/>
      </c>
      <c r="D953" s="19">
        <f>IFERROR(INDEX(tblNetflix[rating],MATCH($A953,tblNetflix[show_id],0)),"")</f>
        <v/>
      </c>
      <c r="E953" s="19">
        <f>IFERROR(INDEX(tblNetflix[year_added],MATCH($A953,tblNetflix[show_id],0)),"")</f>
        <v/>
      </c>
      <c r="F953" s="19">
        <f>IF(AND(OR(YearFilter="All",$E953=YearFilter),OR(RatingFilter="All",$D953=RatingFilter),OR(TypeFilter="All",$C953=TypeFilter)),1,0)</f>
        <v/>
      </c>
    </row>
    <row r="954" ht="15" customHeight="1" s="20">
      <c r="A954" s="19" t="inlineStr">
        <is>
          <t>s3590</t>
        </is>
      </c>
      <c r="B954" s="19" t="inlineStr">
        <is>
          <t>TV Dramas</t>
        </is>
      </c>
      <c r="C954" s="19">
        <f>IFERROR(INDEX(tblNetflix[type],MATCH($A954,tblNetflix[show_id],0)),"")</f>
        <v/>
      </c>
      <c r="D954" s="19">
        <f>IFERROR(INDEX(tblNetflix[rating],MATCH($A954,tblNetflix[show_id],0)),"")</f>
        <v/>
      </c>
      <c r="E954" s="19">
        <f>IFERROR(INDEX(tblNetflix[year_added],MATCH($A954,tblNetflix[show_id],0)),"")</f>
        <v/>
      </c>
      <c r="F954" s="19">
        <f>IF(AND(OR(YearFilter="All",$E954=YearFilter),OR(RatingFilter="All",$D954=RatingFilter),OR(TypeFilter="All",$C954=TypeFilter)),1,0)</f>
        <v/>
      </c>
    </row>
    <row r="955" ht="15" customHeight="1" s="20">
      <c r="A955" s="19" t="inlineStr">
        <is>
          <t>s3594</t>
        </is>
      </c>
      <c r="B955" s="19" t="inlineStr">
        <is>
          <t>Dramas</t>
        </is>
      </c>
      <c r="C955" s="19">
        <f>IFERROR(INDEX(tblNetflix[type],MATCH($A955,tblNetflix[show_id],0)),"")</f>
        <v/>
      </c>
      <c r="D955" s="19">
        <f>IFERROR(INDEX(tblNetflix[rating],MATCH($A955,tblNetflix[show_id],0)),"")</f>
        <v/>
      </c>
      <c r="E955" s="19">
        <f>IFERROR(INDEX(tblNetflix[year_added],MATCH($A955,tblNetflix[show_id],0)),"")</f>
        <v/>
      </c>
      <c r="F955" s="19">
        <f>IF(AND(OR(YearFilter="All",$E955=YearFilter),OR(RatingFilter="All",$D955=RatingFilter),OR(TypeFilter="All",$C955=TypeFilter)),1,0)</f>
        <v/>
      </c>
    </row>
    <row r="956" ht="15" customHeight="1" s="20">
      <c r="A956" s="19" t="inlineStr">
        <is>
          <t>s3594</t>
        </is>
      </c>
      <c r="B956" s="19" t="inlineStr">
        <is>
          <t>International Movies</t>
        </is>
      </c>
      <c r="C956" s="19">
        <f>IFERROR(INDEX(tblNetflix[type],MATCH($A956,tblNetflix[show_id],0)),"")</f>
        <v/>
      </c>
      <c r="D956" s="19">
        <f>IFERROR(INDEX(tblNetflix[rating],MATCH($A956,tblNetflix[show_id],0)),"")</f>
        <v/>
      </c>
      <c r="E956" s="19">
        <f>IFERROR(INDEX(tblNetflix[year_added],MATCH($A956,tblNetflix[show_id],0)),"")</f>
        <v/>
      </c>
      <c r="F956" s="19">
        <f>IF(AND(OR(YearFilter="All",$E956=YearFilter),OR(RatingFilter="All",$D956=RatingFilter),OR(TypeFilter="All",$C956=TypeFilter)),1,0)</f>
        <v/>
      </c>
    </row>
    <row r="957" ht="15" customHeight="1" s="20">
      <c r="A957" s="19" t="inlineStr">
        <is>
          <t>s3595</t>
        </is>
      </c>
      <c r="B957" s="19" t="inlineStr">
        <is>
          <t>Comedies</t>
        </is>
      </c>
      <c r="C957" s="19">
        <f>IFERROR(INDEX(tblNetflix[type],MATCH($A957,tblNetflix[show_id],0)),"")</f>
        <v/>
      </c>
      <c r="D957" s="19">
        <f>IFERROR(INDEX(tblNetflix[rating],MATCH($A957,tblNetflix[show_id],0)),"")</f>
        <v/>
      </c>
      <c r="E957" s="19">
        <f>IFERROR(INDEX(tblNetflix[year_added],MATCH($A957,tblNetflix[show_id],0)),"")</f>
        <v/>
      </c>
      <c r="F957" s="19">
        <f>IF(AND(OR(YearFilter="All",$E957=YearFilter),OR(RatingFilter="All",$D957=RatingFilter),OR(TypeFilter="All",$C957=TypeFilter)),1,0)</f>
        <v/>
      </c>
    </row>
    <row r="958" ht="15" customHeight="1" s="20">
      <c r="A958" s="19" t="inlineStr">
        <is>
          <t>s3595</t>
        </is>
      </c>
      <c r="B958" s="19" t="inlineStr">
        <is>
          <t>International Movies</t>
        </is>
      </c>
      <c r="C958" s="19">
        <f>IFERROR(INDEX(tblNetflix[type],MATCH($A958,tblNetflix[show_id],0)),"")</f>
        <v/>
      </c>
      <c r="D958" s="19">
        <f>IFERROR(INDEX(tblNetflix[rating],MATCH($A958,tblNetflix[show_id],0)),"")</f>
        <v/>
      </c>
      <c r="E958" s="19">
        <f>IFERROR(INDEX(tblNetflix[year_added],MATCH($A958,tblNetflix[show_id],0)),"")</f>
        <v/>
      </c>
      <c r="F958" s="19">
        <f>IF(AND(OR(YearFilter="All",$E958=YearFilter),OR(RatingFilter="All",$D958=RatingFilter),OR(TypeFilter="All",$C958=TypeFilter)),1,0)</f>
        <v/>
      </c>
    </row>
    <row r="959" ht="15" customHeight="1" s="20">
      <c r="A959" s="19" t="inlineStr">
        <is>
          <t>s3595</t>
        </is>
      </c>
      <c r="B959" s="19" t="inlineStr">
        <is>
          <t>Music &amp; Musicals</t>
        </is>
      </c>
      <c r="C959" s="19">
        <f>IFERROR(INDEX(tblNetflix[type],MATCH($A959,tblNetflix[show_id],0)),"")</f>
        <v/>
      </c>
      <c r="D959" s="19">
        <f>IFERROR(INDEX(tblNetflix[rating],MATCH($A959,tblNetflix[show_id],0)),"")</f>
        <v/>
      </c>
      <c r="E959" s="19">
        <f>IFERROR(INDEX(tblNetflix[year_added],MATCH($A959,tblNetflix[show_id],0)),"")</f>
        <v/>
      </c>
      <c r="F959" s="19">
        <f>IF(AND(OR(YearFilter="All",$E959=YearFilter),OR(RatingFilter="All",$D959=RatingFilter),OR(TypeFilter="All",$C959=TypeFilter)),1,0)</f>
        <v/>
      </c>
    </row>
    <row r="960" ht="15" customHeight="1" s="20">
      <c r="A960" s="19" t="inlineStr">
        <is>
          <t>s3603</t>
        </is>
      </c>
      <c r="B960" s="19" t="inlineStr">
        <is>
          <t>Dramas</t>
        </is>
      </c>
      <c r="C960" s="19">
        <f>IFERROR(INDEX(tblNetflix[type],MATCH($A960,tblNetflix[show_id],0)),"")</f>
        <v/>
      </c>
      <c r="D960" s="19">
        <f>IFERROR(INDEX(tblNetflix[rating],MATCH($A960,tblNetflix[show_id],0)),"")</f>
        <v/>
      </c>
      <c r="E960" s="19">
        <f>IFERROR(INDEX(tblNetflix[year_added],MATCH($A960,tblNetflix[show_id],0)),"")</f>
        <v/>
      </c>
      <c r="F960" s="19">
        <f>IF(AND(OR(YearFilter="All",$E960=YearFilter),OR(RatingFilter="All",$D960=RatingFilter),OR(TypeFilter="All",$C960=TypeFilter)),1,0)</f>
        <v/>
      </c>
    </row>
    <row r="961" ht="15" customHeight="1" s="20">
      <c r="A961" s="19" t="inlineStr">
        <is>
          <t>s3603</t>
        </is>
      </c>
      <c r="B961" s="19" t="inlineStr">
        <is>
          <t>Independent Movies</t>
        </is>
      </c>
      <c r="C961" s="19">
        <f>IFERROR(INDEX(tblNetflix[type],MATCH($A961,tblNetflix[show_id],0)),"")</f>
        <v/>
      </c>
      <c r="D961" s="19">
        <f>IFERROR(INDEX(tblNetflix[rating],MATCH($A961,tblNetflix[show_id],0)),"")</f>
        <v/>
      </c>
      <c r="E961" s="19">
        <f>IFERROR(INDEX(tblNetflix[year_added],MATCH($A961,tblNetflix[show_id],0)),"")</f>
        <v/>
      </c>
      <c r="F961" s="19">
        <f>IF(AND(OR(YearFilter="All",$E961=YearFilter),OR(RatingFilter="All",$D961=RatingFilter),OR(TypeFilter="All",$C961=TypeFilter)),1,0)</f>
        <v/>
      </c>
    </row>
    <row r="962" ht="15" customHeight="1" s="20">
      <c r="A962" s="19" t="inlineStr">
        <is>
          <t>s3603</t>
        </is>
      </c>
      <c r="B962" s="19" t="inlineStr">
        <is>
          <t>International Movies</t>
        </is>
      </c>
      <c r="C962" s="19">
        <f>IFERROR(INDEX(tblNetflix[type],MATCH($A962,tblNetflix[show_id],0)),"")</f>
        <v/>
      </c>
      <c r="D962" s="19">
        <f>IFERROR(INDEX(tblNetflix[rating],MATCH($A962,tblNetflix[show_id],0)),"")</f>
        <v/>
      </c>
      <c r="E962" s="19">
        <f>IFERROR(INDEX(tblNetflix[year_added],MATCH($A962,tblNetflix[show_id],0)),"")</f>
        <v/>
      </c>
      <c r="F962" s="19">
        <f>IF(AND(OR(YearFilter="All",$E962=YearFilter),OR(RatingFilter="All",$D962=RatingFilter),OR(TypeFilter="All",$C962=TypeFilter)),1,0)</f>
        <v/>
      </c>
    </row>
    <row r="963" ht="15" customHeight="1" s="20">
      <c r="A963" s="19" t="inlineStr">
        <is>
          <t>s3617</t>
        </is>
      </c>
      <c r="B963" s="19" t="inlineStr">
        <is>
          <t>International Movies</t>
        </is>
      </c>
      <c r="C963" s="19">
        <f>IFERROR(INDEX(tblNetflix[type],MATCH($A963,tblNetflix[show_id],0)),"")</f>
        <v/>
      </c>
      <c r="D963" s="19">
        <f>IFERROR(INDEX(tblNetflix[rating],MATCH($A963,tblNetflix[show_id],0)),"")</f>
        <v/>
      </c>
      <c r="E963" s="19">
        <f>IFERROR(INDEX(tblNetflix[year_added],MATCH($A963,tblNetflix[show_id],0)),"")</f>
        <v/>
      </c>
      <c r="F963" s="19">
        <f>IF(AND(OR(YearFilter="All",$E963=YearFilter),OR(RatingFilter="All",$D963=RatingFilter),OR(TypeFilter="All",$C963=TypeFilter)),1,0)</f>
        <v/>
      </c>
    </row>
    <row r="964" ht="15" customHeight="1" s="20">
      <c r="A964" s="19" t="inlineStr">
        <is>
          <t>s3617</t>
        </is>
      </c>
      <c r="B964" s="19" t="inlineStr">
        <is>
          <t>Thrillers</t>
        </is>
      </c>
      <c r="C964" s="19">
        <f>IFERROR(INDEX(tblNetflix[type],MATCH($A964,tblNetflix[show_id],0)),"")</f>
        <v/>
      </c>
      <c r="D964" s="19">
        <f>IFERROR(INDEX(tblNetflix[rating],MATCH($A964,tblNetflix[show_id],0)),"")</f>
        <v/>
      </c>
      <c r="E964" s="19">
        <f>IFERROR(INDEX(tblNetflix[year_added],MATCH($A964,tblNetflix[show_id],0)),"")</f>
        <v/>
      </c>
      <c r="F964" s="19">
        <f>IF(AND(OR(YearFilter="All",$E964=YearFilter),OR(RatingFilter="All",$D964=RatingFilter),OR(TypeFilter="All",$C964=TypeFilter)),1,0)</f>
        <v/>
      </c>
    </row>
    <row r="965" ht="15" customHeight="1" s="20">
      <c r="A965" s="19" t="inlineStr">
        <is>
          <t>s3631</t>
        </is>
      </c>
      <c r="B965" s="19" t="inlineStr">
        <is>
          <t>Dramas</t>
        </is>
      </c>
      <c r="C965" s="19">
        <f>IFERROR(INDEX(tblNetflix[type],MATCH($A965,tblNetflix[show_id],0)),"")</f>
        <v/>
      </c>
      <c r="D965" s="19">
        <f>IFERROR(INDEX(tblNetflix[rating],MATCH($A965,tblNetflix[show_id],0)),"")</f>
        <v/>
      </c>
      <c r="E965" s="19">
        <f>IFERROR(INDEX(tblNetflix[year_added],MATCH($A965,tblNetflix[show_id],0)),"")</f>
        <v/>
      </c>
      <c r="F965" s="19">
        <f>IF(AND(OR(YearFilter="All",$E965=YearFilter),OR(RatingFilter="All",$D965=RatingFilter),OR(TypeFilter="All",$C965=TypeFilter)),1,0)</f>
        <v/>
      </c>
    </row>
    <row r="966" ht="15" customHeight="1" s="20">
      <c r="A966" s="19" t="inlineStr">
        <is>
          <t>s3631</t>
        </is>
      </c>
      <c r="B966" s="19" t="inlineStr">
        <is>
          <t>International Movies</t>
        </is>
      </c>
      <c r="C966" s="19">
        <f>IFERROR(INDEX(tblNetflix[type],MATCH($A966,tblNetflix[show_id],0)),"")</f>
        <v/>
      </c>
      <c r="D966" s="19">
        <f>IFERROR(INDEX(tblNetflix[rating],MATCH($A966,tblNetflix[show_id],0)),"")</f>
        <v/>
      </c>
      <c r="E966" s="19">
        <f>IFERROR(INDEX(tblNetflix[year_added],MATCH($A966,tblNetflix[show_id],0)),"")</f>
        <v/>
      </c>
      <c r="F966" s="19">
        <f>IF(AND(OR(YearFilter="All",$E966=YearFilter),OR(RatingFilter="All",$D966=RatingFilter),OR(TypeFilter="All",$C966=TypeFilter)),1,0)</f>
        <v/>
      </c>
    </row>
    <row r="967" ht="15" customHeight="1" s="20">
      <c r="A967" s="19" t="inlineStr">
        <is>
          <t>s3632</t>
        </is>
      </c>
      <c r="B967" s="19" t="inlineStr">
        <is>
          <t>Dramas</t>
        </is>
      </c>
      <c r="C967" s="19">
        <f>IFERROR(INDEX(tblNetflix[type],MATCH($A967,tblNetflix[show_id],0)),"")</f>
        <v/>
      </c>
      <c r="D967" s="19">
        <f>IFERROR(INDEX(tblNetflix[rating],MATCH($A967,tblNetflix[show_id],0)),"")</f>
        <v/>
      </c>
      <c r="E967" s="19">
        <f>IFERROR(INDEX(tblNetflix[year_added],MATCH($A967,tblNetflix[show_id],0)),"")</f>
        <v/>
      </c>
      <c r="F967" s="19">
        <f>IF(AND(OR(YearFilter="All",$E967=YearFilter),OR(RatingFilter="All",$D967=RatingFilter),OR(TypeFilter="All",$C967=TypeFilter)),1,0)</f>
        <v/>
      </c>
    </row>
    <row r="968" ht="15" customHeight="1" s="20">
      <c r="A968" s="19" t="inlineStr">
        <is>
          <t>s3632</t>
        </is>
      </c>
      <c r="B968" s="19" t="inlineStr">
        <is>
          <t>Independent Movies</t>
        </is>
      </c>
      <c r="C968" s="19">
        <f>IFERROR(INDEX(tblNetflix[type],MATCH($A968,tblNetflix[show_id],0)),"")</f>
        <v/>
      </c>
      <c r="D968" s="19">
        <f>IFERROR(INDEX(tblNetflix[rating],MATCH($A968,tblNetflix[show_id],0)),"")</f>
        <v/>
      </c>
      <c r="E968" s="19">
        <f>IFERROR(INDEX(tblNetflix[year_added],MATCH($A968,tblNetflix[show_id],0)),"")</f>
        <v/>
      </c>
      <c r="F968" s="19">
        <f>IF(AND(OR(YearFilter="All",$E968=YearFilter),OR(RatingFilter="All",$D968=RatingFilter),OR(TypeFilter="All",$C968=TypeFilter)),1,0)</f>
        <v/>
      </c>
    </row>
    <row r="969" ht="15" customHeight="1" s="20">
      <c r="A969" s="19" t="inlineStr">
        <is>
          <t>s3632</t>
        </is>
      </c>
      <c r="B969" s="19" t="inlineStr">
        <is>
          <t>International Movies</t>
        </is>
      </c>
      <c r="C969" s="19">
        <f>IFERROR(INDEX(tblNetflix[type],MATCH($A969,tblNetflix[show_id],0)),"")</f>
        <v/>
      </c>
      <c r="D969" s="19">
        <f>IFERROR(INDEX(tblNetflix[rating],MATCH($A969,tblNetflix[show_id],0)),"")</f>
        <v/>
      </c>
      <c r="E969" s="19">
        <f>IFERROR(INDEX(tblNetflix[year_added],MATCH($A969,tblNetflix[show_id],0)),"")</f>
        <v/>
      </c>
      <c r="F969" s="19">
        <f>IF(AND(OR(YearFilter="All",$E969=YearFilter),OR(RatingFilter="All",$D969=RatingFilter),OR(TypeFilter="All",$C969=TypeFilter)),1,0)</f>
        <v/>
      </c>
    </row>
    <row r="970" ht="15" customHeight="1" s="20">
      <c r="A970" s="19" t="inlineStr">
        <is>
          <t>s3656</t>
        </is>
      </c>
      <c r="B970" s="19" t="inlineStr">
        <is>
          <t>International TV Shows</t>
        </is>
      </c>
      <c r="C970" s="19">
        <f>IFERROR(INDEX(tblNetflix[type],MATCH($A970,tblNetflix[show_id],0)),"")</f>
        <v/>
      </c>
      <c r="D970" s="19">
        <f>IFERROR(INDEX(tblNetflix[rating],MATCH($A970,tblNetflix[show_id],0)),"")</f>
        <v/>
      </c>
      <c r="E970" s="19">
        <f>IFERROR(INDEX(tblNetflix[year_added],MATCH($A970,tblNetflix[show_id],0)),"")</f>
        <v/>
      </c>
      <c r="F970" s="19">
        <f>IF(AND(OR(YearFilter="All",$E970=YearFilter),OR(RatingFilter="All",$D970=RatingFilter),OR(TypeFilter="All",$C970=TypeFilter)),1,0)</f>
        <v/>
      </c>
    </row>
    <row r="971" ht="15" customHeight="1" s="20">
      <c r="A971" s="19" t="inlineStr">
        <is>
          <t>s3656</t>
        </is>
      </c>
      <c r="B971" s="19" t="inlineStr">
        <is>
          <t>TV Horror</t>
        </is>
      </c>
      <c r="C971" s="19">
        <f>IFERROR(INDEX(tblNetflix[type],MATCH($A971,tblNetflix[show_id],0)),"")</f>
        <v/>
      </c>
      <c r="D971" s="19">
        <f>IFERROR(INDEX(tblNetflix[rating],MATCH($A971,tblNetflix[show_id],0)),"")</f>
        <v/>
      </c>
      <c r="E971" s="19">
        <f>IFERROR(INDEX(tblNetflix[year_added],MATCH($A971,tblNetflix[show_id],0)),"")</f>
        <v/>
      </c>
      <c r="F971" s="19">
        <f>IF(AND(OR(YearFilter="All",$E971=YearFilter),OR(RatingFilter="All",$D971=RatingFilter),OR(TypeFilter="All",$C971=TypeFilter)),1,0)</f>
        <v/>
      </c>
    </row>
    <row r="972" ht="15" customHeight="1" s="20">
      <c r="A972" s="19" t="inlineStr">
        <is>
          <t>s3656</t>
        </is>
      </c>
      <c r="B972" s="19" t="inlineStr">
        <is>
          <t>TV Mysteries</t>
        </is>
      </c>
      <c r="C972" s="19">
        <f>IFERROR(INDEX(tblNetflix[type],MATCH($A972,tblNetflix[show_id],0)),"")</f>
        <v/>
      </c>
      <c r="D972" s="19">
        <f>IFERROR(INDEX(tblNetflix[rating],MATCH($A972,tblNetflix[show_id],0)),"")</f>
        <v/>
      </c>
      <c r="E972" s="19">
        <f>IFERROR(INDEX(tblNetflix[year_added],MATCH($A972,tblNetflix[show_id],0)),"")</f>
        <v/>
      </c>
      <c r="F972" s="19">
        <f>IF(AND(OR(YearFilter="All",$E972=YearFilter),OR(RatingFilter="All",$D972=RatingFilter),OR(TypeFilter="All",$C972=TypeFilter)),1,0)</f>
        <v/>
      </c>
    </row>
    <row r="973" ht="15" customHeight="1" s="20">
      <c r="A973" s="19" t="inlineStr">
        <is>
          <t>s3659</t>
        </is>
      </c>
      <c r="B973" s="19" t="inlineStr">
        <is>
          <t>Action &amp; Adventure</t>
        </is>
      </c>
      <c r="C973" s="19">
        <f>IFERROR(INDEX(tblNetflix[type],MATCH($A973,tblNetflix[show_id],0)),"")</f>
        <v/>
      </c>
      <c r="D973" s="19">
        <f>IFERROR(INDEX(tblNetflix[rating],MATCH($A973,tblNetflix[show_id],0)),"")</f>
        <v/>
      </c>
      <c r="E973" s="19">
        <f>IFERROR(INDEX(tblNetflix[year_added],MATCH($A973,tblNetflix[show_id],0)),"")</f>
        <v/>
      </c>
      <c r="F973" s="19">
        <f>IF(AND(OR(YearFilter="All",$E973=YearFilter),OR(RatingFilter="All",$D973=RatingFilter),OR(TypeFilter="All",$C973=TypeFilter)),1,0)</f>
        <v/>
      </c>
    </row>
    <row r="974" ht="15" customHeight="1" s="20">
      <c r="A974" s="19" t="inlineStr">
        <is>
          <t>s3659</t>
        </is>
      </c>
      <c r="B974" s="19" t="inlineStr">
        <is>
          <t>Dramas</t>
        </is>
      </c>
      <c r="C974" s="19">
        <f>IFERROR(INDEX(tblNetflix[type],MATCH($A974,tblNetflix[show_id],0)),"")</f>
        <v/>
      </c>
      <c r="D974" s="19">
        <f>IFERROR(INDEX(tblNetflix[rating],MATCH($A974,tblNetflix[show_id],0)),"")</f>
        <v/>
      </c>
      <c r="E974" s="19">
        <f>IFERROR(INDEX(tblNetflix[year_added],MATCH($A974,tblNetflix[show_id],0)),"")</f>
        <v/>
      </c>
      <c r="F974" s="19">
        <f>IF(AND(OR(YearFilter="All",$E974=YearFilter),OR(RatingFilter="All",$D974=RatingFilter),OR(TypeFilter="All",$C974=TypeFilter)),1,0)</f>
        <v/>
      </c>
    </row>
    <row r="975" ht="15" customHeight="1" s="20">
      <c r="A975" s="19" t="inlineStr">
        <is>
          <t>s3659</t>
        </is>
      </c>
      <c r="B975" s="19" t="inlineStr">
        <is>
          <t>International Movies</t>
        </is>
      </c>
      <c r="C975" s="19">
        <f>IFERROR(INDEX(tblNetflix[type],MATCH($A975,tblNetflix[show_id],0)),"")</f>
        <v/>
      </c>
      <c r="D975" s="19">
        <f>IFERROR(INDEX(tblNetflix[rating],MATCH($A975,tblNetflix[show_id],0)),"")</f>
        <v/>
      </c>
      <c r="E975" s="19">
        <f>IFERROR(INDEX(tblNetflix[year_added],MATCH($A975,tblNetflix[show_id],0)),"")</f>
        <v/>
      </c>
      <c r="F975" s="19">
        <f>IF(AND(OR(YearFilter="All",$E975=YearFilter),OR(RatingFilter="All",$D975=RatingFilter),OR(TypeFilter="All",$C975=TypeFilter)),1,0)</f>
        <v/>
      </c>
    </row>
    <row r="976" ht="15" customHeight="1" s="20">
      <c r="A976" s="19" t="inlineStr">
        <is>
          <t>s3662</t>
        </is>
      </c>
      <c r="B976" s="19" t="inlineStr">
        <is>
          <t>Dramas</t>
        </is>
      </c>
      <c r="C976" s="19">
        <f>IFERROR(INDEX(tblNetflix[type],MATCH($A976,tblNetflix[show_id],0)),"")</f>
        <v/>
      </c>
      <c r="D976" s="19">
        <f>IFERROR(INDEX(tblNetflix[rating],MATCH($A976,tblNetflix[show_id],0)),"")</f>
        <v/>
      </c>
      <c r="E976" s="19">
        <f>IFERROR(INDEX(tblNetflix[year_added],MATCH($A976,tblNetflix[show_id],0)),"")</f>
        <v/>
      </c>
      <c r="F976" s="19">
        <f>IF(AND(OR(YearFilter="All",$E976=YearFilter),OR(RatingFilter="All",$D976=RatingFilter),OR(TypeFilter="All",$C976=TypeFilter)),1,0)</f>
        <v/>
      </c>
    </row>
    <row r="977" ht="15" customHeight="1" s="20">
      <c r="A977" s="19" t="inlineStr">
        <is>
          <t>s3662</t>
        </is>
      </c>
      <c r="B977" s="19" t="inlineStr">
        <is>
          <t>International Movies</t>
        </is>
      </c>
      <c r="C977" s="19">
        <f>IFERROR(INDEX(tblNetflix[type],MATCH($A977,tblNetflix[show_id],0)),"")</f>
        <v/>
      </c>
      <c r="D977" s="19">
        <f>IFERROR(INDEX(tblNetflix[rating],MATCH($A977,tblNetflix[show_id],0)),"")</f>
        <v/>
      </c>
      <c r="E977" s="19">
        <f>IFERROR(INDEX(tblNetflix[year_added],MATCH($A977,tblNetflix[show_id],0)),"")</f>
        <v/>
      </c>
      <c r="F977" s="19">
        <f>IF(AND(OR(YearFilter="All",$E977=YearFilter),OR(RatingFilter="All",$D977=RatingFilter),OR(TypeFilter="All",$C977=TypeFilter)),1,0)</f>
        <v/>
      </c>
    </row>
    <row r="978" ht="15" customHeight="1" s="20">
      <c r="A978" s="19" t="inlineStr">
        <is>
          <t>s3700</t>
        </is>
      </c>
      <c r="B978" s="19" t="inlineStr">
        <is>
          <t>Dramas</t>
        </is>
      </c>
      <c r="C978" s="19">
        <f>IFERROR(INDEX(tblNetflix[type],MATCH($A978,tblNetflix[show_id],0)),"")</f>
        <v/>
      </c>
      <c r="D978" s="19">
        <f>IFERROR(INDEX(tblNetflix[rating],MATCH($A978,tblNetflix[show_id],0)),"")</f>
        <v/>
      </c>
      <c r="E978" s="19">
        <f>IFERROR(INDEX(tblNetflix[year_added],MATCH($A978,tblNetflix[show_id],0)),"")</f>
        <v/>
      </c>
      <c r="F978" s="19">
        <f>IF(AND(OR(YearFilter="All",$E978=YearFilter),OR(RatingFilter="All",$D978=RatingFilter),OR(TypeFilter="All",$C978=TypeFilter)),1,0)</f>
        <v/>
      </c>
    </row>
    <row r="979" ht="15" customHeight="1" s="20">
      <c r="A979" s="19" t="inlineStr">
        <is>
          <t>s3700</t>
        </is>
      </c>
      <c r="B979" s="19" t="inlineStr">
        <is>
          <t>International Movies</t>
        </is>
      </c>
      <c r="C979" s="19">
        <f>IFERROR(INDEX(tblNetflix[type],MATCH($A979,tblNetflix[show_id],0)),"")</f>
        <v/>
      </c>
      <c r="D979" s="19">
        <f>IFERROR(INDEX(tblNetflix[rating],MATCH($A979,tblNetflix[show_id],0)),"")</f>
        <v/>
      </c>
      <c r="E979" s="19">
        <f>IFERROR(INDEX(tblNetflix[year_added],MATCH($A979,tblNetflix[show_id],0)),"")</f>
        <v/>
      </c>
      <c r="F979" s="19">
        <f>IF(AND(OR(YearFilter="All",$E979=YearFilter),OR(RatingFilter="All",$D979=RatingFilter),OR(TypeFilter="All",$C979=TypeFilter)),1,0)</f>
        <v/>
      </c>
    </row>
    <row r="980" ht="15" customHeight="1" s="20">
      <c r="A980" s="19" t="inlineStr">
        <is>
          <t>s3700</t>
        </is>
      </c>
      <c r="B980" s="19" t="inlineStr">
        <is>
          <t>Thrillers</t>
        </is>
      </c>
      <c r="C980" s="19">
        <f>IFERROR(INDEX(tblNetflix[type],MATCH($A980,tblNetflix[show_id],0)),"")</f>
        <v/>
      </c>
      <c r="D980" s="19">
        <f>IFERROR(INDEX(tblNetflix[rating],MATCH($A980,tblNetflix[show_id],0)),"")</f>
        <v/>
      </c>
      <c r="E980" s="19">
        <f>IFERROR(INDEX(tblNetflix[year_added],MATCH($A980,tblNetflix[show_id],0)),"")</f>
        <v/>
      </c>
      <c r="F980" s="19">
        <f>IF(AND(OR(YearFilter="All",$E980=YearFilter),OR(RatingFilter="All",$D980=RatingFilter),OR(TypeFilter="All",$C980=TypeFilter)),1,0)</f>
        <v/>
      </c>
    </row>
    <row r="981" ht="15" customHeight="1" s="20">
      <c r="A981" s="19" t="inlineStr">
        <is>
          <t>s3702</t>
        </is>
      </c>
      <c r="B981" s="19" t="inlineStr">
        <is>
          <t>Comedies</t>
        </is>
      </c>
      <c r="C981" s="19">
        <f>IFERROR(INDEX(tblNetflix[type],MATCH($A981,tblNetflix[show_id],0)),"")</f>
        <v/>
      </c>
      <c r="D981" s="19">
        <f>IFERROR(INDEX(tblNetflix[rating],MATCH($A981,tblNetflix[show_id],0)),"")</f>
        <v/>
      </c>
      <c r="E981" s="19">
        <f>IFERROR(INDEX(tblNetflix[year_added],MATCH($A981,tblNetflix[show_id],0)),"")</f>
        <v/>
      </c>
      <c r="F981" s="19">
        <f>IF(AND(OR(YearFilter="All",$E981=YearFilter),OR(RatingFilter="All",$D981=RatingFilter),OR(TypeFilter="All",$C981=TypeFilter)),1,0)</f>
        <v/>
      </c>
    </row>
    <row r="982" ht="15" customHeight="1" s="20">
      <c r="A982" s="19" t="inlineStr">
        <is>
          <t>s3702</t>
        </is>
      </c>
      <c r="B982" s="19" t="inlineStr">
        <is>
          <t>Dramas</t>
        </is>
      </c>
      <c r="C982" s="19">
        <f>IFERROR(INDEX(tblNetflix[type],MATCH($A982,tblNetflix[show_id],0)),"")</f>
        <v/>
      </c>
      <c r="D982" s="19">
        <f>IFERROR(INDEX(tblNetflix[rating],MATCH($A982,tblNetflix[show_id],0)),"")</f>
        <v/>
      </c>
      <c r="E982" s="19">
        <f>IFERROR(INDEX(tblNetflix[year_added],MATCH($A982,tblNetflix[show_id],0)),"")</f>
        <v/>
      </c>
      <c r="F982" s="19">
        <f>IF(AND(OR(YearFilter="All",$E982=YearFilter),OR(RatingFilter="All",$D982=RatingFilter),OR(TypeFilter="All",$C982=TypeFilter)),1,0)</f>
        <v/>
      </c>
    </row>
    <row r="983" ht="15" customHeight="1" s="20">
      <c r="A983" s="19" t="inlineStr">
        <is>
          <t>s3702</t>
        </is>
      </c>
      <c r="B983" s="19" t="inlineStr">
        <is>
          <t>International Movies</t>
        </is>
      </c>
      <c r="C983" s="19">
        <f>IFERROR(INDEX(tblNetflix[type],MATCH($A983,tblNetflix[show_id],0)),"")</f>
        <v/>
      </c>
      <c r="D983" s="19">
        <f>IFERROR(INDEX(tblNetflix[rating],MATCH($A983,tblNetflix[show_id],0)),"")</f>
        <v/>
      </c>
      <c r="E983" s="19">
        <f>IFERROR(INDEX(tblNetflix[year_added],MATCH($A983,tblNetflix[show_id],0)),"")</f>
        <v/>
      </c>
      <c r="F983" s="19">
        <f>IF(AND(OR(YearFilter="All",$E983=YearFilter),OR(RatingFilter="All",$D983=RatingFilter),OR(TypeFilter="All",$C983=TypeFilter)),1,0)</f>
        <v/>
      </c>
    </row>
    <row r="984" ht="15" customHeight="1" s="20">
      <c r="A984" s="19" t="inlineStr">
        <is>
          <t>s3714</t>
        </is>
      </c>
      <c r="B984" s="19" t="inlineStr">
        <is>
          <t>International Movies</t>
        </is>
      </c>
      <c r="C984" s="19">
        <f>IFERROR(INDEX(tblNetflix[type],MATCH($A984,tblNetflix[show_id],0)),"")</f>
        <v/>
      </c>
      <c r="D984" s="19">
        <f>IFERROR(INDEX(tblNetflix[rating],MATCH($A984,tblNetflix[show_id],0)),"")</f>
        <v/>
      </c>
      <c r="E984" s="19">
        <f>IFERROR(INDEX(tblNetflix[year_added],MATCH($A984,tblNetflix[show_id],0)),"")</f>
        <v/>
      </c>
      <c r="F984" s="19">
        <f>IF(AND(OR(YearFilter="All",$E984=YearFilter),OR(RatingFilter="All",$D984=RatingFilter),OR(TypeFilter="All",$C984=TypeFilter)),1,0)</f>
        <v/>
      </c>
    </row>
    <row r="985" ht="15" customHeight="1" s="20">
      <c r="A985" s="19" t="inlineStr">
        <is>
          <t>s3714</t>
        </is>
      </c>
      <c r="B985" s="19" t="inlineStr">
        <is>
          <t>Music &amp; Musicals</t>
        </is>
      </c>
      <c r="C985" s="19">
        <f>IFERROR(INDEX(tblNetflix[type],MATCH($A985,tblNetflix[show_id],0)),"")</f>
        <v/>
      </c>
      <c r="D985" s="19">
        <f>IFERROR(INDEX(tblNetflix[rating],MATCH($A985,tblNetflix[show_id],0)),"")</f>
        <v/>
      </c>
      <c r="E985" s="19">
        <f>IFERROR(INDEX(tblNetflix[year_added],MATCH($A985,tblNetflix[show_id],0)),"")</f>
        <v/>
      </c>
      <c r="F985" s="19">
        <f>IF(AND(OR(YearFilter="All",$E985=YearFilter),OR(RatingFilter="All",$D985=RatingFilter),OR(TypeFilter="All",$C985=TypeFilter)),1,0)</f>
        <v/>
      </c>
    </row>
    <row r="986" ht="15" customHeight="1" s="20">
      <c r="A986" s="19" t="inlineStr">
        <is>
          <t>s3714</t>
        </is>
      </c>
      <c r="B986" s="19" t="inlineStr">
        <is>
          <t>Thrillers</t>
        </is>
      </c>
      <c r="C986" s="19">
        <f>IFERROR(INDEX(tblNetflix[type],MATCH($A986,tblNetflix[show_id],0)),"")</f>
        <v/>
      </c>
      <c r="D986" s="19">
        <f>IFERROR(INDEX(tblNetflix[rating],MATCH($A986,tblNetflix[show_id],0)),"")</f>
        <v/>
      </c>
      <c r="E986" s="19">
        <f>IFERROR(INDEX(tblNetflix[year_added],MATCH($A986,tblNetflix[show_id],0)),"")</f>
        <v/>
      </c>
      <c r="F986" s="19">
        <f>IF(AND(OR(YearFilter="All",$E986=YearFilter),OR(RatingFilter="All",$D986=RatingFilter),OR(TypeFilter="All",$C986=TypeFilter)),1,0)</f>
        <v/>
      </c>
    </row>
    <row r="987" ht="15" customHeight="1" s="20">
      <c r="A987" s="19" t="inlineStr">
        <is>
          <t>s3715</t>
        </is>
      </c>
      <c r="B987" s="19" t="inlineStr">
        <is>
          <t>Documentaries</t>
        </is>
      </c>
      <c r="C987" s="19">
        <f>IFERROR(INDEX(tblNetflix[type],MATCH($A987,tblNetflix[show_id],0)),"")</f>
        <v/>
      </c>
      <c r="D987" s="19">
        <f>IFERROR(INDEX(tblNetflix[rating],MATCH($A987,tblNetflix[show_id],0)),"")</f>
        <v/>
      </c>
      <c r="E987" s="19">
        <f>IFERROR(INDEX(tblNetflix[year_added],MATCH($A987,tblNetflix[show_id],0)),"")</f>
        <v/>
      </c>
      <c r="F987" s="19">
        <f>IF(AND(OR(YearFilter="All",$E987=YearFilter),OR(RatingFilter="All",$D987=RatingFilter),OR(TypeFilter="All",$C987=TypeFilter)),1,0)</f>
        <v/>
      </c>
    </row>
    <row r="988" ht="15" customHeight="1" s="20">
      <c r="A988" s="19" t="inlineStr">
        <is>
          <t>s3715</t>
        </is>
      </c>
      <c r="B988" s="19" t="inlineStr">
        <is>
          <t>International Movies</t>
        </is>
      </c>
      <c r="C988" s="19">
        <f>IFERROR(INDEX(tblNetflix[type],MATCH($A988,tblNetflix[show_id],0)),"")</f>
        <v/>
      </c>
      <c r="D988" s="19">
        <f>IFERROR(INDEX(tblNetflix[rating],MATCH($A988,tblNetflix[show_id],0)),"")</f>
        <v/>
      </c>
      <c r="E988" s="19">
        <f>IFERROR(INDEX(tblNetflix[year_added],MATCH($A988,tblNetflix[show_id],0)),"")</f>
        <v/>
      </c>
      <c r="F988" s="19">
        <f>IF(AND(OR(YearFilter="All",$E988=YearFilter),OR(RatingFilter="All",$D988=RatingFilter),OR(TypeFilter="All",$C988=TypeFilter)),1,0)</f>
        <v/>
      </c>
    </row>
    <row r="989" ht="15" customHeight="1" s="20">
      <c r="A989" s="19" t="inlineStr">
        <is>
          <t>s3730</t>
        </is>
      </c>
      <c r="B989" s="19" t="inlineStr">
        <is>
          <t>Horror Movies</t>
        </is>
      </c>
      <c r="C989" s="19">
        <f>IFERROR(INDEX(tblNetflix[type],MATCH($A989,tblNetflix[show_id],0)),"")</f>
        <v/>
      </c>
      <c r="D989" s="19">
        <f>IFERROR(INDEX(tblNetflix[rating],MATCH($A989,tblNetflix[show_id],0)),"")</f>
        <v/>
      </c>
      <c r="E989" s="19">
        <f>IFERROR(INDEX(tblNetflix[year_added],MATCH($A989,tblNetflix[show_id],0)),"")</f>
        <v/>
      </c>
      <c r="F989" s="19">
        <f>IF(AND(OR(YearFilter="All",$E989=YearFilter),OR(RatingFilter="All",$D989=RatingFilter),OR(TypeFilter="All",$C989=TypeFilter)),1,0)</f>
        <v/>
      </c>
    </row>
    <row r="990" ht="15" customHeight="1" s="20">
      <c r="A990" s="19" t="inlineStr">
        <is>
          <t>s3730</t>
        </is>
      </c>
      <c r="B990" s="19" t="inlineStr">
        <is>
          <t>Independent Movies</t>
        </is>
      </c>
      <c r="C990" s="19">
        <f>IFERROR(INDEX(tblNetflix[type],MATCH($A990,tblNetflix[show_id],0)),"")</f>
        <v/>
      </c>
      <c r="D990" s="19">
        <f>IFERROR(INDEX(tblNetflix[rating],MATCH($A990,tblNetflix[show_id],0)),"")</f>
        <v/>
      </c>
      <c r="E990" s="19">
        <f>IFERROR(INDEX(tblNetflix[year_added],MATCH($A990,tblNetflix[show_id],0)),"")</f>
        <v/>
      </c>
      <c r="F990" s="19">
        <f>IF(AND(OR(YearFilter="All",$E990=YearFilter),OR(RatingFilter="All",$D990=RatingFilter),OR(TypeFilter="All",$C990=TypeFilter)),1,0)</f>
        <v/>
      </c>
    </row>
    <row r="991" ht="15" customHeight="1" s="20">
      <c r="A991" s="19" t="inlineStr">
        <is>
          <t>s3730</t>
        </is>
      </c>
      <c r="B991" s="19" t="inlineStr">
        <is>
          <t>International Movies</t>
        </is>
      </c>
      <c r="C991" s="19">
        <f>IFERROR(INDEX(tblNetflix[type],MATCH($A991,tblNetflix[show_id],0)),"")</f>
        <v/>
      </c>
      <c r="D991" s="19">
        <f>IFERROR(INDEX(tblNetflix[rating],MATCH($A991,tblNetflix[show_id],0)),"")</f>
        <v/>
      </c>
      <c r="E991" s="19">
        <f>IFERROR(INDEX(tblNetflix[year_added],MATCH($A991,tblNetflix[show_id],0)),"")</f>
        <v/>
      </c>
      <c r="F991" s="19">
        <f>IF(AND(OR(YearFilter="All",$E991=YearFilter),OR(RatingFilter="All",$D991=RatingFilter),OR(TypeFilter="All",$C991=TypeFilter)),1,0)</f>
        <v/>
      </c>
    </row>
    <row r="992" ht="15" customHeight="1" s="20">
      <c r="A992" s="19" t="inlineStr">
        <is>
          <t>s3740</t>
        </is>
      </c>
      <c r="B992" s="19" t="inlineStr">
        <is>
          <t>Comedies</t>
        </is>
      </c>
      <c r="C992" s="19">
        <f>IFERROR(INDEX(tblNetflix[type],MATCH($A992,tblNetflix[show_id],0)),"")</f>
        <v/>
      </c>
      <c r="D992" s="19">
        <f>IFERROR(INDEX(tblNetflix[rating],MATCH($A992,tblNetflix[show_id],0)),"")</f>
        <v/>
      </c>
      <c r="E992" s="19">
        <f>IFERROR(INDEX(tblNetflix[year_added],MATCH($A992,tblNetflix[show_id],0)),"")</f>
        <v/>
      </c>
      <c r="F992" s="19">
        <f>IF(AND(OR(YearFilter="All",$E992=YearFilter),OR(RatingFilter="All",$D992=RatingFilter),OR(TypeFilter="All",$C992=TypeFilter)),1,0)</f>
        <v/>
      </c>
    </row>
    <row r="993" ht="15" customHeight="1" s="20">
      <c r="A993" s="19" t="inlineStr">
        <is>
          <t>s3740</t>
        </is>
      </c>
      <c r="B993" s="19" t="inlineStr">
        <is>
          <t>International Movies</t>
        </is>
      </c>
      <c r="C993" s="19">
        <f>IFERROR(INDEX(tblNetflix[type],MATCH($A993,tblNetflix[show_id],0)),"")</f>
        <v/>
      </c>
      <c r="D993" s="19">
        <f>IFERROR(INDEX(tblNetflix[rating],MATCH($A993,tblNetflix[show_id],0)),"")</f>
        <v/>
      </c>
      <c r="E993" s="19">
        <f>IFERROR(INDEX(tblNetflix[year_added],MATCH($A993,tblNetflix[show_id],0)),"")</f>
        <v/>
      </c>
      <c r="F993" s="19">
        <f>IF(AND(OR(YearFilter="All",$E993=YearFilter),OR(RatingFilter="All",$D993=RatingFilter),OR(TypeFilter="All",$C993=TypeFilter)),1,0)</f>
        <v/>
      </c>
    </row>
    <row r="994" ht="15" customHeight="1" s="20">
      <c r="A994" s="19" t="inlineStr">
        <is>
          <t>s3740</t>
        </is>
      </c>
      <c r="B994" s="19" t="inlineStr">
        <is>
          <t>Romantic Movies</t>
        </is>
      </c>
      <c r="C994" s="19">
        <f>IFERROR(INDEX(tblNetflix[type],MATCH($A994,tblNetflix[show_id],0)),"")</f>
        <v/>
      </c>
      <c r="D994" s="19">
        <f>IFERROR(INDEX(tblNetflix[rating],MATCH($A994,tblNetflix[show_id],0)),"")</f>
        <v/>
      </c>
      <c r="E994" s="19">
        <f>IFERROR(INDEX(tblNetflix[year_added],MATCH($A994,tblNetflix[show_id],0)),"")</f>
        <v/>
      </c>
      <c r="F994" s="19">
        <f>IF(AND(OR(YearFilter="All",$E994=YearFilter),OR(RatingFilter="All",$D994=RatingFilter),OR(TypeFilter="All",$C994=TypeFilter)),1,0)</f>
        <v/>
      </c>
    </row>
    <row r="995" ht="15" customHeight="1" s="20">
      <c r="A995" s="19" t="inlineStr">
        <is>
          <t>s3741</t>
        </is>
      </c>
      <c r="B995" s="19" t="inlineStr">
        <is>
          <t>Dramas</t>
        </is>
      </c>
      <c r="C995" s="19">
        <f>IFERROR(INDEX(tblNetflix[type],MATCH($A995,tblNetflix[show_id],0)),"")</f>
        <v/>
      </c>
      <c r="D995" s="19">
        <f>IFERROR(INDEX(tblNetflix[rating],MATCH($A995,tblNetflix[show_id],0)),"")</f>
        <v/>
      </c>
      <c r="E995" s="19">
        <f>IFERROR(INDEX(tblNetflix[year_added],MATCH($A995,tblNetflix[show_id],0)),"")</f>
        <v/>
      </c>
      <c r="F995" s="19">
        <f>IF(AND(OR(YearFilter="All",$E995=YearFilter),OR(RatingFilter="All",$D995=RatingFilter),OR(TypeFilter="All",$C995=TypeFilter)),1,0)</f>
        <v/>
      </c>
    </row>
    <row r="996" ht="15" customHeight="1" s="20">
      <c r="A996" s="19" t="inlineStr">
        <is>
          <t>s3741</t>
        </is>
      </c>
      <c r="B996" s="19" t="inlineStr">
        <is>
          <t>Independent Movies</t>
        </is>
      </c>
      <c r="C996" s="19">
        <f>IFERROR(INDEX(tblNetflix[type],MATCH($A996,tblNetflix[show_id],0)),"")</f>
        <v/>
      </c>
      <c r="D996" s="19">
        <f>IFERROR(INDEX(tblNetflix[rating],MATCH($A996,tblNetflix[show_id],0)),"")</f>
        <v/>
      </c>
      <c r="E996" s="19">
        <f>IFERROR(INDEX(tblNetflix[year_added],MATCH($A996,tblNetflix[show_id],0)),"")</f>
        <v/>
      </c>
      <c r="F996" s="19">
        <f>IF(AND(OR(YearFilter="All",$E996=YearFilter),OR(RatingFilter="All",$D996=RatingFilter),OR(TypeFilter="All",$C996=TypeFilter)),1,0)</f>
        <v/>
      </c>
    </row>
    <row r="997" ht="15" customHeight="1" s="20">
      <c r="A997" s="19" t="inlineStr">
        <is>
          <t>s3741</t>
        </is>
      </c>
      <c r="B997" s="19" t="inlineStr">
        <is>
          <t>International Movies</t>
        </is>
      </c>
      <c r="C997" s="19">
        <f>IFERROR(INDEX(tblNetflix[type],MATCH($A997,tblNetflix[show_id],0)),"")</f>
        <v/>
      </c>
      <c r="D997" s="19">
        <f>IFERROR(INDEX(tblNetflix[rating],MATCH($A997,tblNetflix[show_id],0)),"")</f>
        <v/>
      </c>
      <c r="E997" s="19">
        <f>IFERROR(INDEX(tblNetflix[year_added],MATCH($A997,tblNetflix[show_id],0)),"")</f>
        <v/>
      </c>
      <c r="F997" s="19">
        <f>IF(AND(OR(YearFilter="All",$E997=YearFilter),OR(RatingFilter="All",$D997=RatingFilter),OR(TypeFilter="All",$C997=TypeFilter)),1,0)</f>
        <v/>
      </c>
    </row>
    <row r="998" ht="15" customHeight="1" s="20">
      <c r="A998" s="19" t="inlineStr">
        <is>
          <t>s3751</t>
        </is>
      </c>
      <c r="B998" s="19" t="inlineStr">
        <is>
          <t>British TV Shows</t>
        </is>
      </c>
      <c r="C998" s="19">
        <f>IFERROR(INDEX(tblNetflix[type],MATCH($A998,tblNetflix[show_id],0)),"")</f>
        <v/>
      </c>
      <c r="D998" s="19">
        <f>IFERROR(INDEX(tblNetflix[rating],MATCH($A998,tblNetflix[show_id],0)),"")</f>
        <v/>
      </c>
      <c r="E998" s="19">
        <f>IFERROR(INDEX(tblNetflix[year_added],MATCH($A998,tblNetflix[show_id],0)),"")</f>
        <v/>
      </c>
      <c r="F998" s="19">
        <f>IF(AND(OR(YearFilter="All",$E998=YearFilter),OR(RatingFilter="All",$D998=RatingFilter),OR(TypeFilter="All",$C998=TypeFilter)),1,0)</f>
        <v/>
      </c>
    </row>
    <row r="999" ht="15" customHeight="1" s="20">
      <c r="A999" s="19" t="inlineStr">
        <is>
          <t>s3751</t>
        </is>
      </c>
      <c r="B999" s="19" t="inlineStr">
        <is>
          <t>International TV Shows</t>
        </is>
      </c>
      <c r="C999" s="19">
        <f>IFERROR(INDEX(tblNetflix[type],MATCH($A999,tblNetflix[show_id],0)),"")</f>
        <v/>
      </c>
      <c r="D999" s="19">
        <f>IFERROR(INDEX(tblNetflix[rating],MATCH($A999,tblNetflix[show_id],0)),"")</f>
        <v/>
      </c>
      <c r="E999" s="19">
        <f>IFERROR(INDEX(tblNetflix[year_added],MATCH($A999,tblNetflix[show_id],0)),"")</f>
        <v/>
      </c>
      <c r="F999" s="19">
        <f>IF(AND(OR(YearFilter="All",$E999=YearFilter),OR(RatingFilter="All",$D999=RatingFilter),OR(TypeFilter="All",$C999=TypeFilter)),1,0)</f>
        <v/>
      </c>
    </row>
    <row r="1000" ht="15" customHeight="1" s="20">
      <c r="A1000" s="19" t="inlineStr">
        <is>
          <t>s3751</t>
        </is>
      </c>
      <c r="B1000" s="19" t="inlineStr">
        <is>
          <t>TV Dramas</t>
        </is>
      </c>
      <c r="C1000" s="19">
        <f>IFERROR(INDEX(tblNetflix[type],MATCH($A1000,tblNetflix[show_id],0)),"")</f>
        <v/>
      </c>
      <c r="D1000" s="19">
        <f>IFERROR(INDEX(tblNetflix[rating],MATCH($A1000,tblNetflix[show_id],0)),"")</f>
        <v/>
      </c>
      <c r="E1000" s="19">
        <f>IFERROR(INDEX(tblNetflix[year_added],MATCH($A1000,tblNetflix[show_id],0)),"")</f>
        <v/>
      </c>
      <c r="F1000" s="19">
        <f>IF(AND(OR(YearFilter="All",$E1000=YearFilter),OR(RatingFilter="All",$D1000=RatingFilter),OR(TypeFilter="All",$C1000=TypeFilter)),1,0)</f>
        <v/>
      </c>
    </row>
    <row r="1001" ht="15" customHeight="1" s="20">
      <c r="A1001" s="19" t="inlineStr">
        <is>
          <t>s3766</t>
        </is>
      </c>
      <c r="B1001" s="19" t="inlineStr">
        <is>
          <t>Comedies</t>
        </is>
      </c>
      <c r="C1001" s="19">
        <f>IFERROR(INDEX(tblNetflix[type],MATCH($A1001,tblNetflix[show_id],0)),"")</f>
        <v/>
      </c>
      <c r="D1001" s="19">
        <f>IFERROR(INDEX(tblNetflix[rating],MATCH($A1001,tblNetflix[show_id],0)),"")</f>
        <v/>
      </c>
      <c r="E1001" s="19">
        <f>IFERROR(INDEX(tblNetflix[year_added],MATCH($A1001,tblNetflix[show_id],0)),"")</f>
        <v/>
      </c>
      <c r="F1001" s="19">
        <f>IF(AND(OR(YearFilter="All",$E1001=YearFilter),OR(RatingFilter="All",$D1001=RatingFilter),OR(TypeFilter="All",$C1001=TypeFilter)),1,0)</f>
        <v/>
      </c>
    </row>
    <row r="1002" ht="15" customHeight="1" s="20">
      <c r="A1002" s="19" t="inlineStr">
        <is>
          <t>s3766</t>
        </is>
      </c>
      <c r="B1002" s="19" t="inlineStr">
        <is>
          <t>International Movies</t>
        </is>
      </c>
      <c r="C1002" s="19">
        <f>IFERROR(INDEX(tblNetflix[type],MATCH($A1002,tblNetflix[show_id],0)),"")</f>
        <v/>
      </c>
      <c r="D1002" s="19">
        <f>IFERROR(INDEX(tblNetflix[rating],MATCH($A1002,tblNetflix[show_id],0)),"")</f>
        <v/>
      </c>
      <c r="E1002" s="19">
        <f>IFERROR(INDEX(tblNetflix[year_added],MATCH($A1002,tblNetflix[show_id],0)),"")</f>
        <v/>
      </c>
      <c r="F1002" s="19">
        <f>IF(AND(OR(YearFilter="All",$E1002=YearFilter),OR(RatingFilter="All",$D1002=RatingFilter),OR(TypeFilter="All",$C1002=TypeFilter)),1,0)</f>
        <v/>
      </c>
    </row>
    <row r="1003" ht="15" customHeight="1" s="20">
      <c r="A1003" s="19" t="inlineStr">
        <is>
          <t>s3766</t>
        </is>
      </c>
      <c r="B1003" s="19" t="inlineStr">
        <is>
          <t>Romantic Movies</t>
        </is>
      </c>
      <c r="C1003" s="19">
        <f>IFERROR(INDEX(tblNetflix[type],MATCH($A1003,tblNetflix[show_id],0)),"")</f>
        <v/>
      </c>
      <c r="D1003" s="19">
        <f>IFERROR(INDEX(tblNetflix[rating],MATCH($A1003,tblNetflix[show_id],0)),"")</f>
        <v/>
      </c>
      <c r="E1003" s="19">
        <f>IFERROR(INDEX(tblNetflix[year_added],MATCH($A1003,tblNetflix[show_id],0)),"")</f>
        <v/>
      </c>
      <c r="F1003" s="19">
        <f>IF(AND(OR(YearFilter="All",$E1003=YearFilter),OR(RatingFilter="All",$D1003=RatingFilter),OR(TypeFilter="All",$C1003=TypeFilter)),1,0)</f>
        <v/>
      </c>
    </row>
    <row r="1004" ht="15" customHeight="1" s="20">
      <c r="A1004" s="19" t="inlineStr">
        <is>
          <t>s3769</t>
        </is>
      </c>
      <c r="B1004" s="19" t="inlineStr">
        <is>
          <t>Comedies</t>
        </is>
      </c>
      <c r="C1004" s="19">
        <f>IFERROR(INDEX(tblNetflix[type],MATCH($A1004,tblNetflix[show_id],0)),"")</f>
        <v/>
      </c>
      <c r="D1004" s="19">
        <f>IFERROR(INDEX(tblNetflix[rating],MATCH($A1004,tblNetflix[show_id],0)),"")</f>
        <v/>
      </c>
      <c r="E1004" s="19">
        <f>IFERROR(INDEX(tblNetflix[year_added],MATCH($A1004,tblNetflix[show_id],0)),"")</f>
        <v/>
      </c>
      <c r="F1004" s="19">
        <f>IF(AND(OR(YearFilter="All",$E1004=YearFilter),OR(RatingFilter="All",$D1004=RatingFilter),OR(TypeFilter="All",$C1004=TypeFilter)),1,0)</f>
        <v/>
      </c>
    </row>
    <row r="1005" ht="15" customHeight="1" s="20">
      <c r="A1005" s="19" t="inlineStr">
        <is>
          <t>s3769</t>
        </is>
      </c>
      <c r="B1005" s="19" t="inlineStr">
        <is>
          <t>Horror Movies</t>
        </is>
      </c>
      <c r="C1005" s="19">
        <f>IFERROR(INDEX(tblNetflix[type],MATCH($A1005,tblNetflix[show_id],0)),"")</f>
        <v/>
      </c>
      <c r="D1005" s="19">
        <f>IFERROR(INDEX(tblNetflix[rating],MATCH($A1005,tblNetflix[show_id],0)),"")</f>
        <v/>
      </c>
      <c r="E1005" s="19">
        <f>IFERROR(INDEX(tblNetflix[year_added],MATCH($A1005,tblNetflix[show_id],0)),"")</f>
        <v/>
      </c>
      <c r="F1005" s="19">
        <f>IF(AND(OR(YearFilter="All",$E1005=YearFilter),OR(RatingFilter="All",$D1005=RatingFilter),OR(TypeFilter="All",$C1005=TypeFilter)),1,0)</f>
        <v/>
      </c>
    </row>
    <row r="1006" ht="15" customHeight="1" s="20">
      <c r="A1006" s="19" t="inlineStr">
        <is>
          <t>s3769</t>
        </is>
      </c>
      <c r="B1006" s="19" t="inlineStr">
        <is>
          <t>Independent Movies</t>
        </is>
      </c>
      <c r="C1006" s="19">
        <f>IFERROR(INDEX(tblNetflix[type],MATCH($A1006,tblNetflix[show_id],0)),"")</f>
        <v/>
      </c>
      <c r="D1006" s="19">
        <f>IFERROR(INDEX(tblNetflix[rating],MATCH($A1006,tblNetflix[show_id],0)),"")</f>
        <v/>
      </c>
      <c r="E1006" s="19">
        <f>IFERROR(INDEX(tblNetflix[year_added],MATCH($A1006,tblNetflix[show_id],0)),"")</f>
        <v/>
      </c>
      <c r="F1006" s="19">
        <f>IF(AND(OR(YearFilter="All",$E1006=YearFilter),OR(RatingFilter="All",$D1006=RatingFilter),OR(TypeFilter="All",$C1006=TypeFilter)),1,0)</f>
        <v/>
      </c>
    </row>
    <row r="1007" ht="15" customHeight="1" s="20">
      <c r="A1007" s="19" t="inlineStr">
        <is>
          <t>s3782</t>
        </is>
      </c>
      <c r="B1007" s="19" t="inlineStr">
        <is>
          <t>Dramas</t>
        </is>
      </c>
      <c r="C1007" s="19">
        <f>IFERROR(INDEX(tblNetflix[type],MATCH($A1007,tblNetflix[show_id],0)),"")</f>
        <v/>
      </c>
      <c r="D1007" s="19">
        <f>IFERROR(INDEX(tblNetflix[rating],MATCH($A1007,tblNetflix[show_id],0)),"")</f>
        <v/>
      </c>
      <c r="E1007" s="19">
        <f>IFERROR(INDEX(tblNetflix[year_added],MATCH($A1007,tblNetflix[show_id],0)),"")</f>
        <v/>
      </c>
      <c r="F1007" s="19">
        <f>IF(AND(OR(YearFilter="All",$E1007=YearFilter),OR(RatingFilter="All",$D1007=RatingFilter),OR(TypeFilter="All",$C1007=TypeFilter)),1,0)</f>
        <v/>
      </c>
    </row>
    <row r="1008" ht="15" customHeight="1" s="20">
      <c r="A1008" s="19" t="inlineStr">
        <is>
          <t>s3782</t>
        </is>
      </c>
      <c r="B1008" s="19" t="inlineStr">
        <is>
          <t>International Movies</t>
        </is>
      </c>
      <c r="C1008" s="19">
        <f>IFERROR(INDEX(tblNetflix[type],MATCH($A1008,tblNetflix[show_id],0)),"")</f>
        <v/>
      </c>
      <c r="D1008" s="19">
        <f>IFERROR(INDEX(tblNetflix[rating],MATCH($A1008,tblNetflix[show_id],0)),"")</f>
        <v/>
      </c>
      <c r="E1008" s="19">
        <f>IFERROR(INDEX(tblNetflix[year_added],MATCH($A1008,tblNetflix[show_id],0)),"")</f>
        <v/>
      </c>
      <c r="F1008" s="19">
        <f>IF(AND(OR(YearFilter="All",$E1008=YearFilter),OR(RatingFilter="All",$D1008=RatingFilter),OR(TypeFilter="All",$C1008=TypeFilter)),1,0)</f>
        <v/>
      </c>
    </row>
    <row r="1009" ht="15" customHeight="1" s="20">
      <c r="A1009" s="19" t="inlineStr">
        <is>
          <t>s3784</t>
        </is>
      </c>
      <c r="B1009" s="19" t="inlineStr">
        <is>
          <t>Dramas</t>
        </is>
      </c>
      <c r="C1009" s="19">
        <f>IFERROR(INDEX(tblNetflix[type],MATCH($A1009,tblNetflix[show_id],0)),"")</f>
        <v/>
      </c>
      <c r="D1009" s="19">
        <f>IFERROR(INDEX(tblNetflix[rating],MATCH($A1009,tblNetflix[show_id],0)),"")</f>
        <v/>
      </c>
      <c r="E1009" s="19">
        <f>IFERROR(INDEX(tblNetflix[year_added],MATCH($A1009,tblNetflix[show_id],0)),"")</f>
        <v/>
      </c>
      <c r="F1009" s="19">
        <f>IF(AND(OR(YearFilter="All",$E1009=YearFilter),OR(RatingFilter="All",$D1009=RatingFilter),OR(TypeFilter="All",$C1009=TypeFilter)),1,0)</f>
        <v/>
      </c>
    </row>
    <row r="1010" ht="15" customHeight="1" s="20">
      <c r="A1010" s="19" t="inlineStr">
        <is>
          <t>s3784</t>
        </is>
      </c>
      <c r="B1010" s="19" t="inlineStr">
        <is>
          <t>Independent Movies</t>
        </is>
      </c>
      <c r="C1010" s="19">
        <f>IFERROR(INDEX(tblNetflix[type],MATCH($A1010,tblNetflix[show_id],0)),"")</f>
        <v/>
      </c>
      <c r="D1010" s="19">
        <f>IFERROR(INDEX(tblNetflix[rating],MATCH($A1010,tblNetflix[show_id],0)),"")</f>
        <v/>
      </c>
      <c r="E1010" s="19">
        <f>IFERROR(INDEX(tblNetflix[year_added],MATCH($A1010,tblNetflix[show_id],0)),"")</f>
        <v/>
      </c>
      <c r="F1010" s="19">
        <f>IF(AND(OR(YearFilter="All",$E1010=YearFilter),OR(RatingFilter="All",$D1010=RatingFilter),OR(TypeFilter="All",$C1010=TypeFilter)),1,0)</f>
        <v/>
      </c>
    </row>
    <row r="1011" ht="15" customHeight="1" s="20">
      <c r="A1011" s="19" t="inlineStr">
        <is>
          <t>s3784</t>
        </is>
      </c>
      <c r="B1011" s="19" t="inlineStr">
        <is>
          <t>International Movies</t>
        </is>
      </c>
      <c r="C1011" s="19">
        <f>IFERROR(INDEX(tblNetflix[type],MATCH($A1011,tblNetflix[show_id],0)),"")</f>
        <v/>
      </c>
      <c r="D1011" s="19">
        <f>IFERROR(INDEX(tblNetflix[rating],MATCH($A1011,tblNetflix[show_id],0)),"")</f>
        <v/>
      </c>
      <c r="E1011" s="19">
        <f>IFERROR(INDEX(tblNetflix[year_added],MATCH($A1011,tblNetflix[show_id],0)),"")</f>
        <v/>
      </c>
      <c r="F1011" s="19">
        <f>IF(AND(OR(YearFilter="All",$E1011=YearFilter),OR(RatingFilter="All",$D1011=RatingFilter),OR(TypeFilter="All",$C1011=TypeFilter)),1,0)</f>
        <v/>
      </c>
    </row>
    <row r="1012" ht="15" customHeight="1" s="20">
      <c r="A1012" s="19" t="inlineStr">
        <is>
          <t>s3789</t>
        </is>
      </c>
      <c r="B1012" s="19" t="inlineStr">
        <is>
          <t>Comedies</t>
        </is>
      </c>
      <c r="C1012" s="19">
        <f>IFERROR(INDEX(tblNetflix[type],MATCH($A1012,tblNetflix[show_id],0)),"")</f>
        <v/>
      </c>
      <c r="D1012" s="19">
        <f>IFERROR(INDEX(tblNetflix[rating],MATCH($A1012,tblNetflix[show_id],0)),"")</f>
        <v/>
      </c>
      <c r="E1012" s="19">
        <f>IFERROR(INDEX(tblNetflix[year_added],MATCH($A1012,tblNetflix[show_id],0)),"")</f>
        <v/>
      </c>
      <c r="F1012" s="19">
        <f>IF(AND(OR(YearFilter="All",$E1012=YearFilter),OR(RatingFilter="All",$D1012=RatingFilter),OR(TypeFilter="All",$C1012=TypeFilter)),1,0)</f>
        <v/>
      </c>
    </row>
    <row r="1013" ht="15" customHeight="1" s="20">
      <c r="A1013" s="19" t="inlineStr">
        <is>
          <t>s3789</t>
        </is>
      </c>
      <c r="B1013" s="19" t="inlineStr">
        <is>
          <t>Dramas</t>
        </is>
      </c>
      <c r="C1013" s="19">
        <f>IFERROR(INDEX(tblNetflix[type],MATCH($A1013,tblNetflix[show_id],0)),"")</f>
        <v/>
      </c>
      <c r="D1013" s="19">
        <f>IFERROR(INDEX(tblNetflix[rating],MATCH($A1013,tblNetflix[show_id],0)),"")</f>
        <v/>
      </c>
      <c r="E1013" s="19">
        <f>IFERROR(INDEX(tblNetflix[year_added],MATCH($A1013,tblNetflix[show_id],0)),"")</f>
        <v/>
      </c>
      <c r="F1013" s="19">
        <f>IF(AND(OR(YearFilter="All",$E1013=YearFilter),OR(RatingFilter="All",$D1013=RatingFilter),OR(TypeFilter="All",$C1013=TypeFilter)),1,0)</f>
        <v/>
      </c>
    </row>
    <row r="1014" ht="15" customHeight="1" s="20">
      <c r="A1014" s="19" t="inlineStr">
        <is>
          <t>s3789</t>
        </is>
      </c>
      <c r="B1014" s="19" t="inlineStr">
        <is>
          <t>Independent Movies</t>
        </is>
      </c>
      <c r="C1014" s="19">
        <f>IFERROR(INDEX(tblNetflix[type],MATCH($A1014,tblNetflix[show_id],0)),"")</f>
        <v/>
      </c>
      <c r="D1014" s="19">
        <f>IFERROR(INDEX(tblNetflix[rating],MATCH($A1014,tblNetflix[show_id],0)),"")</f>
        <v/>
      </c>
      <c r="E1014" s="19">
        <f>IFERROR(INDEX(tblNetflix[year_added],MATCH($A1014,tblNetflix[show_id],0)),"")</f>
        <v/>
      </c>
      <c r="F1014" s="19">
        <f>IF(AND(OR(YearFilter="All",$E1014=YearFilter),OR(RatingFilter="All",$D1014=RatingFilter),OR(TypeFilter="All",$C1014=TypeFilter)),1,0)</f>
        <v/>
      </c>
    </row>
    <row r="1015" ht="15" customHeight="1" s="20">
      <c r="A1015" s="19" t="inlineStr">
        <is>
          <t>s3791</t>
        </is>
      </c>
      <c r="B1015" s="19" t="inlineStr">
        <is>
          <t>Dramas</t>
        </is>
      </c>
      <c r="C1015" s="19">
        <f>IFERROR(INDEX(tblNetflix[type],MATCH($A1015,tblNetflix[show_id],0)),"")</f>
        <v/>
      </c>
      <c r="D1015" s="19">
        <f>IFERROR(INDEX(tblNetflix[rating],MATCH($A1015,tblNetflix[show_id],0)),"")</f>
        <v/>
      </c>
      <c r="E1015" s="19">
        <f>IFERROR(INDEX(tblNetflix[year_added],MATCH($A1015,tblNetflix[show_id],0)),"")</f>
        <v/>
      </c>
      <c r="F1015" s="19">
        <f>IF(AND(OR(YearFilter="All",$E1015=YearFilter),OR(RatingFilter="All",$D1015=RatingFilter),OR(TypeFilter="All",$C1015=TypeFilter)),1,0)</f>
        <v/>
      </c>
    </row>
    <row r="1016" ht="15" customHeight="1" s="20">
      <c r="A1016" s="19" t="inlineStr">
        <is>
          <t>s3791</t>
        </is>
      </c>
      <c r="B1016" s="19" t="inlineStr">
        <is>
          <t>International Movies</t>
        </is>
      </c>
      <c r="C1016" s="19">
        <f>IFERROR(INDEX(tblNetflix[type],MATCH($A1016,tblNetflix[show_id],0)),"")</f>
        <v/>
      </c>
      <c r="D1016" s="19">
        <f>IFERROR(INDEX(tblNetflix[rating],MATCH($A1016,tblNetflix[show_id],0)),"")</f>
        <v/>
      </c>
      <c r="E1016" s="19">
        <f>IFERROR(INDEX(tblNetflix[year_added],MATCH($A1016,tblNetflix[show_id],0)),"")</f>
        <v/>
      </c>
      <c r="F1016" s="19">
        <f>IF(AND(OR(YearFilter="All",$E1016=YearFilter),OR(RatingFilter="All",$D1016=RatingFilter),OR(TypeFilter="All",$C1016=TypeFilter)),1,0)</f>
        <v/>
      </c>
    </row>
    <row r="1017" ht="15" customHeight="1" s="20">
      <c r="A1017" s="19" t="inlineStr">
        <is>
          <t>s3805</t>
        </is>
      </c>
      <c r="B1017" s="19" t="inlineStr">
        <is>
          <t>Action &amp; Adventure</t>
        </is>
      </c>
      <c r="C1017" s="19">
        <f>IFERROR(INDEX(tblNetflix[type],MATCH($A1017,tblNetflix[show_id],0)),"")</f>
        <v/>
      </c>
      <c r="D1017" s="19">
        <f>IFERROR(INDEX(tblNetflix[rating],MATCH($A1017,tblNetflix[show_id],0)),"")</f>
        <v/>
      </c>
      <c r="E1017" s="19">
        <f>IFERROR(INDEX(tblNetflix[year_added],MATCH($A1017,tblNetflix[show_id],0)),"")</f>
        <v/>
      </c>
      <c r="F1017" s="19">
        <f>IF(AND(OR(YearFilter="All",$E1017=YearFilter),OR(RatingFilter="All",$D1017=RatingFilter),OR(TypeFilter="All",$C1017=TypeFilter)),1,0)</f>
        <v/>
      </c>
    </row>
    <row r="1018" ht="15" customHeight="1" s="20">
      <c r="A1018" s="19" t="inlineStr">
        <is>
          <t>s3805</t>
        </is>
      </c>
      <c r="B1018" s="19" t="inlineStr">
        <is>
          <t>Comedies</t>
        </is>
      </c>
      <c r="C1018" s="19">
        <f>IFERROR(INDEX(tblNetflix[type],MATCH($A1018,tblNetflix[show_id],0)),"")</f>
        <v/>
      </c>
      <c r="D1018" s="19">
        <f>IFERROR(INDEX(tblNetflix[rating],MATCH($A1018,tblNetflix[show_id],0)),"")</f>
        <v/>
      </c>
      <c r="E1018" s="19">
        <f>IFERROR(INDEX(tblNetflix[year_added],MATCH($A1018,tblNetflix[show_id],0)),"")</f>
        <v/>
      </c>
      <c r="F1018" s="19">
        <f>IF(AND(OR(YearFilter="All",$E1018=YearFilter),OR(RatingFilter="All",$D1018=RatingFilter),OR(TypeFilter="All",$C1018=TypeFilter)),1,0)</f>
        <v/>
      </c>
    </row>
    <row r="1019" ht="15" customHeight="1" s="20">
      <c r="A1019" s="19" t="inlineStr">
        <is>
          <t>s3805</t>
        </is>
      </c>
      <c r="B1019" s="19" t="inlineStr">
        <is>
          <t>International Movies</t>
        </is>
      </c>
      <c r="C1019" s="19">
        <f>IFERROR(INDEX(tblNetflix[type],MATCH($A1019,tblNetflix[show_id],0)),"")</f>
        <v/>
      </c>
      <c r="D1019" s="19">
        <f>IFERROR(INDEX(tblNetflix[rating],MATCH($A1019,tblNetflix[show_id],0)),"")</f>
        <v/>
      </c>
      <c r="E1019" s="19">
        <f>IFERROR(INDEX(tblNetflix[year_added],MATCH($A1019,tblNetflix[show_id],0)),"")</f>
        <v/>
      </c>
      <c r="F1019" s="19">
        <f>IF(AND(OR(YearFilter="All",$E1019=YearFilter),OR(RatingFilter="All",$D1019=RatingFilter),OR(TypeFilter="All",$C1019=TypeFilter)),1,0)</f>
        <v/>
      </c>
    </row>
    <row r="1020" ht="15" customHeight="1" s="20">
      <c r="A1020" s="19" t="inlineStr">
        <is>
          <t>s3820</t>
        </is>
      </c>
      <c r="B1020" s="19" t="inlineStr">
        <is>
          <t>Dramas</t>
        </is>
      </c>
      <c r="C1020" s="19">
        <f>IFERROR(INDEX(tblNetflix[type],MATCH($A1020,tblNetflix[show_id],0)),"")</f>
        <v/>
      </c>
      <c r="D1020" s="19">
        <f>IFERROR(INDEX(tblNetflix[rating],MATCH($A1020,tblNetflix[show_id],0)),"")</f>
        <v/>
      </c>
      <c r="E1020" s="19">
        <f>IFERROR(INDEX(tblNetflix[year_added],MATCH($A1020,tblNetflix[show_id],0)),"")</f>
        <v/>
      </c>
      <c r="F1020" s="19">
        <f>IF(AND(OR(YearFilter="All",$E1020=YearFilter),OR(RatingFilter="All",$D1020=RatingFilter),OR(TypeFilter="All",$C1020=TypeFilter)),1,0)</f>
        <v/>
      </c>
    </row>
    <row r="1021" ht="15" customHeight="1" s="20">
      <c r="A1021" s="19" t="inlineStr">
        <is>
          <t>s3820</t>
        </is>
      </c>
      <c r="B1021" s="19" t="inlineStr">
        <is>
          <t>Independent Movies</t>
        </is>
      </c>
      <c r="C1021" s="19">
        <f>IFERROR(INDEX(tblNetflix[type],MATCH($A1021,tblNetflix[show_id],0)),"")</f>
        <v/>
      </c>
      <c r="D1021" s="19">
        <f>IFERROR(INDEX(tblNetflix[rating],MATCH($A1021,tblNetflix[show_id],0)),"")</f>
        <v/>
      </c>
      <c r="E1021" s="19">
        <f>IFERROR(INDEX(tblNetflix[year_added],MATCH($A1021,tblNetflix[show_id],0)),"")</f>
        <v/>
      </c>
      <c r="F1021" s="19">
        <f>IF(AND(OR(YearFilter="All",$E1021=YearFilter),OR(RatingFilter="All",$D1021=RatingFilter),OR(TypeFilter="All",$C1021=TypeFilter)),1,0)</f>
        <v/>
      </c>
    </row>
    <row r="1022" ht="15" customHeight="1" s="20">
      <c r="A1022" s="19" t="inlineStr">
        <is>
          <t>s3820</t>
        </is>
      </c>
      <c r="B1022" s="19" t="inlineStr">
        <is>
          <t>International Movies</t>
        </is>
      </c>
      <c r="C1022" s="19">
        <f>IFERROR(INDEX(tblNetflix[type],MATCH($A1022,tblNetflix[show_id],0)),"")</f>
        <v/>
      </c>
      <c r="D1022" s="19">
        <f>IFERROR(INDEX(tblNetflix[rating],MATCH($A1022,tblNetflix[show_id],0)),"")</f>
        <v/>
      </c>
      <c r="E1022" s="19">
        <f>IFERROR(INDEX(tblNetflix[year_added],MATCH($A1022,tblNetflix[show_id],0)),"")</f>
        <v/>
      </c>
      <c r="F1022" s="19">
        <f>IF(AND(OR(YearFilter="All",$E1022=YearFilter),OR(RatingFilter="All",$D1022=RatingFilter),OR(TypeFilter="All",$C1022=TypeFilter)),1,0)</f>
        <v/>
      </c>
    </row>
    <row r="1023" ht="15" customHeight="1" s="20">
      <c r="A1023" s="19" t="inlineStr">
        <is>
          <t>s3823</t>
        </is>
      </c>
      <c r="B1023" s="19" t="inlineStr">
        <is>
          <t>Dramas</t>
        </is>
      </c>
      <c r="C1023" s="19">
        <f>IFERROR(INDEX(tblNetflix[type],MATCH($A1023,tblNetflix[show_id],0)),"")</f>
        <v/>
      </c>
      <c r="D1023" s="19">
        <f>IFERROR(INDEX(tblNetflix[rating],MATCH($A1023,tblNetflix[show_id],0)),"")</f>
        <v/>
      </c>
      <c r="E1023" s="19">
        <f>IFERROR(INDEX(tblNetflix[year_added],MATCH($A1023,tblNetflix[show_id],0)),"")</f>
        <v/>
      </c>
      <c r="F1023" s="19">
        <f>IF(AND(OR(YearFilter="All",$E1023=YearFilter),OR(RatingFilter="All",$D1023=RatingFilter),OR(TypeFilter="All",$C1023=TypeFilter)),1,0)</f>
        <v/>
      </c>
    </row>
    <row r="1024" ht="15" customHeight="1" s="20">
      <c r="A1024" s="19" t="inlineStr">
        <is>
          <t>s3823</t>
        </is>
      </c>
      <c r="B1024" s="19" t="inlineStr">
        <is>
          <t>Independent Movies</t>
        </is>
      </c>
      <c r="C1024" s="19">
        <f>IFERROR(INDEX(tblNetflix[type],MATCH($A1024,tblNetflix[show_id],0)),"")</f>
        <v/>
      </c>
      <c r="D1024" s="19">
        <f>IFERROR(INDEX(tblNetflix[rating],MATCH($A1024,tblNetflix[show_id],0)),"")</f>
        <v/>
      </c>
      <c r="E1024" s="19">
        <f>IFERROR(INDEX(tblNetflix[year_added],MATCH($A1024,tblNetflix[show_id],0)),"")</f>
        <v/>
      </c>
      <c r="F1024" s="19">
        <f>IF(AND(OR(YearFilter="All",$E1024=YearFilter),OR(RatingFilter="All",$D1024=RatingFilter),OR(TypeFilter="All",$C1024=TypeFilter)),1,0)</f>
        <v/>
      </c>
    </row>
    <row r="1025" ht="15" customHeight="1" s="20">
      <c r="A1025" s="19" t="inlineStr">
        <is>
          <t>s3823</t>
        </is>
      </c>
      <c r="B1025" s="19" t="inlineStr">
        <is>
          <t>International Movies</t>
        </is>
      </c>
      <c r="C1025" s="19">
        <f>IFERROR(INDEX(tblNetflix[type],MATCH($A1025,tblNetflix[show_id],0)),"")</f>
        <v/>
      </c>
      <c r="D1025" s="19">
        <f>IFERROR(INDEX(tblNetflix[rating],MATCH($A1025,tblNetflix[show_id],0)),"")</f>
        <v/>
      </c>
      <c r="E1025" s="19">
        <f>IFERROR(INDEX(tblNetflix[year_added],MATCH($A1025,tblNetflix[show_id],0)),"")</f>
        <v/>
      </c>
      <c r="F1025" s="19">
        <f>IF(AND(OR(YearFilter="All",$E1025=YearFilter),OR(RatingFilter="All",$D1025=RatingFilter),OR(TypeFilter="All",$C1025=TypeFilter)),1,0)</f>
        <v/>
      </c>
    </row>
    <row r="1026" ht="15" customHeight="1" s="20">
      <c r="A1026" s="19" t="inlineStr">
        <is>
          <t>s3869</t>
        </is>
      </c>
      <c r="B1026" s="19" t="inlineStr">
        <is>
          <t>Comedies</t>
        </is>
      </c>
      <c r="C1026" s="19">
        <f>IFERROR(INDEX(tblNetflix[type],MATCH($A1026,tblNetflix[show_id],0)),"")</f>
        <v/>
      </c>
      <c r="D1026" s="19">
        <f>IFERROR(INDEX(tblNetflix[rating],MATCH($A1026,tblNetflix[show_id],0)),"")</f>
        <v/>
      </c>
      <c r="E1026" s="19">
        <f>IFERROR(INDEX(tblNetflix[year_added],MATCH($A1026,tblNetflix[show_id],0)),"")</f>
        <v/>
      </c>
      <c r="F1026" s="19">
        <f>IF(AND(OR(YearFilter="All",$E1026=YearFilter),OR(RatingFilter="All",$D1026=RatingFilter),OR(TypeFilter="All",$C1026=TypeFilter)),1,0)</f>
        <v/>
      </c>
    </row>
    <row r="1027" ht="15" customHeight="1" s="20">
      <c r="A1027" s="19" t="inlineStr">
        <is>
          <t>s3869</t>
        </is>
      </c>
      <c r="B1027" s="19" t="inlineStr">
        <is>
          <t>Dramas</t>
        </is>
      </c>
      <c r="C1027" s="19">
        <f>IFERROR(INDEX(tblNetflix[type],MATCH($A1027,tblNetflix[show_id],0)),"")</f>
        <v/>
      </c>
      <c r="D1027" s="19">
        <f>IFERROR(INDEX(tblNetflix[rating],MATCH($A1027,tblNetflix[show_id],0)),"")</f>
        <v/>
      </c>
      <c r="E1027" s="19">
        <f>IFERROR(INDEX(tblNetflix[year_added],MATCH($A1027,tblNetflix[show_id],0)),"")</f>
        <v/>
      </c>
      <c r="F1027" s="19">
        <f>IF(AND(OR(YearFilter="All",$E1027=YearFilter),OR(RatingFilter="All",$D1027=RatingFilter),OR(TypeFilter="All",$C1027=TypeFilter)),1,0)</f>
        <v/>
      </c>
    </row>
    <row r="1028" ht="15" customHeight="1" s="20">
      <c r="A1028" s="19" t="inlineStr">
        <is>
          <t>s3869</t>
        </is>
      </c>
      <c r="B1028" s="19" t="inlineStr">
        <is>
          <t>International Movies</t>
        </is>
      </c>
      <c r="C1028" s="19">
        <f>IFERROR(INDEX(tblNetflix[type],MATCH($A1028,tblNetflix[show_id],0)),"")</f>
        <v/>
      </c>
      <c r="D1028" s="19">
        <f>IFERROR(INDEX(tblNetflix[rating],MATCH($A1028,tblNetflix[show_id],0)),"")</f>
        <v/>
      </c>
      <c r="E1028" s="19">
        <f>IFERROR(INDEX(tblNetflix[year_added],MATCH($A1028,tblNetflix[show_id],0)),"")</f>
        <v/>
      </c>
      <c r="F1028" s="19">
        <f>IF(AND(OR(YearFilter="All",$E1028=YearFilter),OR(RatingFilter="All",$D1028=RatingFilter),OR(TypeFilter="All",$C1028=TypeFilter)),1,0)</f>
        <v/>
      </c>
    </row>
    <row r="1029" ht="15" customHeight="1" s="20">
      <c r="A1029" s="19" t="inlineStr">
        <is>
          <t>s3875</t>
        </is>
      </c>
      <c r="B1029" s="19" t="inlineStr">
        <is>
          <t>Comedies</t>
        </is>
      </c>
      <c r="C1029" s="19">
        <f>IFERROR(INDEX(tblNetflix[type],MATCH($A1029,tblNetflix[show_id],0)),"")</f>
        <v/>
      </c>
      <c r="D1029" s="19">
        <f>IFERROR(INDEX(tblNetflix[rating],MATCH($A1029,tblNetflix[show_id],0)),"")</f>
        <v/>
      </c>
      <c r="E1029" s="19">
        <f>IFERROR(INDEX(tblNetflix[year_added],MATCH($A1029,tblNetflix[show_id],0)),"")</f>
        <v/>
      </c>
      <c r="F1029" s="19">
        <f>IF(AND(OR(YearFilter="All",$E1029=YearFilter),OR(RatingFilter="All",$D1029=RatingFilter),OR(TypeFilter="All",$C1029=TypeFilter)),1,0)</f>
        <v/>
      </c>
    </row>
    <row r="1030" ht="15" customHeight="1" s="20">
      <c r="A1030" s="19" t="inlineStr">
        <is>
          <t>s3875</t>
        </is>
      </c>
      <c r="B1030" s="19" t="inlineStr">
        <is>
          <t>Dramas</t>
        </is>
      </c>
      <c r="C1030" s="19">
        <f>IFERROR(INDEX(tblNetflix[type],MATCH($A1030,tblNetflix[show_id],0)),"")</f>
        <v/>
      </c>
      <c r="D1030" s="19">
        <f>IFERROR(INDEX(tblNetflix[rating],MATCH($A1030,tblNetflix[show_id],0)),"")</f>
        <v/>
      </c>
      <c r="E1030" s="19">
        <f>IFERROR(INDEX(tblNetflix[year_added],MATCH($A1030,tblNetflix[show_id],0)),"")</f>
        <v/>
      </c>
      <c r="F1030" s="19">
        <f>IF(AND(OR(YearFilter="All",$E1030=YearFilter),OR(RatingFilter="All",$D1030=RatingFilter),OR(TypeFilter="All",$C1030=TypeFilter)),1,0)</f>
        <v/>
      </c>
    </row>
    <row r="1031" ht="15" customHeight="1" s="20">
      <c r="A1031" s="19" t="inlineStr">
        <is>
          <t>s3875</t>
        </is>
      </c>
      <c r="B1031" s="19" t="inlineStr">
        <is>
          <t>International Movies</t>
        </is>
      </c>
      <c r="C1031" s="19">
        <f>IFERROR(INDEX(tblNetflix[type],MATCH($A1031,tblNetflix[show_id],0)),"")</f>
        <v/>
      </c>
      <c r="D1031" s="19">
        <f>IFERROR(INDEX(tblNetflix[rating],MATCH($A1031,tblNetflix[show_id],0)),"")</f>
        <v/>
      </c>
      <c r="E1031" s="19">
        <f>IFERROR(INDEX(tblNetflix[year_added],MATCH($A1031,tblNetflix[show_id],0)),"")</f>
        <v/>
      </c>
      <c r="F1031" s="19">
        <f>IF(AND(OR(YearFilter="All",$E1031=YearFilter),OR(RatingFilter="All",$D1031=RatingFilter),OR(TypeFilter="All",$C1031=TypeFilter)),1,0)</f>
        <v/>
      </c>
    </row>
    <row r="1032" ht="15" customHeight="1" s="20">
      <c r="A1032" s="19" t="inlineStr">
        <is>
          <t>s3886</t>
        </is>
      </c>
      <c r="B1032" s="19" t="inlineStr">
        <is>
          <t>Dramas</t>
        </is>
      </c>
      <c r="C1032" s="19">
        <f>IFERROR(INDEX(tblNetflix[type],MATCH($A1032,tblNetflix[show_id],0)),"")</f>
        <v/>
      </c>
      <c r="D1032" s="19">
        <f>IFERROR(INDEX(tblNetflix[rating],MATCH($A1032,tblNetflix[show_id],0)),"")</f>
        <v/>
      </c>
      <c r="E1032" s="19">
        <f>IFERROR(INDEX(tblNetflix[year_added],MATCH($A1032,tblNetflix[show_id],0)),"")</f>
        <v/>
      </c>
      <c r="F1032" s="19">
        <f>IF(AND(OR(YearFilter="All",$E1032=YearFilter),OR(RatingFilter="All",$D1032=RatingFilter),OR(TypeFilter="All",$C1032=TypeFilter)),1,0)</f>
        <v/>
      </c>
    </row>
    <row r="1033" ht="15" customHeight="1" s="20">
      <c r="A1033" s="19" t="inlineStr">
        <is>
          <t>s3886</t>
        </is>
      </c>
      <c r="B1033" s="19" t="inlineStr">
        <is>
          <t>Independent Movies</t>
        </is>
      </c>
      <c r="C1033" s="19">
        <f>IFERROR(INDEX(tblNetflix[type],MATCH($A1033,tblNetflix[show_id],0)),"")</f>
        <v/>
      </c>
      <c r="D1033" s="19">
        <f>IFERROR(INDEX(tblNetflix[rating],MATCH($A1033,tblNetflix[show_id],0)),"")</f>
        <v/>
      </c>
      <c r="E1033" s="19">
        <f>IFERROR(INDEX(tblNetflix[year_added],MATCH($A1033,tblNetflix[show_id],0)),"")</f>
        <v/>
      </c>
      <c r="F1033" s="19">
        <f>IF(AND(OR(YearFilter="All",$E1033=YearFilter),OR(RatingFilter="All",$D1033=RatingFilter),OR(TypeFilter="All",$C1033=TypeFilter)),1,0)</f>
        <v/>
      </c>
    </row>
    <row r="1034" ht="15" customHeight="1" s="20">
      <c r="A1034" s="19" t="inlineStr">
        <is>
          <t>s3886</t>
        </is>
      </c>
      <c r="B1034" s="19" t="inlineStr">
        <is>
          <t>International Movies</t>
        </is>
      </c>
      <c r="C1034" s="19">
        <f>IFERROR(INDEX(tblNetflix[type],MATCH($A1034,tblNetflix[show_id],0)),"")</f>
        <v/>
      </c>
      <c r="D1034" s="19">
        <f>IFERROR(INDEX(tblNetflix[rating],MATCH($A1034,tblNetflix[show_id],0)),"")</f>
        <v/>
      </c>
      <c r="E1034" s="19">
        <f>IFERROR(INDEX(tblNetflix[year_added],MATCH($A1034,tblNetflix[show_id],0)),"")</f>
        <v/>
      </c>
      <c r="F1034" s="19">
        <f>IF(AND(OR(YearFilter="All",$E1034=YearFilter),OR(RatingFilter="All",$D1034=RatingFilter),OR(TypeFilter="All",$C1034=TypeFilter)),1,0)</f>
        <v/>
      </c>
    </row>
    <row r="1035" ht="15" customHeight="1" s="20">
      <c r="A1035" s="19" t="inlineStr">
        <is>
          <t>s3891</t>
        </is>
      </c>
      <c r="B1035" s="19" t="inlineStr">
        <is>
          <t>Comedies</t>
        </is>
      </c>
      <c r="C1035" s="19">
        <f>IFERROR(INDEX(tblNetflix[type],MATCH($A1035,tblNetflix[show_id],0)),"")</f>
        <v/>
      </c>
      <c r="D1035" s="19">
        <f>IFERROR(INDEX(tblNetflix[rating],MATCH($A1035,tblNetflix[show_id],0)),"")</f>
        <v/>
      </c>
      <c r="E1035" s="19">
        <f>IFERROR(INDEX(tblNetflix[year_added],MATCH($A1035,tblNetflix[show_id],0)),"")</f>
        <v/>
      </c>
      <c r="F1035" s="19">
        <f>IF(AND(OR(YearFilter="All",$E1035=YearFilter),OR(RatingFilter="All",$D1035=RatingFilter),OR(TypeFilter="All",$C1035=TypeFilter)),1,0)</f>
        <v/>
      </c>
    </row>
    <row r="1036" ht="15" customHeight="1" s="20">
      <c r="A1036" s="19" t="inlineStr">
        <is>
          <t>s3891</t>
        </is>
      </c>
      <c r="B1036" s="19" t="inlineStr">
        <is>
          <t>Dramas</t>
        </is>
      </c>
      <c r="C1036" s="19">
        <f>IFERROR(INDEX(tblNetflix[type],MATCH($A1036,tblNetflix[show_id],0)),"")</f>
        <v/>
      </c>
      <c r="D1036" s="19">
        <f>IFERROR(INDEX(tblNetflix[rating],MATCH($A1036,tblNetflix[show_id],0)),"")</f>
        <v/>
      </c>
      <c r="E1036" s="19">
        <f>IFERROR(INDEX(tblNetflix[year_added],MATCH($A1036,tblNetflix[show_id],0)),"")</f>
        <v/>
      </c>
      <c r="F1036" s="19">
        <f>IF(AND(OR(YearFilter="All",$E1036=YearFilter),OR(RatingFilter="All",$D1036=RatingFilter),OR(TypeFilter="All",$C1036=TypeFilter)),1,0)</f>
        <v/>
      </c>
    </row>
    <row r="1037" ht="15" customHeight="1" s="20">
      <c r="A1037" s="19" t="inlineStr">
        <is>
          <t>s3891</t>
        </is>
      </c>
      <c r="B1037" s="19" t="inlineStr">
        <is>
          <t>International Movies</t>
        </is>
      </c>
      <c r="C1037" s="19">
        <f>IFERROR(INDEX(tblNetflix[type],MATCH($A1037,tblNetflix[show_id],0)),"")</f>
        <v/>
      </c>
      <c r="D1037" s="19">
        <f>IFERROR(INDEX(tblNetflix[rating],MATCH($A1037,tblNetflix[show_id],0)),"")</f>
        <v/>
      </c>
      <c r="E1037" s="19">
        <f>IFERROR(INDEX(tblNetflix[year_added],MATCH($A1037,tblNetflix[show_id],0)),"")</f>
        <v/>
      </c>
      <c r="F1037" s="19">
        <f>IF(AND(OR(YearFilter="All",$E1037=YearFilter),OR(RatingFilter="All",$D1037=RatingFilter),OR(TypeFilter="All",$C1037=TypeFilter)),1,0)</f>
        <v/>
      </c>
    </row>
    <row r="1038" ht="15" customHeight="1" s="20">
      <c r="A1038" s="19" t="inlineStr">
        <is>
          <t>s3900</t>
        </is>
      </c>
      <c r="B1038" s="19" t="inlineStr">
        <is>
          <t>Dramas</t>
        </is>
      </c>
      <c r="C1038" s="19">
        <f>IFERROR(INDEX(tblNetflix[type],MATCH($A1038,tblNetflix[show_id],0)),"")</f>
        <v/>
      </c>
      <c r="D1038" s="19">
        <f>IFERROR(INDEX(tblNetflix[rating],MATCH($A1038,tblNetflix[show_id],0)),"")</f>
        <v/>
      </c>
      <c r="E1038" s="19">
        <f>IFERROR(INDEX(tblNetflix[year_added],MATCH($A1038,tblNetflix[show_id],0)),"")</f>
        <v/>
      </c>
      <c r="F1038" s="19">
        <f>IF(AND(OR(YearFilter="All",$E1038=YearFilter),OR(RatingFilter="All",$D1038=RatingFilter),OR(TypeFilter="All",$C1038=TypeFilter)),1,0)</f>
        <v/>
      </c>
    </row>
    <row r="1039" ht="15" customHeight="1" s="20">
      <c r="A1039" s="19" t="inlineStr">
        <is>
          <t>s3900</t>
        </is>
      </c>
      <c r="B1039" s="19" t="inlineStr">
        <is>
          <t>Independent Movies</t>
        </is>
      </c>
      <c r="C1039" s="19">
        <f>IFERROR(INDEX(tblNetflix[type],MATCH($A1039,tblNetflix[show_id],0)),"")</f>
        <v/>
      </c>
      <c r="D1039" s="19">
        <f>IFERROR(INDEX(tblNetflix[rating],MATCH($A1039,tblNetflix[show_id],0)),"")</f>
        <v/>
      </c>
      <c r="E1039" s="19">
        <f>IFERROR(INDEX(tblNetflix[year_added],MATCH($A1039,tblNetflix[show_id],0)),"")</f>
        <v/>
      </c>
      <c r="F1039" s="19">
        <f>IF(AND(OR(YearFilter="All",$E1039=YearFilter),OR(RatingFilter="All",$D1039=RatingFilter),OR(TypeFilter="All",$C1039=TypeFilter)),1,0)</f>
        <v/>
      </c>
    </row>
    <row r="1040" ht="15" customHeight="1" s="20">
      <c r="A1040" s="19" t="inlineStr">
        <is>
          <t>s3900</t>
        </is>
      </c>
      <c r="B1040" s="19" t="inlineStr">
        <is>
          <t>International Movies</t>
        </is>
      </c>
      <c r="C1040" s="19">
        <f>IFERROR(INDEX(tblNetflix[type],MATCH($A1040,tblNetflix[show_id],0)),"")</f>
        <v/>
      </c>
      <c r="D1040" s="19">
        <f>IFERROR(INDEX(tblNetflix[rating],MATCH($A1040,tblNetflix[show_id],0)),"")</f>
        <v/>
      </c>
      <c r="E1040" s="19">
        <f>IFERROR(INDEX(tblNetflix[year_added],MATCH($A1040,tblNetflix[show_id],0)),"")</f>
        <v/>
      </c>
      <c r="F1040" s="19">
        <f>IF(AND(OR(YearFilter="All",$E1040=YearFilter),OR(RatingFilter="All",$D1040=RatingFilter),OR(TypeFilter="All",$C1040=TypeFilter)),1,0)</f>
        <v/>
      </c>
    </row>
    <row r="1041" ht="15" customHeight="1" s="20">
      <c r="A1041" s="19" t="inlineStr">
        <is>
          <t>s3911</t>
        </is>
      </c>
      <c r="B1041" s="19" t="inlineStr">
        <is>
          <t>Comedies</t>
        </is>
      </c>
      <c r="C1041" s="19">
        <f>IFERROR(INDEX(tblNetflix[type],MATCH($A1041,tblNetflix[show_id],0)),"")</f>
        <v/>
      </c>
      <c r="D1041" s="19">
        <f>IFERROR(INDEX(tblNetflix[rating],MATCH($A1041,tblNetflix[show_id],0)),"")</f>
        <v/>
      </c>
      <c r="E1041" s="19">
        <f>IFERROR(INDEX(tblNetflix[year_added],MATCH($A1041,tblNetflix[show_id],0)),"")</f>
        <v/>
      </c>
      <c r="F1041" s="19">
        <f>IF(AND(OR(YearFilter="All",$E1041=YearFilter),OR(RatingFilter="All",$D1041=RatingFilter),OR(TypeFilter="All",$C1041=TypeFilter)),1,0)</f>
        <v/>
      </c>
    </row>
    <row r="1042" ht="15" customHeight="1" s="20">
      <c r="A1042" s="19" t="inlineStr">
        <is>
          <t>s3911</t>
        </is>
      </c>
      <c r="B1042" s="19" t="inlineStr">
        <is>
          <t>Dramas</t>
        </is>
      </c>
      <c r="C1042" s="19">
        <f>IFERROR(INDEX(tblNetflix[type],MATCH($A1042,tblNetflix[show_id],0)),"")</f>
        <v/>
      </c>
      <c r="D1042" s="19">
        <f>IFERROR(INDEX(tblNetflix[rating],MATCH($A1042,tblNetflix[show_id],0)),"")</f>
        <v/>
      </c>
      <c r="E1042" s="19">
        <f>IFERROR(INDEX(tblNetflix[year_added],MATCH($A1042,tblNetflix[show_id],0)),"")</f>
        <v/>
      </c>
      <c r="F1042" s="19">
        <f>IF(AND(OR(YearFilter="All",$E1042=YearFilter),OR(RatingFilter="All",$D1042=RatingFilter),OR(TypeFilter="All",$C1042=TypeFilter)),1,0)</f>
        <v/>
      </c>
    </row>
    <row r="1043" ht="15" customHeight="1" s="20">
      <c r="A1043" s="19" t="inlineStr">
        <is>
          <t>s3911</t>
        </is>
      </c>
      <c r="B1043" s="19" t="inlineStr">
        <is>
          <t>International Movies</t>
        </is>
      </c>
      <c r="C1043" s="19">
        <f>IFERROR(INDEX(tblNetflix[type],MATCH($A1043,tblNetflix[show_id],0)),"")</f>
        <v/>
      </c>
      <c r="D1043" s="19">
        <f>IFERROR(INDEX(tblNetflix[rating],MATCH($A1043,tblNetflix[show_id],0)),"")</f>
        <v/>
      </c>
      <c r="E1043" s="19">
        <f>IFERROR(INDEX(tblNetflix[year_added],MATCH($A1043,tblNetflix[show_id],0)),"")</f>
        <v/>
      </c>
      <c r="F1043" s="19">
        <f>IF(AND(OR(YearFilter="All",$E1043=YearFilter),OR(RatingFilter="All",$D1043=RatingFilter),OR(TypeFilter="All",$C1043=TypeFilter)),1,0)</f>
        <v/>
      </c>
    </row>
    <row r="1044" ht="15" customHeight="1" s="20">
      <c r="A1044" s="19" t="inlineStr">
        <is>
          <t>s3912</t>
        </is>
      </c>
      <c r="B1044" s="19" t="inlineStr">
        <is>
          <t>International Movies</t>
        </is>
      </c>
      <c r="C1044" s="19">
        <f>IFERROR(INDEX(tblNetflix[type],MATCH($A1044,tblNetflix[show_id],0)),"")</f>
        <v/>
      </c>
      <c r="D1044" s="19">
        <f>IFERROR(INDEX(tblNetflix[rating],MATCH($A1044,tblNetflix[show_id],0)),"")</f>
        <v/>
      </c>
      <c r="E1044" s="19">
        <f>IFERROR(INDEX(tblNetflix[year_added],MATCH($A1044,tblNetflix[show_id],0)),"")</f>
        <v/>
      </c>
      <c r="F1044" s="19">
        <f>IF(AND(OR(YearFilter="All",$E1044=YearFilter),OR(RatingFilter="All",$D1044=RatingFilter),OR(TypeFilter="All",$C1044=TypeFilter)),1,0)</f>
        <v/>
      </c>
    </row>
    <row r="1045" ht="15" customHeight="1" s="20">
      <c r="A1045" s="19" t="inlineStr">
        <is>
          <t>s3912</t>
        </is>
      </c>
      <c r="B1045" s="19" t="inlineStr">
        <is>
          <t>Music &amp; Musicals</t>
        </is>
      </c>
      <c r="C1045" s="19">
        <f>IFERROR(INDEX(tblNetflix[type],MATCH($A1045,tblNetflix[show_id],0)),"")</f>
        <v/>
      </c>
      <c r="D1045" s="19">
        <f>IFERROR(INDEX(tblNetflix[rating],MATCH($A1045,tblNetflix[show_id],0)),"")</f>
        <v/>
      </c>
      <c r="E1045" s="19">
        <f>IFERROR(INDEX(tblNetflix[year_added],MATCH($A1045,tblNetflix[show_id],0)),"")</f>
        <v/>
      </c>
      <c r="F1045" s="19">
        <f>IF(AND(OR(YearFilter="All",$E1045=YearFilter),OR(RatingFilter="All",$D1045=RatingFilter),OR(TypeFilter="All",$C1045=TypeFilter)),1,0)</f>
        <v/>
      </c>
    </row>
    <row r="1046" ht="15" customHeight="1" s="20">
      <c r="A1046" s="19" t="inlineStr">
        <is>
          <t>s3912</t>
        </is>
      </c>
      <c r="B1046" s="19" t="inlineStr">
        <is>
          <t>Thrillers</t>
        </is>
      </c>
      <c r="C1046" s="19">
        <f>IFERROR(INDEX(tblNetflix[type],MATCH($A1046,tblNetflix[show_id],0)),"")</f>
        <v/>
      </c>
      <c r="D1046" s="19">
        <f>IFERROR(INDEX(tblNetflix[rating],MATCH($A1046,tblNetflix[show_id],0)),"")</f>
        <v/>
      </c>
      <c r="E1046" s="19">
        <f>IFERROR(INDEX(tblNetflix[year_added],MATCH($A1046,tblNetflix[show_id],0)),"")</f>
        <v/>
      </c>
      <c r="F1046" s="19">
        <f>IF(AND(OR(YearFilter="All",$E1046=YearFilter),OR(RatingFilter="All",$D1046=RatingFilter),OR(TypeFilter="All",$C1046=TypeFilter)),1,0)</f>
        <v/>
      </c>
    </row>
    <row r="1047" ht="15" customHeight="1" s="20">
      <c r="A1047" s="19" t="inlineStr">
        <is>
          <t>s3914</t>
        </is>
      </c>
      <c r="B1047" s="19" t="inlineStr">
        <is>
          <t>Dramas</t>
        </is>
      </c>
      <c r="C1047" s="19">
        <f>IFERROR(INDEX(tblNetflix[type],MATCH($A1047,tblNetflix[show_id],0)),"")</f>
        <v/>
      </c>
      <c r="D1047" s="19">
        <f>IFERROR(INDEX(tblNetflix[rating],MATCH($A1047,tblNetflix[show_id],0)),"")</f>
        <v/>
      </c>
      <c r="E1047" s="19">
        <f>IFERROR(INDEX(tblNetflix[year_added],MATCH($A1047,tblNetflix[show_id],0)),"")</f>
        <v/>
      </c>
      <c r="F1047" s="19">
        <f>IF(AND(OR(YearFilter="All",$E1047=YearFilter),OR(RatingFilter="All",$D1047=RatingFilter),OR(TypeFilter="All",$C1047=TypeFilter)),1,0)</f>
        <v/>
      </c>
    </row>
    <row r="1048" ht="15" customHeight="1" s="20">
      <c r="A1048" s="19" t="inlineStr">
        <is>
          <t>s3914</t>
        </is>
      </c>
      <c r="B1048" s="19" t="inlineStr">
        <is>
          <t>International Movies</t>
        </is>
      </c>
      <c r="C1048" s="19">
        <f>IFERROR(INDEX(tblNetflix[type],MATCH($A1048,tblNetflix[show_id],0)),"")</f>
        <v/>
      </c>
      <c r="D1048" s="19">
        <f>IFERROR(INDEX(tblNetflix[rating],MATCH($A1048,tblNetflix[show_id],0)),"")</f>
        <v/>
      </c>
      <c r="E1048" s="19">
        <f>IFERROR(INDEX(tblNetflix[year_added],MATCH($A1048,tblNetflix[show_id],0)),"")</f>
        <v/>
      </c>
      <c r="F1048" s="19">
        <f>IF(AND(OR(YearFilter="All",$E1048=YearFilter),OR(RatingFilter="All",$D1048=RatingFilter),OR(TypeFilter="All",$C1048=TypeFilter)),1,0)</f>
        <v/>
      </c>
    </row>
    <row r="1049" ht="15" customHeight="1" s="20">
      <c r="A1049" s="19" t="inlineStr">
        <is>
          <t>s3914</t>
        </is>
      </c>
      <c r="B1049" s="19" t="inlineStr">
        <is>
          <t>Romantic Movies</t>
        </is>
      </c>
      <c r="C1049" s="19">
        <f>IFERROR(INDEX(tblNetflix[type],MATCH($A1049,tblNetflix[show_id],0)),"")</f>
        <v/>
      </c>
      <c r="D1049" s="19">
        <f>IFERROR(INDEX(tblNetflix[rating],MATCH($A1049,tblNetflix[show_id],0)),"")</f>
        <v/>
      </c>
      <c r="E1049" s="19">
        <f>IFERROR(INDEX(tblNetflix[year_added],MATCH($A1049,tblNetflix[show_id],0)),"")</f>
        <v/>
      </c>
      <c r="F1049" s="19">
        <f>IF(AND(OR(YearFilter="All",$E1049=YearFilter),OR(RatingFilter="All",$D1049=RatingFilter),OR(TypeFilter="All",$C1049=TypeFilter)),1,0)</f>
        <v/>
      </c>
    </row>
    <row r="1050" ht="15" customHeight="1" s="20">
      <c r="A1050" s="19" t="inlineStr">
        <is>
          <t>s3915</t>
        </is>
      </c>
      <c r="B1050" s="19" t="inlineStr">
        <is>
          <t>Comedies</t>
        </is>
      </c>
      <c r="C1050" s="19">
        <f>IFERROR(INDEX(tblNetflix[type],MATCH($A1050,tblNetflix[show_id],0)),"")</f>
        <v/>
      </c>
      <c r="D1050" s="19">
        <f>IFERROR(INDEX(tblNetflix[rating],MATCH($A1050,tblNetflix[show_id],0)),"")</f>
        <v/>
      </c>
      <c r="E1050" s="19">
        <f>IFERROR(INDEX(tblNetflix[year_added],MATCH($A1050,tblNetflix[show_id],0)),"")</f>
        <v/>
      </c>
      <c r="F1050" s="19">
        <f>IF(AND(OR(YearFilter="All",$E1050=YearFilter),OR(RatingFilter="All",$D1050=RatingFilter),OR(TypeFilter="All",$C1050=TypeFilter)),1,0)</f>
        <v/>
      </c>
    </row>
    <row r="1051" ht="15" customHeight="1" s="20">
      <c r="A1051" s="19" t="inlineStr">
        <is>
          <t>s3915</t>
        </is>
      </c>
      <c r="B1051" s="19" t="inlineStr">
        <is>
          <t>International Movies</t>
        </is>
      </c>
      <c r="C1051" s="19">
        <f>IFERROR(INDEX(tblNetflix[type],MATCH($A1051,tblNetflix[show_id],0)),"")</f>
        <v/>
      </c>
      <c r="D1051" s="19">
        <f>IFERROR(INDEX(tblNetflix[rating],MATCH($A1051,tblNetflix[show_id],0)),"")</f>
        <v/>
      </c>
      <c r="E1051" s="19">
        <f>IFERROR(INDEX(tblNetflix[year_added],MATCH($A1051,tblNetflix[show_id],0)),"")</f>
        <v/>
      </c>
      <c r="F1051" s="19">
        <f>IF(AND(OR(YearFilter="All",$E1051=YearFilter),OR(RatingFilter="All",$D1051=RatingFilter),OR(TypeFilter="All",$C1051=TypeFilter)),1,0)</f>
        <v/>
      </c>
    </row>
    <row r="1052" ht="15" customHeight="1" s="20">
      <c r="A1052" s="19" t="inlineStr">
        <is>
          <t>s3915</t>
        </is>
      </c>
      <c r="B1052" s="19" t="inlineStr">
        <is>
          <t>Music &amp; Musicals</t>
        </is>
      </c>
      <c r="C1052" s="19">
        <f>IFERROR(INDEX(tblNetflix[type],MATCH($A1052,tblNetflix[show_id],0)),"")</f>
        <v/>
      </c>
      <c r="D1052" s="19">
        <f>IFERROR(INDEX(tblNetflix[rating],MATCH($A1052,tblNetflix[show_id],0)),"")</f>
        <v/>
      </c>
      <c r="E1052" s="19">
        <f>IFERROR(INDEX(tblNetflix[year_added],MATCH($A1052,tblNetflix[show_id],0)),"")</f>
        <v/>
      </c>
      <c r="F1052" s="19">
        <f>IF(AND(OR(YearFilter="All",$E1052=YearFilter),OR(RatingFilter="All",$D1052=RatingFilter),OR(TypeFilter="All",$C1052=TypeFilter)),1,0)</f>
        <v/>
      </c>
    </row>
    <row r="1053" ht="15" customHeight="1" s="20">
      <c r="A1053" s="19" t="inlineStr">
        <is>
          <t>s3916</t>
        </is>
      </c>
      <c r="B1053" s="19" t="inlineStr">
        <is>
          <t>Comedies</t>
        </is>
      </c>
      <c r="C1053" s="19">
        <f>IFERROR(INDEX(tblNetflix[type],MATCH($A1053,tblNetflix[show_id],0)),"")</f>
        <v/>
      </c>
      <c r="D1053" s="19">
        <f>IFERROR(INDEX(tblNetflix[rating],MATCH($A1053,tblNetflix[show_id],0)),"")</f>
        <v/>
      </c>
      <c r="E1053" s="19">
        <f>IFERROR(INDEX(tblNetflix[year_added],MATCH($A1053,tblNetflix[show_id],0)),"")</f>
        <v/>
      </c>
      <c r="F1053" s="19">
        <f>IF(AND(OR(YearFilter="All",$E1053=YearFilter),OR(RatingFilter="All",$D1053=RatingFilter),OR(TypeFilter="All",$C1053=TypeFilter)),1,0)</f>
        <v/>
      </c>
    </row>
    <row r="1054" ht="15" customHeight="1" s="20">
      <c r="A1054" s="19" t="inlineStr">
        <is>
          <t>s3916</t>
        </is>
      </c>
      <c r="B1054" s="19" t="inlineStr">
        <is>
          <t>International Movies</t>
        </is>
      </c>
      <c r="C1054" s="19">
        <f>IFERROR(INDEX(tblNetflix[type],MATCH($A1054,tblNetflix[show_id],0)),"")</f>
        <v/>
      </c>
      <c r="D1054" s="19">
        <f>IFERROR(INDEX(tblNetflix[rating],MATCH($A1054,tblNetflix[show_id],0)),"")</f>
        <v/>
      </c>
      <c r="E1054" s="19">
        <f>IFERROR(INDEX(tblNetflix[year_added],MATCH($A1054,tblNetflix[show_id],0)),"")</f>
        <v/>
      </c>
      <c r="F1054" s="19">
        <f>IF(AND(OR(YearFilter="All",$E1054=YearFilter),OR(RatingFilter="All",$D1054=RatingFilter),OR(TypeFilter="All",$C1054=TypeFilter)),1,0)</f>
        <v/>
      </c>
    </row>
    <row r="1055" ht="15" customHeight="1" s="20">
      <c r="A1055" s="19" t="inlineStr">
        <is>
          <t>s3916</t>
        </is>
      </c>
      <c r="B1055" s="19" t="inlineStr">
        <is>
          <t>Romantic Movies</t>
        </is>
      </c>
      <c r="C1055" s="19">
        <f>IFERROR(INDEX(tblNetflix[type],MATCH($A1055,tblNetflix[show_id],0)),"")</f>
        <v/>
      </c>
      <c r="D1055" s="19">
        <f>IFERROR(INDEX(tblNetflix[rating],MATCH($A1055,tblNetflix[show_id],0)),"")</f>
        <v/>
      </c>
      <c r="E1055" s="19">
        <f>IFERROR(INDEX(tblNetflix[year_added],MATCH($A1055,tblNetflix[show_id],0)),"")</f>
        <v/>
      </c>
      <c r="F1055" s="19">
        <f>IF(AND(OR(YearFilter="All",$E1055=YearFilter),OR(RatingFilter="All",$D1055=RatingFilter),OR(TypeFilter="All",$C1055=TypeFilter)),1,0)</f>
        <v/>
      </c>
    </row>
    <row r="1056" ht="15" customHeight="1" s="20">
      <c r="A1056" s="19" t="inlineStr">
        <is>
          <t>s3917</t>
        </is>
      </c>
      <c r="B1056" s="19" t="inlineStr">
        <is>
          <t>Dramas</t>
        </is>
      </c>
      <c r="C1056" s="19">
        <f>IFERROR(INDEX(tblNetflix[type],MATCH($A1056,tblNetflix[show_id],0)),"")</f>
        <v/>
      </c>
      <c r="D1056" s="19">
        <f>IFERROR(INDEX(tblNetflix[rating],MATCH($A1056,tblNetflix[show_id],0)),"")</f>
        <v/>
      </c>
      <c r="E1056" s="19">
        <f>IFERROR(INDEX(tblNetflix[year_added],MATCH($A1056,tblNetflix[show_id],0)),"")</f>
        <v/>
      </c>
      <c r="F1056" s="19">
        <f>IF(AND(OR(YearFilter="All",$E1056=YearFilter),OR(RatingFilter="All",$D1056=RatingFilter),OR(TypeFilter="All",$C1056=TypeFilter)),1,0)</f>
        <v/>
      </c>
    </row>
    <row r="1057" ht="15" customHeight="1" s="20">
      <c r="A1057" s="19" t="inlineStr">
        <is>
          <t>s3917</t>
        </is>
      </c>
      <c r="B1057" s="19" t="inlineStr">
        <is>
          <t>International Movies</t>
        </is>
      </c>
      <c r="C1057" s="19">
        <f>IFERROR(INDEX(tblNetflix[type],MATCH($A1057,tblNetflix[show_id],0)),"")</f>
        <v/>
      </c>
      <c r="D1057" s="19">
        <f>IFERROR(INDEX(tblNetflix[rating],MATCH($A1057,tblNetflix[show_id],0)),"")</f>
        <v/>
      </c>
      <c r="E1057" s="19">
        <f>IFERROR(INDEX(tblNetflix[year_added],MATCH($A1057,tblNetflix[show_id],0)),"")</f>
        <v/>
      </c>
      <c r="F1057" s="19">
        <f>IF(AND(OR(YearFilter="All",$E1057=YearFilter),OR(RatingFilter="All",$D1057=RatingFilter),OR(TypeFilter="All",$C1057=TypeFilter)),1,0)</f>
        <v/>
      </c>
    </row>
    <row r="1058" ht="15" customHeight="1" s="20">
      <c r="A1058" s="19" t="inlineStr">
        <is>
          <t>s3917</t>
        </is>
      </c>
      <c r="B1058" s="19" t="inlineStr">
        <is>
          <t>Sci-Fi &amp; Fantasy</t>
        </is>
      </c>
      <c r="C1058" s="19">
        <f>IFERROR(INDEX(tblNetflix[type],MATCH($A1058,tblNetflix[show_id],0)),"")</f>
        <v/>
      </c>
      <c r="D1058" s="19">
        <f>IFERROR(INDEX(tblNetflix[rating],MATCH($A1058,tblNetflix[show_id],0)),"")</f>
        <v/>
      </c>
      <c r="E1058" s="19">
        <f>IFERROR(INDEX(tblNetflix[year_added],MATCH($A1058,tblNetflix[show_id],0)),"")</f>
        <v/>
      </c>
      <c r="F1058" s="19">
        <f>IF(AND(OR(YearFilter="All",$E1058=YearFilter),OR(RatingFilter="All",$D1058=RatingFilter),OR(TypeFilter="All",$C1058=TypeFilter)),1,0)</f>
        <v/>
      </c>
    </row>
    <row r="1059" ht="15" customHeight="1" s="20">
      <c r="A1059" s="19" t="inlineStr">
        <is>
          <t>s3918</t>
        </is>
      </c>
      <c r="B1059" s="19" t="inlineStr">
        <is>
          <t>Dramas</t>
        </is>
      </c>
      <c r="C1059" s="19">
        <f>IFERROR(INDEX(tblNetflix[type],MATCH($A1059,tblNetflix[show_id],0)),"")</f>
        <v/>
      </c>
      <c r="D1059" s="19">
        <f>IFERROR(INDEX(tblNetflix[rating],MATCH($A1059,tblNetflix[show_id],0)),"")</f>
        <v/>
      </c>
      <c r="E1059" s="19">
        <f>IFERROR(INDEX(tblNetflix[year_added],MATCH($A1059,tblNetflix[show_id],0)),"")</f>
        <v/>
      </c>
      <c r="F1059" s="19">
        <f>IF(AND(OR(YearFilter="All",$E1059=YearFilter),OR(RatingFilter="All",$D1059=RatingFilter),OR(TypeFilter="All",$C1059=TypeFilter)),1,0)</f>
        <v/>
      </c>
    </row>
    <row r="1060" ht="15" customHeight="1" s="20">
      <c r="A1060" s="19" t="inlineStr">
        <is>
          <t>s3918</t>
        </is>
      </c>
      <c r="B1060" s="19" t="inlineStr">
        <is>
          <t>International Movies</t>
        </is>
      </c>
      <c r="C1060" s="19">
        <f>IFERROR(INDEX(tblNetflix[type],MATCH($A1060,tblNetflix[show_id],0)),"")</f>
        <v/>
      </c>
      <c r="D1060" s="19">
        <f>IFERROR(INDEX(tblNetflix[rating],MATCH($A1060,tblNetflix[show_id],0)),"")</f>
        <v/>
      </c>
      <c r="E1060" s="19">
        <f>IFERROR(INDEX(tblNetflix[year_added],MATCH($A1060,tblNetflix[show_id],0)),"")</f>
        <v/>
      </c>
      <c r="F1060" s="19">
        <f>IF(AND(OR(YearFilter="All",$E1060=YearFilter),OR(RatingFilter="All",$D1060=RatingFilter),OR(TypeFilter="All",$C1060=TypeFilter)),1,0)</f>
        <v/>
      </c>
    </row>
    <row r="1061" ht="15" customHeight="1" s="20">
      <c r="A1061" s="19" t="inlineStr">
        <is>
          <t>s3918</t>
        </is>
      </c>
      <c r="B1061" s="19" t="inlineStr">
        <is>
          <t>Romantic Movies</t>
        </is>
      </c>
      <c r="C1061" s="19">
        <f>IFERROR(INDEX(tblNetflix[type],MATCH($A1061,tblNetflix[show_id],0)),"")</f>
        <v/>
      </c>
      <c r="D1061" s="19">
        <f>IFERROR(INDEX(tblNetflix[rating],MATCH($A1061,tblNetflix[show_id],0)),"")</f>
        <v/>
      </c>
      <c r="E1061" s="19">
        <f>IFERROR(INDEX(tblNetflix[year_added],MATCH($A1061,tblNetflix[show_id],0)),"")</f>
        <v/>
      </c>
      <c r="F1061" s="19">
        <f>IF(AND(OR(YearFilter="All",$E1061=YearFilter),OR(RatingFilter="All",$D1061=RatingFilter),OR(TypeFilter="All",$C1061=TypeFilter)),1,0)</f>
        <v/>
      </c>
    </row>
    <row r="1062" ht="15" customHeight="1" s="20">
      <c r="A1062" s="19" t="inlineStr">
        <is>
          <t>s3919</t>
        </is>
      </c>
      <c r="B1062" s="19" t="inlineStr">
        <is>
          <t>Action &amp; Adventure</t>
        </is>
      </c>
      <c r="C1062" s="19">
        <f>IFERROR(INDEX(tblNetflix[type],MATCH($A1062,tblNetflix[show_id],0)),"")</f>
        <v/>
      </c>
      <c r="D1062" s="19">
        <f>IFERROR(INDEX(tblNetflix[rating],MATCH($A1062,tblNetflix[show_id],0)),"")</f>
        <v/>
      </c>
      <c r="E1062" s="19">
        <f>IFERROR(INDEX(tblNetflix[year_added],MATCH($A1062,tblNetflix[show_id],0)),"")</f>
        <v/>
      </c>
      <c r="F1062" s="19">
        <f>IF(AND(OR(YearFilter="All",$E1062=YearFilter),OR(RatingFilter="All",$D1062=RatingFilter),OR(TypeFilter="All",$C1062=TypeFilter)),1,0)</f>
        <v/>
      </c>
    </row>
    <row r="1063" ht="15" customHeight="1" s="20">
      <c r="A1063" s="19" t="inlineStr">
        <is>
          <t>s3919</t>
        </is>
      </c>
      <c r="B1063" s="19" t="inlineStr">
        <is>
          <t>Comedies</t>
        </is>
      </c>
      <c r="C1063" s="19">
        <f>IFERROR(INDEX(tblNetflix[type],MATCH($A1063,tblNetflix[show_id],0)),"")</f>
        <v/>
      </c>
      <c r="D1063" s="19">
        <f>IFERROR(INDEX(tblNetflix[rating],MATCH($A1063,tblNetflix[show_id],0)),"")</f>
        <v/>
      </c>
      <c r="E1063" s="19">
        <f>IFERROR(INDEX(tblNetflix[year_added],MATCH($A1063,tblNetflix[show_id],0)),"")</f>
        <v/>
      </c>
      <c r="F1063" s="19">
        <f>IF(AND(OR(YearFilter="All",$E1063=YearFilter),OR(RatingFilter="All",$D1063=RatingFilter),OR(TypeFilter="All",$C1063=TypeFilter)),1,0)</f>
        <v/>
      </c>
    </row>
    <row r="1064" ht="15" customHeight="1" s="20">
      <c r="A1064" s="19" t="inlineStr">
        <is>
          <t>s3919</t>
        </is>
      </c>
      <c r="B1064" s="19" t="inlineStr">
        <is>
          <t>Dramas</t>
        </is>
      </c>
      <c r="C1064" s="19">
        <f>IFERROR(INDEX(tblNetflix[type],MATCH($A1064,tblNetflix[show_id],0)),"")</f>
        <v/>
      </c>
      <c r="D1064" s="19">
        <f>IFERROR(INDEX(tblNetflix[rating],MATCH($A1064,tblNetflix[show_id],0)),"")</f>
        <v/>
      </c>
      <c r="E1064" s="19">
        <f>IFERROR(INDEX(tblNetflix[year_added],MATCH($A1064,tblNetflix[show_id],0)),"")</f>
        <v/>
      </c>
      <c r="F1064" s="19">
        <f>IF(AND(OR(YearFilter="All",$E1064=YearFilter),OR(RatingFilter="All",$D1064=RatingFilter),OR(TypeFilter="All",$C1064=TypeFilter)),1,0)</f>
        <v/>
      </c>
    </row>
    <row r="1065" ht="15" customHeight="1" s="20">
      <c r="A1065" s="19" t="inlineStr">
        <is>
          <t>s3933</t>
        </is>
      </c>
      <c r="B1065" s="19" t="inlineStr">
        <is>
          <t>Dramas</t>
        </is>
      </c>
      <c r="C1065" s="19">
        <f>IFERROR(INDEX(tblNetflix[type],MATCH($A1065,tblNetflix[show_id],0)),"")</f>
        <v/>
      </c>
      <c r="D1065" s="19">
        <f>IFERROR(INDEX(tblNetflix[rating],MATCH($A1065,tblNetflix[show_id],0)),"")</f>
        <v/>
      </c>
      <c r="E1065" s="19">
        <f>IFERROR(INDEX(tblNetflix[year_added],MATCH($A1065,tblNetflix[show_id],0)),"")</f>
        <v/>
      </c>
      <c r="F1065" s="19">
        <f>IF(AND(OR(YearFilter="All",$E1065=YearFilter),OR(RatingFilter="All",$D1065=RatingFilter),OR(TypeFilter="All",$C1065=TypeFilter)),1,0)</f>
        <v/>
      </c>
    </row>
    <row r="1066" ht="15" customHeight="1" s="20">
      <c r="A1066" s="19" t="inlineStr">
        <is>
          <t>s3933</t>
        </is>
      </c>
      <c r="B1066" s="19" t="inlineStr">
        <is>
          <t>International Movies</t>
        </is>
      </c>
      <c r="C1066" s="19">
        <f>IFERROR(INDEX(tblNetflix[type],MATCH($A1066,tblNetflix[show_id],0)),"")</f>
        <v/>
      </c>
      <c r="D1066" s="19">
        <f>IFERROR(INDEX(tblNetflix[rating],MATCH($A1066,tblNetflix[show_id],0)),"")</f>
        <v/>
      </c>
      <c r="E1066" s="19">
        <f>IFERROR(INDEX(tblNetflix[year_added],MATCH($A1066,tblNetflix[show_id],0)),"")</f>
        <v/>
      </c>
      <c r="F1066" s="19">
        <f>IF(AND(OR(YearFilter="All",$E1066=YearFilter),OR(RatingFilter="All",$D1066=RatingFilter),OR(TypeFilter="All",$C1066=TypeFilter)),1,0)</f>
        <v/>
      </c>
    </row>
    <row r="1067" ht="15" customHeight="1" s="20">
      <c r="A1067" s="19" t="inlineStr">
        <is>
          <t>s3933</t>
        </is>
      </c>
      <c r="B1067" s="19" t="inlineStr">
        <is>
          <t>Music &amp; Musicals</t>
        </is>
      </c>
      <c r="C1067" s="19">
        <f>IFERROR(INDEX(tblNetflix[type],MATCH($A1067,tblNetflix[show_id],0)),"")</f>
        <v/>
      </c>
      <c r="D1067" s="19">
        <f>IFERROR(INDEX(tblNetflix[rating],MATCH($A1067,tblNetflix[show_id],0)),"")</f>
        <v/>
      </c>
      <c r="E1067" s="19">
        <f>IFERROR(INDEX(tblNetflix[year_added],MATCH($A1067,tblNetflix[show_id],0)),"")</f>
        <v/>
      </c>
      <c r="F1067" s="19">
        <f>IF(AND(OR(YearFilter="All",$E1067=YearFilter),OR(RatingFilter="All",$D1067=RatingFilter),OR(TypeFilter="All",$C1067=TypeFilter)),1,0)</f>
        <v/>
      </c>
    </row>
    <row r="1068" ht="15" customHeight="1" s="20">
      <c r="A1068" s="19" t="inlineStr">
        <is>
          <t>s3940</t>
        </is>
      </c>
      <c r="B1068" s="19" t="inlineStr">
        <is>
          <t>Action &amp; Adventure</t>
        </is>
      </c>
      <c r="C1068" s="19">
        <f>IFERROR(INDEX(tblNetflix[type],MATCH($A1068,tblNetflix[show_id],0)),"")</f>
        <v/>
      </c>
      <c r="D1068" s="19">
        <f>IFERROR(INDEX(tblNetflix[rating],MATCH($A1068,tblNetflix[show_id],0)),"")</f>
        <v/>
      </c>
      <c r="E1068" s="19">
        <f>IFERROR(INDEX(tblNetflix[year_added],MATCH($A1068,tblNetflix[show_id],0)),"")</f>
        <v/>
      </c>
      <c r="F1068" s="19">
        <f>IF(AND(OR(YearFilter="All",$E1068=YearFilter),OR(RatingFilter="All",$D1068=RatingFilter),OR(TypeFilter="All",$C1068=TypeFilter)),1,0)</f>
        <v/>
      </c>
    </row>
    <row r="1069" ht="15" customHeight="1" s="20">
      <c r="A1069" s="19" t="inlineStr">
        <is>
          <t>s3940</t>
        </is>
      </c>
      <c r="B1069" s="19" t="inlineStr">
        <is>
          <t>Comedies</t>
        </is>
      </c>
      <c r="C1069" s="19">
        <f>IFERROR(INDEX(tblNetflix[type],MATCH($A1069,tblNetflix[show_id],0)),"")</f>
        <v/>
      </c>
      <c r="D1069" s="19">
        <f>IFERROR(INDEX(tblNetflix[rating],MATCH($A1069,tblNetflix[show_id],0)),"")</f>
        <v/>
      </c>
      <c r="E1069" s="19">
        <f>IFERROR(INDEX(tblNetflix[year_added],MATCH($A1069,tblNetflix[show_id],0)),"")</f>
        <v/>
      </c>
      <c r="F1069" s="19">
        <f>IF(AND(OR(YearFilter="All",$E1069=YearFilter),OR(RatingFilter="All",$D1069=RatingFilter),OR(TypeFilter="All",$C1069=TypeFilter)),1,0)</f>
        <v/>
      </c>
    </row>
    <row r="1070" ht="15" customHeight="1" s="20">
      <c r="A1070" s="19" t="inlineStr">
        <is>
          <t>s3940</t>
        </is>
      </c>
      <c r="B1070" s="19" t="inlineStr">
        <is>
          <t>Dramas</t>
        </is>
      </c>
      <c r="C1070" s="19">
        <f>IFERROR(INDEX(tblNetflix[type],MATCH($A1070,tblNetflix[show_id],0)),"")</f>
        <v/>
      </c>
      <c r="D1070" s="19">
        <f>IFERROR(INDEX(tblNetflix[rating],MATCH($A1070,tblNetflix[show_id],0)),"")</f>
        <v/>
      </c>
      <c r="E1070" s="19">
        <f>IFERROR(INDEX(tblNetflix[year_added],MATCH($A1070,tblNetflix[show_id],0)),"")</f>
        <v/>
      </c>
      <c r="F1070" s="19">
        <f>IF(AND(OR(YearFilter="All",$E1070=YearFilter),OR(RatingFilter="All",$D1070=RatingFilter),OR(TypeFilter="All",$C1070=TypeFilter)),1,0)</f>
        <v/>
      </c>
    </row>
    <row r="1071" ht="15" customHeight="1" s="20">
      <c r="A1071" s="19" t="inlineStr">
        <is>
          <t>s3951</t>
        </is>
      </c>
      <c r="B1071" s="19" t="inlineStr">
        <is>
          <t>Comedies</t>
        </is>
      </c>
      <c r="C1071" s="19">
        <f>IFERROR(INDEX(tblNetflix[type],MATCH($A1071,tblNetflix[show_id],0)),"")</f>
        <v/>
      </c>
      <c r="D1071" s="19">
        <f>IFERROR(INDEX(tblNetflix[rating],MATCH($A1071,tblNetflix[show_id],0)),"")</f>
        <v/>
      </c>
      <c r="E1071" s="19">
        <f>IFERROR(INDEX(tblNetflix[year_added],MATCH($A1071,tblNetflix[show_id],0)),"")</f>
        <v/>
      </c>
      <c r="F1071" s="19">
        <f>IF(AND(OR(YearFilter="All",$E1071=YearFilter),OR(RatingFilter="All",$D1071=RatingFilter),OR(TypeFilter="All",$C1071=TypeFilter)),1,0)</f>
        <v/>
      </c>
    </row>
    <row r="1072" ht="15" customHeight="1" s="20">
      <c r="A1072" s="19" t="inlineStr">
        <is>
          <t>s3951</t>
        </is>
      </c>
      <c r="B1072" s="19" t="inlineStr">
        <is>
          <t>Dramas</t>
        </is>
      </c>
      <c r="C1072" s="19">
        <f>IFERROR(INDEX(tblNetflix[type],MATCH($A1072,tblNetflix[show_id],0)),"")</f>
        <v/>
      </c>
      <c r="D1072" s="19">
        <f>IFERROR(INDEX(tblNetflix[rating],MATCH($A1072,tblNetflix[show_id],0)),"")</f>
        <v/>
      </c>
      <c r="E1072" s="19">
        <f>IFERROR(INDEX(tblNetflix[year_added],MATCH($A1072,tblNetflix[show_id],0)),"")</f>
        <v/>
      </c>
      <c r="F1072" s="19">
        <f>IF(AND(OR(YearFilter="All",$E1072=YearFilter),OR(RatingFilter="All",$D1072=RatingFilter),OR(TypeFilter="All",$C1072=TypeFilter)),1,0)</f>
        <v/>
      </c>
    </row>
    <row r="1073" ht="15" customHeight="1" s="20">
      <c r="A1073" s="19" t="inlineStr">
        <is>
          <t>s3951</t>
        </is>
      </c>
      <c r="B1073" s="19" t="inlineStr">
        <is>
          <t>International Movies</t>
        </is>
      </c>
      <c r="C1073" s="19">
        <f>IFERROR(INDEX(tblNetflix[type],MATCH($A1073,tblNetflix[show_id],0)),"")</f>
        <v/>
      </c>
      <c r="D1073" s="19">
        <f>IFERROR(INDEX(tblNetflix[rating],MATCH($A1073,tblNetflix[show_id],0)),"")</f>
        <v/>
      </c>
      <c r="E1073" s="19">
        <f>IFERROR(INDEX(tblNetflix[year_added],MATCH($A1073,tblNetflix[show_id],0)),"")</f>
        <v/>
      </c>
      <c r="F1073" s="19">
        <f>IF(AND(OR(YearFilter="All",$E1073=YearFilter),OR(RatingFilter="All",$D1073=RatingFilter),OR(TypeFilter="All",$C1073=TypeFilter)),1,0)</f>
        <v/>
      </c>
    </row>
    <row r="1074" ht="15" customHeight="1" s="20">
      <c r="A1074" s="19" t="inlineStr">
        <is>
          <t>s3963</t>
        </is>
      </c>
      <c r="B1074" s="19" t="inlineStr">
        <is>
          <t>Comedies</t>
        </is>
      </c>
      <c r="C1074" s="19">
        <f>IFERROR(INDEX(tblNetflix[type],MATCH($A1074,tblNetflix[show_id],0)),"")</f>
        <v/>
      </c>
      <c r="D1074" s="19">
        <f>IFERROR(INDEX(tblNetflix[rating],MATCH($A1074,tblNetflix[show_id],0)),"")</f>
        <v/>
      </c>
      <c r="E1074" s="19">
        <f>IFERROR(INDEX(tblNetflix[year_added],MATCH($A1074,tblNetflix[show_id],0)),"")</f>
        <v/>
      </c>
      <c r="F1074" s="19">
        <f>IF(AND(OR(YearFilter="All",$E1074=YearFilter),OR(RatingFilter="All",$D1074=RatingFilter),OR(TypeFilter="All",$C1074=TypeFilter)),1,0)</f>
        <v/>
      </c>
    </row>
    <row r="1075" ht="15" customHeight="1" s="20">
      <c r="A1075" s="19" t="inlineStr">
        <is>
          <t>s3963</t>
        </is>
      </c>
      <c r="B1075" s="19" t="inlineStr">
        <is>
          <t>Dramas</t>
        </is>
      </c>
      <c r="C1075" s="19">
        <f>IFERROR(INDEX(tblNetflix[type],MATCH($A1075,tblNetflix[show_id],0)),"")</f>
        <v/>
      </c>
      <c r="D1075" s="19">
        <f>IFERROR(INDEX(tblNetflix[rating],MATCH($A1075,tblNetflix[show_id],0)),"")</f>
        <v/>
      </c>
      <c r="E1075" s="19">
        <f>IFERROR(INDEX(tblNetflix[year_added],MATCH($A1075,tblNetflix[show_id],0)),"")</f>
        <v/>
      </c>
      <c r="F1075" s="19">
        <f>IF(AND(OR(YearFilter="All",$E1075=YearFilter),OR(RatingFilter="All",$D1075=RatingFilter),OR(TypeFilter="All",$C1075=TypeFilter)),1,0)</f>
        <v/>
      </c>
    </row>
    <row r="1076" ht="15" customHeight="1" s="20">
      <c r="A1076" s="19" t="inlineStr">
        <is>
          <t>s3963</t>
        </is>
      </c>
      <c r="B1076" s="19" t="inlineStr">
        <is>
          <t>Independent Movies</t>
        </is>
      </c>
      <c r="C1076" s="19">
        <f>IFERROR(INDEX(tblNetflix[type],MATCH($A1076,tblNetflix[show_id],0)),"")</f>
        <v/>
      </c>
      <c r="D1076" s="19">
        <f>IFERROR(INDEX(tblNetflix[rating],MATCH($A1076,tblNetflix[show_id],0)),"")</f>
        <v/>
      </c>
      <c r="E1076" s="19">
        <f>IFERROR(INDEX(tblNetflix[year_added],MATCH($A1076,tblNetflix[show_id],0)),"")</f>
        <v/>
      </c>
      <c r="F1076" s="19">
        <f>IF(AND(OR(YearFilter="All",$E1076=YearFilter),OR(RatingFilter="All",$D1076=RatingFilter),OR(TypeFilter="All",$C1076=TypeFilter)),1,0)</f>
        <v/>
      </c>
    </row>
    <row r="1077" ht="15" customHeight="1" s="20">
      <c r="A1077" s="19" t="inlineStr">
        <is>
          <t>s3976</t>
        </is>
      </c>
      <c r="B1077" s="19" t="inlineStr">
        <is>
          <t>Action &amp; Adventure</t>
        </is>
      </c>
      <c r="C1077" s="19">
        <f>IFERROR(INDEX(tblNetflix[type],MATCH($A1077,tblNetflix[show_id],0)),"")</f>
        <v/>
      </c>
      <c r="D1077" s="19">
        <f>IFERROR(INDEX(tblNetflix[rating],MATCH($A1077,tblNetflix[show_id],0)),"")</f>
        <v/>
      </c>
      <c r="E1077" s="19">
        <f>IFERROR(INDEX(tblNetflix[year_added],MATCH($A1077,tblNetflix[show_id],0)),"")</f>
        <v/>
      </c>
      <c r="F1077" s="19">
        <f>IF(AND(OR(YearFilter="All",$E1077=YearFilter),OR(RatingFilter="All",$D1077=RatingFilter),OR(TypeFilter="All",$C1077=TypeFilter)),1,0)</f>
        <v/>
      </c>
    </row>
    <row r="1078" ht="15" customHeight="1" s="20">
      <c r="A1078" s="19" t="inlineStr">
        <is>
          <t>s3976</t>
        </is>
      </c>
      <c r="B1078" s="19" t="inlineStr">
        <is>
          <t>Comedies</t>
        </is>
      </c>
      <c r="C1078" s="19">
        <f>IFERROR(INDEX(tblNetflix[type],MATCH($A1078,tblNetflix[show_id],0)),"")</f>
        <v/>
      </c>
      <c r="D1078" s="19">
        <f>IFERROR(INDEX(tblNetflix[rating],MATCH($A1078,tblNetflix[show_id],0)),"")</f>
        <v/>
      </c>
      <c r="E1078" s="19">
        <f>IFERROR(INDEX(tblNetflix[year_added],MATCH($A1078,tblNetflix[show_id],0)),"")</f>
        <v/>
      </c>
      <c r="F1078" s="19">
        <f>IF(AND(OR(YearFilter="All",$E1078=YearFilter),OR(RatingFilter="All",$D1078=RatingFilter),OR(TypeFilter="All",$C1078=TypeFilter)),1,0)</f>
        <v/>
      </c>
    </row>
    <row r="1079" ht="15" customHeight="1" s="20">
      <c r="A1079" s="19" t="inlineStr">
        <is>
          <t>s3976</t>
        </is>
      </c>
      <c r="B1079" s="19" t="inlineStr">
        <is>
          <t>Dramas</t>
        </is>
      </c>
      <c r="C1079" s="19">
        <f>IFERROR(INDEX(tblNetflix[type],MATCH($A1079,tblNetflix[show_id],0)),"")</f>
        <v/>
      </c>
      <c r="D1079" s="19">
        <f>IFERROR(INDEX(tblNetflix[rating],MATCH($A1079,tblNetflix[show_id],0)),"")</f>
        <v/>
      </c>
      <c r="E1079" s="19">
        <f>IFERROR(INDEX(tblNetflix[year_added],MATCH($A1079,tblNetflix[show_id],0)),"")</f>
        <v/>
      </c>
      <c r="F1079" s="19">
        <f>IF(AND(OR(YearFilter="All",$E1079=YearFilter),OR(RatingFilter="All",$D1079=RatingFilter),OR(TypeFilter="All",$C1079=TypeFilter)),1,0)</f>
        <v/>
      </c>
    </row>
    <row r="1080" ht="15" customHeight="1" s="20">
      <c r="A1080" s="19" t="inlineStr">
        <is>
          <t>s3982</t>
        </is>
      </c>
      <c r="B1080" s="19" t="inlineStr">
        <is>
          <t>Crime TV Shows</t>
        </is>
      </c>
      <c r="C1080" s="19">
        <f>IFERROR(INDEX(tblNetflix[type],MATCH($A1080,tblNetflix[show_id],0)),"")</f>
        <v/>
      </c>
      <c r="D1080" s="19">
        <f>IFERROR(INDEX(tblNetflix[rating],MATCH($A1080,tblNetflix[show_id],0)),"")</f>
        <v/>
      </c>
      <c r="E1080" s="19">
        <f>IFERROR(INDEX(tblNetflix[year_added],MATCH($A1080,tblNetflix[show_id],0)),"")</f>
        <v/>
      </c>
      <c r="F1080" s="19">
        <f>IF(AND(OR(YearFilter="All",$E1080=YearFilter),OR(RatingFilter="All",$D1080=RatingFilter),OR(TypeFilter="All",$C1080=TypeFilter)),1,0)</f>
        <v/>
      </c>
    </row>
    <row r="1081" ht="15" customHeight="1" s="20">
      <c r="A1081" s="19" t="inlineStr">
        <is>
          <t>s3982</t>
        </is>
      </c>
      <c r="B1081" s="19" t="inlineStr">
        <is>
          <t>International TV Shows</t>
        </is>
      </c>
      <c r="C1081" s="19">
        <f>IFERROR(INDEX(tblNetflix[type],MATCH($A1081,tblNetflix[show_id],0)),"")</f>
        <v/>
      </c>
      <c r="D1081" s="19">
        <f>IFERROR(INDEX(tblNetflix[rating],MATCH($A1081,tblNetflix[show_id],0)),"")</f>
        <v/>
      </c>
      <c r="E1081" s="19">
        <f>IFERROR(INDEX(tblNetflix[year_added],MATCH($A1081,tblNetflix[show_id],0)),"")</f>
        <v/>
      </c>
      <c r="F1081" s="19">
        <f>IF(AND(OR(YearFilter="All",$E1081=YearFilter),OR(RatingFilter="All",$D1081=RatingFilter),OR(TypeFilter="All",$C1081=TypeFilter)),1,0)</f>
        <v/>
      </c>
    </row>
    <row r="1082" ht="15" customHeight="1" s="20">
      <c r="A1082" s="19" t="inlineStr">
        <is>
          <t>s3982</t>
        </is>
      </c>
      <c r="B1082" s="19" t="inlineStr">
        <is>
          <t>TV Dramas</t>
        </is>
      </c>
      <c r="C1082" s="19">
        <f>IFERROR(INDEX(tblNetflix[type],MATCH($A1082,tblNetflix[show_id],0)),"")</f>
        <v/>
      </c>
      <c r="D1082" s="19">
        <f>IFERROR(INDEX(tblNetflix[rating],MATCH($A1082,tblNetflix[show_id],0)),"")</f>
        <v/>
      </c>
      <c r="E1082" s="19">
        <f>IFERROR(INDEX(tblNetflix[year_added],MATCH($A1082,tblNetflix[show_id],0)),"")</f>
        <v/>
      </c>
      <c r="F1082" s="19">
        <f>IF(AND(OR(YearFilter="All",$E1082=YearFilter),OR(RatingFilter="All",$D1082=RatingFilter),OR(TypeFilter="All",$C1082=TypeFilter)),1,0)</f>
        <v/>
      </c>
    </row>
    <row r="1083" ht="15" customHeight="1" s="20">
      <c r="A1083" s="19" t="inlineStr">
        <is>
          <t>s3998</t>
        </is>
      </c>
      <c r="B1083" s="19" t="inlineStr">
        <is>
          <t>Dramas</t>
        </is>
      </c>
      <c r="C1083" s="19">
        <f>IFERROR(INDEX(tblNetflix[type],MATCH($A1083,tblNetflix[show_id],0)),"")</f>
        <v/>
      </c>
      <c r="D1083" s="19">
        <f>IFERROR(INDEX(tblNetflix[rating],MATCH($A1083,tblNetflix[show_id],0)),"")</f>
        <v/>
      </c>
      <c r="E1083" s="19">
        <f>IFERROR(INDEX(tblNetflix[year_added],MATCH($A1083,tblNetflix[show_id],0)),"")</f>
        <v/>
      </c>
      <c r="F1083" s="19">
        <f>IF(AND(OR(YearFilter="All",$E1083=YearFilter),OR(RatingFilter="All",$D1083=RatingFilter),OR(TypeFilter="All",$C1083=TypeFilter)),1,0)</f>
        <v/>
      </c>
    </row>
    <row r="1084" ht="15" customHeight="1" s="20">
      <c r="A1084" s="19" t="inlineStr">
        <is>
          <t>s3998</t>
        </is>
      </c>
      <c r="B1084" s="19" t="inlineStr">
        <is>
          <t>Independent Movies</t>
        </is>
      </c>
      <c r="C1084" s="19">
        <f>IFERROR(INDEX(tblNetflix[type],MATCH($A1084,tblNetflix[show_id],0)),"")</f>
        <v/>
      </c>
      <c r="D1084" s="19">
        <f>IFERROR(INDEX(tblNetflix[rating],MATCH($A1084,tblNetflix[show_id],0)),"")</f>
        <v/>
      </c>
      <c r="E1084" s="19">
        <f>IFERROR(INDEX(tblNetflix[year_added],MATCH($A1084,tblNetflix[show_id],0)),"")</f>
        <v/>
      </c>
      <c r="F1084" s="19">
        <f>IF(AND(OR(YearFilter="All",$E1084=YearFilter),OR(RatingFilter="All",$D1084=RatingFilter),OR(TypeFilter="All",$C1084=TypeFilter)),1,0)</f>
        <v/>
      </c>
    </row>
    <row r="1085" ht="15" customHeight="1" s="20">
      <c r="A1085" s="19" t="inlineStr">
        <is>
          <t>s3998</t>
        </is>
      </c>
      <c r="B1085" s="19" t="inlineStr">
        <is>
          <t>International Movies</t>
        </is>
      </c>
      <c r="C1085" s="19">
        <f>IFERROR(INDEX(tblNetflix[type],MATCH($A1085,tblNetflix[show_id],0)),"")</f>
        <v/>
      </c>
      <c r="D1085" s="19">
        <f>IFERROR(INDEX(tblNetflix[rating],MATCH($A1085,tblNetflix[show_id],0)),"")</f>
        <v/>
      </c>
      <c r="E1085" s="19">
        <f>IFERROR(INDEX(tblNetflix[year_added],MATCH($A1085,tblNetflix[show_id],0)),"")</f>
        <v/>
      </c>
      <c r="F1085" s="19">
        <f>IF(AND(OR(YearFilter="All",$E1085=YearFilter),OR(RatingFilter="All",$D1085=RatingFilter),OR(TypeFilter="All",$C1085=TypeFilter)),1,0)</f>
        <v/>
      </c>
    </row>
    <row r="1086" ht="15" customHeight="1" s="20">
      <c r="A1086" s="19" t="inlineStr">
        <is>
          <t>s4003</t>
        </is>
      </c>
      <c r="B1086" s="19" t="inlineStr">
        <is>
          <t>Comedies</t>
        </is>
      </c>
      <c r="C1086" s="19">
        <f>IFERROR(INDEX(tblNetflix[type],MATCH($A1086,tblNetflix[show_id],0)),"")</f>
        <v/>
      </c>
      <c r="D1086" s="19">
        <f>IFERROR(INDEX(tblNetflix[rating],MATCH($A1086,tblNetflix[show_id],0)),"")</f>
        <v/>
      </c>
      <c r="E1086" s="19">
        <f>IFERROR(INDEX(tblNetflix[year_added],MATCH($A1086,tblNetflix[show_id],0)),"")</f>
        <v/>
      </c>
      <c r="F1086" s="19">
        <f>IF(AND(OR(YearFilter="All",$E1086=YearFilter),OR(RatingFilter="All",$D1086=RatingFilter),OR(TypeFilter="All",$C1086=TypeFilter)),1,0)</f>
        <v/>
      </c>
    </row>
    <row r="1087" ht="15" customHeight="1" s="20">
      <c r="A1087" s="19" t="inlineStr">
        <is>
          <t>s4003</t>
        </is>
      </c>
      <c r="B1087" s="19" t="inlineStr">
        <is>
          <t>Dramas</t>
        </is>
      </c>
      <c r="C1087" s="19">
        <f>IFERROR(INDEX(tblNetflix[type],MATCH($A1087,tblNetflix[show_id],0)),"")</f>
        <v/>
      </c>
      <c r="D1087" s="19">
        <f>IFERROR(INDEX(tblNetflix[rating],MATCH($A1087,tblNetflix[show_id],0)),"")</f>
        <v/>
      </c>
      <c r="E1087" s="19">
        <f>IFERROR(INDEX(tblNetflix[year_added],MATCH($A1087,tblNetflix[show_id],0)),"")</f>
        <v/>
      </c>
      <c r="F1087" s="19">
        <f>IF(AND(OR(YearFilter="All",$E1087=YearFilter),OR(RatingFilter="All",$D1087=RatingFilter),OR(TypeFilter="All",$C1087=TypeFilter)),1,0)</f>
        <v/>
      </c>
    </row>
    <row r="1088" ht="15" customHeight="1" s="20">
      <c r="A1088" s="19" t="inlineStr">
        <is>
          <t>s4003</t>
        </is>
      </c>
      <c r="B1088" s="19" t="inlineStr">
        <is>
          <t>International Movies</t>
        </is>
      </c>
      <c r="C1088" s="19">
        <f>IFERROR(INDEX(tblNetflix[type],MATCH($A1088,tblNetflix[show_id],0)),"")</f>
        <v/>
      </c>
      <c r="D1088" s="19">
        <f>IFERROR(INDEX(tblNetflix[rating],MATCH($A1088,tblNetflix[show_id],0)),"")</f>
        <v/>
      </c>
      <c r="E1088" s="19">
        <f>IFERROR(INDEX(tblNetflix[year_added],MATCH($A1088,tblNetflix[show_id],0)),"")</f>
        <v/>
      </c>
      <c r="F1088" s="19">
        <f>IF(AND(OR(YearFilter="All",$E1088=YearFilter),OR(RatingFilter="All",$D1088=RatingFilter),OR(TypeFilter="All",$C1088=TypeFilter)),1,0)</f>
        <v/>
      </c>
    </row>
    <row r="1089" ht="15" customHeight="1" s="20">
      <c r="A1089" s="19" t="inlineStr">
        <is>
          <t>s4055</t>
        </is>
      </c>
      <c r="B1089" s="19" t="inlineStr">
        <is>
          <t>Docuseries</t>
        </is>
      </c>
      <c r="C1089" s="19">
        <f>IFERROR(INDEX(tblNetflix[type],MATCH($A1089,tblNetflix[show_id],0)),"")</f>
        <v/>
      </c>
      <c r="D1089" s="19">
        <f>IFERROR(INDEX(tblNetflix[rating],MATCH($A1089,tblNetflix[show_id],0)),"")</f>
        <v/>
      </c>
      <c r="E1089" s="19">
        <f>IFERROR(INDEX(tblNetflix[year_added],MATCH($A1089,tblNetflix[show_id],0)),"")</f>
        <v/>
      </c>
      <c r="F1089" s="19">
        <f>IF(AND(OR(YearFilter="All",$E1089=YearFilter),OR(RatingFilter="All",$D1089=RatingFilter),OR(TypeFilter="All",$C1089=TypeFilter)),1,0)</f>
        <v/>
      </c>
    </row>
    <row r="1090" ht="15" customHeight="1" s="20">
      <c r="A1090" s="19" t="inlineStr">
        <is>
          <t>s4055</t>
        </is>
      </c>
      <c r="B1090" s="19" t="inlineStr">
        <is>
          <t>International TV Shows</t>
        </is>
      </c>
      <c r="C1090" s="19">
        <f>IFERROR(INDEX(tblNetflix[type],MATCH($A1090,tblNetflix[show_id],0)),"")</f>
        <v/>
      </c>
      <c r="D1090" s="19">
        <f>IFERROR(INDEX(tblNetflix[rating],MATCH($A1090,tblNetflix[show_id],0)),"")</f>
        <v/>
      </c>
      <c r="E1090" s="19">
        <f>IFERROR(INDEX(tblNetflix[year_added],MATCH($A1090,tblNetflix[show_id],0)),"")</f>
        <v/>
      </c>
      <c r="F1090" s="19">
        <f>IF(AND(OR(YearFilter="All",$E1090=YearFilter),OR(RatingFilter="All",$D1090=RatingFilter),OR(TypeFilter="All",$C1090=TypeFilter)),1,0)</f>
        <v/>
      </c>
    </row>
    <row r="1091" ht="15" customHeight="1" s="20">
      <c r="A1091" s="19" t="inlineStr">
        <is>
          <t>s4073</t>
        </is>
      </c>
      <c r="B1091" s="19" t="inlineStr">
        <is>
          <t>Dramas</t>
        </is>
      </c>
      <c r="C1091" s="19">
        <f>IFERROR(INDEX(tblNetflix[type],MATCH($A1091,tblNetflix[show_id],0)),"")</f>
        <v/>
      </c>
      <c r="D1091" s="19">
        <f>IFERROR(INDEX(tblNetflix[rating],MATCH($A1091,tblNetflix[show_id],0)),"")</f>
        <v/>
      </c>
      <c r="E1091" s="19">
        <f>IFERROR(INDEX(tblNetflix[year_added],MATCH($A1091,tblNetflix[show_id],0)),"")</f>
        <v/>
      </c>
      <c r="F1091" s="19">
        <f>IF(AND(OR(YearFilter="All",$E1091=YearFilter),OR(RatingFilter="All",$D1091=RatingFilter),OR(TypeFilter="All",$C1091=TypeFilter)),1,0)</f>
        <v/>
      </c>
    </row>
    <row r="1092" ht="15" customHeight="1" s="20">
      <c r="A1092" s="19" t="inlineStr">
        <is>
          <t>s4073</t>
        </is>
      </c>
      <c r="B1092" s="19" t="inlineStr">
        <is>
          <t>Independent Movies</t>
        </is>
      </c>
      <c r="C1092" s="19">
        <f>IFERROR(INDEX(tblNetflix[type],MATCH($A1092,tblNetflix[show_id],0)),"")</f>
        <v/>
      </c>
      <c r="D1092" s="19">
        <f>IFERROR(INDEX(tblNetflix[rating],MATCH($A1092,tblNetflix[show_id],0)),"")</f>
        <v/>
      </c>
      <c r="E1092" s="19">
        <f>IFERROR(INDEX(tblNetflix[year_added],MATCH($A1092,tblNetflix[show_id],0)),"")</f>
        <v/>
      </c>
      <c r="F1092" s="19">
        <f>IF(AND(OR(YearFilter="All",$E1092=YearFilter),OR(RatingFilter="All",$D1092=RatingFilter),OR(TypeFilter="All",$C1092=TypeFilter)),1,0)</f>
        <v/>
      </c>
    </row>
    <row r="1093" ht="15" customHeight="1" s="20">
      <c r="A1093" s="19" t="inlineStr">
        <is>
          <t>s4073</t>
        </is>
      </c>
      <c r="B1093" s="19" t="inlineStr">
        <is>
          <t>International Movies</t>
        </is>
      </c>
      <c r="C1093" s="19">
        <f>IFERROR(INDEX(tblNetflix[type],MATCH($A1093,tblNetflix[show_id],0)),"")</f>
        <v/>
      </c>
      <c r="D1093" s="19">
        <f>IFERROR(INDEX(tblNetflix[rating],MATCH($A1093,tblNetflix[show_id],0)),"")</f>
        <v/>
      </c>
      <c r="E1093" s="19">
        <f>IFERROR(INDEX(tblNetflix[year_added],MATCH($A1093,tblNetflix[show_id],0)),"")</f>
        <v/>
      </c>
      <c r="F1093" s="19">
        <f>IF(AND(OR(YearFilter="All",$E1093=YearFilter),OR(RatingFilter="All",$D1093=RatingFilter),OR(TypeFilter="All",$C1093=TypeFilter)),1,0)</f>
        <v/>
      </c>
    </row>
    <row r="1094" ht="15" customHeight="1" s="20">
      <c r="A1094" s="19" t="inlineStr">
        <is>
          <t>s4082</t>
        </is>
      </c>
      <c r="B1094" s="19" t="inlineStr">
        <is>
          <t>Dramas</t>
        </is>
      </c>
      <c r="C1094" s="19">
        <f>IFERROR(INDEX(tblNetflix[type],MATCH($A1094,tblNetflix[show_id],0)),"")</f>
        <v/>
      </c>
      <c r="D1094" s="19">
        <f>IFERROR(INDEX(tblNetflix[rating],MATCH($A1094,tblNetflix[show_id],0)),"")</f>
        <v/>
      </c>
      <c r="E1094" s="19">
        <f>IFERROR(INDEX(tblNetflix[year_added],MATCH($A1094,tblNetflix[show_id],0)),"")</f>
        <v/>
      </c>
      <c r="F1094" s="19">
        <f>IF(AND(OR(YearFilter="All",$E1094=YearFilter),OR(RatingFilter="All",$D1094=RatingFilter),OR(TypeFilter="All",$C1094=TypeFilter)),1,0)</f>
        <v/>
      </c>
    </row>
    <row r="1095" ht="15" customHeight="1" s="20">
      <c r="A1095" s="19" t="inlineStr">
        <is>
          <t>s4082</t>
        </is>
      </c>
      <c r="B1095" s="19" t="inlineStr">
        <is>
          <t>Independent Movies</t>
        </is>
      </c>
      <c r="C1095" s="19">
        <f>IFERROR(INDEX(tblNetflix[type],MATCH($A1095,tblNetflix[show_id],0)),"")</f>
        <v/>
      </c>
      <c r="D1095" s="19">
        <f>IFERROR(INDEX(tblNetflix[rating],MATCH($A1095,tblNetflix[show_id],0)),"")</f>
        <v/>
      </c>
      <c r="E1095" s="19">
        <f>IFERROR(INDEX(tblNetflix[year_added],MATCH($A1095,tblNetflix[show_id],0)),"")</f>
        <v/>
      </c>
      <c r="F1095" s="19">
        <f>IF(AND(OR(YearFilter="All",$E1095=YearFilter),OR(RatingFilter="All",$D1095=RatingFilter),OR(TypeFilter="All",$C1095=TypeFilter)),1,0)</f>
        <v/>
      </c>
    </row>
    <row r="1096" ht="15" customHeight="1" s="20">
      <c r="A1096" s="19" t="inlineStr">
        <is>
          <t>s4082</t>
        </is>
      </c>
      <c r="B1096" s="19" t="inlineStr">
        <is>
          <t>International Movies</t>
        </is>
      </c>
      <c r="C1096" s="19">
        <f>IFERROR(INDEX(tblNetflix[type],MATCH($A1096,tblNetflix[show_id],0)),"")</f>
        <v/>
      </c>
      <c r="D1096" s="19">
        <f>IFERROR(INDEX(tblNetflix[rating],MATCH($A1096,tblNetflix[show_id],0)),"")</f>
        <v/>
      </c>
      <c r="E1096" s="19">
        <f>IFERROR(INDEX(tblNetflix[year_added],MATCH($A1096,tblNetflix[show_id],0)),"")</f>
        <v/>
      </c>
      <c r="F1096" s="19">
        <f>IF(AND(OR(YearFilter="All",$E1096=YearFilter),OR(RatingFilter="All",$D1096=RatingFilter),OR(TypeFilter="All",$C1096=TypeFilter)),1,0)</f>
        <v/>
      </c>
    </row>
    <row r="1097" ht="15" customHeight="1" s="20">
      <c r="A1097" s="19" t="inlineStr">
        <is>
          <t>s4086</t>
        </is>
      </c>
      <c r="B1097" s="19" t="inlineStr">
        <is>
          <t>Dramas</t>
        </is>
      </c>
      <c r="C1097" s="19">
        <f>IFERROR(INDEX(tblNetflix[type],MATCH($A1097,tblNetflix[show_id],0)),"")</f>
        <v/>
      </c>
      <c r="D1097" s="19">
        <f>IFERROR(INDEX(tblNetflix[rating],MATCH($A1097,tblNetflix[show_id],0)),"")</f>
        <v/>
      </c>
      <c r="E1097" s="19">
        <f>IFERROR(INDEX(tblNetflix[year_added],MATCH($A1097,tblNetflix[show_id],0)),"")</f>
        <v/>
      </c>
      <c r="F1097" s="19">
        <f>IF(AND(OR(YearFilter="All",$E1097=YearFilter),OR(RatingFilter="All",$D1097=RatingFilter),OR(TypeFilter="All",$C1097=TypeFilter)),1,0)</f>
        <v/>
      </c>
    </row>
    <row r="1098" ht="15" customHeight="1" s="20">
      <c r="A1098" s="19" t="inlineStr">
        <is>
          <t>s4086</t>
        </is>
      </c>
      <c r="B1098" s="19" t="inlineStr">
        <is>
          <t>International Movies</t>
        </is>
      </c>
      <c r="C1098" s="19">
        <f>IFERROR(INDEX(tblNetflix[type],MATCH($A1098,tblNetflix[show_id],0)),"")</f>
        <v/>
      </c>
      <c r="D1098" s="19">
        <f>IFERROR(INDEX(tblNetflix[rating],MATCH($A1098,tblNetflix[show_id],0)),"")</f>
        <v/>
      </c>
      <c r="E1098" s="19">
        <f>IFERROR(INDEX(tblNetflix[year_added],MATCH($A1098,tblNetflix[show_id],0)),"")</f>
        <v/>
      </c>
      <c r="F1098" s="19">
        <f>IF(AND(OR(YearFilter="All",$E1098=YearFilter),OR(RatingFilter="All",$D1098=RatingFilter),OR(TypeFilter="All",$C1098=TypeFilter)),1,0)</f>
        <v/>
      </c>
    </row>
    <row r="1099" ht="15" customHeight="1" s="20">
      <c r="A1099" s="19" t="inlineStr">
        <is>
          <t>s4089</t>
        </is>
      </c>
      <c r="B1099" s="19" t="inlineStr">
        <is>
          <t>Dramas</t>
        </is>
      </c>
      <c r="C1099" s="19">
        <f>IFERROR(INDEX(tblNetflix[type],MATCH($A1099,tblNetflix[show_id],0)),"")</f>
        <v/>
      </c>
      <c r="D1099" s="19">
        <f>IFERROR(INDEX(tblNetflix[rating],MATCH($A1099,tblNetflix[show_id],0)),"")</f>
        <v/>
      </c>
      <c r="E1099" s="19">
        <f>IFERROR(INDEX(tblNetflix[year_added],MATCH($A1099,tblNetflix[show_id],0)),"")</f>
        <v/>
      </c>
      <c r="F1099" s="19">
        <f>IF(AND(OR(YearFilter="All",$E1099=YearFilter),OR(RatingFilter="All",$D1099=RatingFilter),OR(TypeFilter="All",$C1099=TypeFilter)),1,0)</f>
        <v/>
      </c>
    </row>
    <row r="1100" ht="15" customHeight="1" s="20">
      <c r="A1100" s="19" t="inlineStr">
        <is>
          <t>s4089</t>
        </is>
      </c>
      <c r="B1100" s="19" t="inlineStr">
        <is>
          <t>Independent Movies</t>
        </is>
      </c>
      <c r="C1100" s="19">
        <f>IFERROR(INDEX(tblNetflix[type],MATCH($A1100,tblNetflix[show_id],0)),"")</f>
        <v/>
      </c>
      <c r="D1100" s="19">
        <f>IFERROR(INDEX(tblNetflix[rating],MATCH($A1100,tblNetflix[show_id],0)),"")</f>
        <v/>
      </c>
      <c r="E1100" s="19">
        <f>IFERROR(INDEX(tblNetflix[year_added],MATCH($A1100,tblNetflix[show_id],0)),"")</f>
        <v/>
      </c>
      <c r="F1100" s="19">
        <f>IF(AND(OR(YearFilter="All",$E1100=YearFilter),OR(RatingFilter="All",$D1100=RatingFilter),OR(TypeFilter="All",$C1100=TypeFilter)),1,0)</f>
        <v/>
      </c>
    </row>
    <row r="1101" ht="15" customHeight="1" s="20">
      <c r="A1101" s="19" t="inlineStr">
        <is>
          <t>s4089</t>
        </is>
      </c>
      <c r="B1101" s="19" t="inlineStr">
        <is>
          <t>International Movies</t>
        </is>
      </c>
      <c r="C1101" s="19">
        <f>IFERROR(INDEX(tblNetflix[type],MATCH($A1101,tblNetflix[show_id],0)),"")</f>
        <v/>
      </c>
      <c r="D1101" s="19">
        <f>IFERROR(INDEX(tblNetflix[rating],MATCH($A1101,tblNetflix[show_id],0)),"")</f>
        <v/>
      </c>
      <c r="E1101" s="19">
        <f>IFERROR(INDEX(tblNetflix[year_added],MATCH($A1101,tblNetflix[show_id],0)),"")</f>
        <v/>
      </c>
      <c r="F1101" s="19">
        <f>IF(AND(OR(YearFilter="All",$E1101=YearFilter),OR(RatingFilter="All",$D1101=RatingFilter),OR(TypeFilter="All",$C1101=TypeFilter)),1,0)</f>
        <v/>
      </c>
    </row>
    <row r="1102" ht="15" customHeight="1" s="20">
      <c r="A1102" s="19" t="inlineStr">
        <is>
          <t>s4095</t>
        </is>
      </c>
      <c r="B1102" s="19" t="inlineStr">
        <is>
          <t>Dramas</t>
        </is>
      </c>
      <c r="C1102" s="19">
        <f>IFERROR(INDEX(tblNetflix[type],MATCH($A1102,tblNetflix[show_id],0)),"")</f>
        <v/>
      </c>
      <c r="D1102" s="19">
        <f>IFERROR(INDEX(tblNetflix[rating],MATCH($A1102,tblNetflix[show_id],0)),"")</f>
        <v/>
      </c>
      <c r="E1102" s="19">
        <f>IFERROR(INDEX(tblNetflix[year_added],MATCH($A1102,tblNetflix[show_id],0)),"")</f>
        <v/>
      </c>
      <c r="F1102" s="19">
        <f>IF(AND(OR(YearFilter="All",$E1102=YearFilter),OR(RatingFilter="All",$D1102=RatingFilter),OR(TypeFilter="All",$C1102=TypeFilter)),1,0)</f>
        <v/>
      </c>
    </row>
    <row r="1103" ht="15" customHeight="1" s="20">
      <c r="A1103" s="19" t="inlineStr">
        <is>
          <t>s4095</t>
        </is>
      </c>
      <c r="B1103" s="19" t="inlineStr">
        <is>
          <t>Independent Movies</t>
        </is>
      </c>
      <c r="C1103" s="19">
        <f>IFERROR(INDEX(tblNetflix[type],MATCH($A1103,tblNetflix[show_id],0)),"")</f>
        <v/>
      </c>
      <c r="D1103" s="19">
        <f>IFERROR(INDEX(tblNetflix[rating],MATCH($A1103,tblNetflix[show_id],0)),"")</f>
        <v/>
      </c>
      <c r="E1103" s="19">
        <f>IFERROR(INDEX(tblNetflix[year_added],MATCH($A1103,tblNetflix[show_id],0)),"")</f>
        <v/>
      </c>
      <c r="F1103" s="19">
        <f>IF(AND(OR(YearFilter="All",$E1103=YearFilter),OR(RatingFilter="All",$D1103=RatingFilter),OR(TypeFilter="All",$C1103=TypeFilter)),1,0)</f>
        <v/>
      </c>
    </row>
    <row r="1104" ht="15" customHeight="1" s="20">
      <c r="A1104" s="19" t="inlineStr">
        <is>
          <t>s4095</t>
        </is>
      </c>
      <c r="B1104" s="19" t="inlineStr">
        <is>
          <t>International Movies</t>
        </is>
      </c>
      <c r="C1104" s="19">
        <f>IFERROR(INDEX(tblNetflix[type],MATCH($A1104,tblNetflix[show_id],0)),"")</f>
        <v/>
      </c>
      <c r="D1104" s="19">
        <f>IFERROR(INDEX(tblNetflix[rating],MATCH($A1104,tblNetflix[show_id],0)),"")</f>
        <v/>
      </c>
      <c r="E1104" s="19">
        <f>IFERROR(INDEX(tblNetflix[year_added],MATCH($A1104,tblNetflix[show_id],0)),"")</f>
        <v/>
      </c>
      <c r="F1104" s="19">
        <f>IF(AND(OR(YearFilter="All",$E1104=YearFilter),OR(RatingFilter="All",$D1104=RatingFilter),OR(TypeFilter="All",$C1104=TypeFilter)),1,0)</f>
        <v/>
      </c>
    </row>
    <row r="1105" ht="15" customHeight="1" s="20">
      <c r="A1105" s="19" t="inlineStr">
        <is>
          <t>s4098</t>
        </is>
      </c>
      <c r="B1105" s="19" t="inlineStr">
        <is>
          <t>Dramas</t>
        </is>
      </c>
      <c r="C1105" s="19">
        <f>IFERROR(INDEX(tblNetflix[type],MATCH($A1105,tblNetflix[show_id],0)),"")</f>
        <v/>
      </c>
      <c r="D1105" s="19">
        <f>IFERROR(INDEX(tblNetflix[rating],MATCH($A1105,tblNetflix[show_id],0)),"")</f>
        <v/>
      </c>
      <c r="E1105" s="19">
        <f>IFERROR(INDEX(tblNetflix[year_added],MATCH($A1105,tblNetflix[show_id],0)),"")</f>
        <v/>
      </c>
      <c r="F1105" s="19">
        <f>IF(AND(OR(YearFilter="All",$E1105=YearFilter),OR(RatingFilter="All",$D1105=RatingFilter),OR(TypeFilter="All",$C1105=TypeFilter)),1,0)</f>
        <v/>
      </c>
    </row>
    <row r="1106" ht="15" customHeight="1" s="20">
      <c r="A1106" s="19" t="inlineStr">
        <is>
          <t>s4098</t>
        </is>
      </c>
      <c r="B1106" s="19" t="inlineStr">
        <is>
          <t>International Movies</t>
        </is>
      </c>
      <c r="C1106" s="19">
        <f>IFERROR(INDEX(tblNetflix[type],MATCH($A1106,tblNetflix[show_id],0)),"")</f>
        <v/>
      </c>
      <c r="D1106" s="19">
        <f>IFERROR(INDEX(tblNetflix[rating],MATCH($A1106,tblNetflix[show_id],0)),"")</f>
        <v/>
      </c>
      <c r="E1106" s="19">
        <f>IFERROR(INDEX(tblNetflix[year_added],MATCH($A1106,tblNetflix[show_id],0)),"")</f>
        <v/>
      </c>
      <c r="F1106" s="19">
        <f>IF(AND(OR(YearFilter="All",$E1106=YearFilter),OR(RatingFilter="All",$D1106=RatingFilter),OR(TypeFilter="All",$C1106=TypeFilter)),1,0)</f>
        <v/>
      </c>
    </row>
    <row r="1107" ht="15" customHeight="1" s="20">
      <c r="A1107" s="19" t="inlineStr">
        <is>
          <t>s4098</t>
        </is>
      </c>
      <c r="B1107" s="19" t="inlineStr">
        <is>
          <t>Sci-Fi &amp; Fantasy</t>
        </is>
      </c>
      <c r="C1107" s="19">
        <f>IFERROR(INDEX(tblNetflix[type],MATCH($A1107,tblNetflix[show_id],0)),"")</f>
        <v/>
      </c>
      <c r="D1107" s="19">
        <f>IFERROR(INDEX(tblNetflix[rating],MATCH($A1107,tblNetflix[show_id],0)),"")</f>
        <v/>
      </c>
      <c r="E1107" s="19">
        <f>IFERROR(INDEX(tblNetflix[year_added],MATCH($A1107,tblNetflix[show_id],0)),"")</f>
        <v/>
      </c>
      <c r="F1107" s="19">
        <f>IF(AND(OR(YearFilter="All",$E1107=YearFilter),OR(RatingFilter="All",$D1107=RatingFilter),OR(TypeFilter="All",$C1107=TypeFilter)),1,0)</f>
        <v/>
      </c>
    </row>
    <row r="1108" ht="15" customHeight="1" s="20">
      <c r="A1108" s="19" t="inlineStr">
        <is>
          <t>s4099</t>
        </is>
      </c>
      <c r="B1108" s="19" t="inlineStr">
        <is>
          <t>Dramas</t>
        </is>
      </c>
      <c r="C1108" s="19">
        <f>IFERROR(INDEX(tblNetflix[type],MATCH($A1108,tblNetflix[show_id],0)),"")</f>
        <v/>
      </c>
      <c r="D1108" s="19">
        <f>IFERROR(INDEX(tblNetflix[rating],MATCH($A1108,tblNetflix[show_id],0)),"")</f>
        <v/>
      </c>
      <c r="E1108" s="19">
        <f>IFERROR(INDEX(tblNetflix[year_added],MATCH($A1108,tblNetflix[show_id],0)),"")</f>
        <v/>
      </c>
      <c r="F1108" s="19">
        <f>IF(AND(OR(YearFilter="All",$E1108=YearFilter),OR(RatingFilter="All",$D1108=RatingFilter),OR(TypeFilter="All",$C1108=TypeFilter)),1,0)</f>
        <v/>
      </c>
    </row>
    <row r="1109" ht="15" customHeight="1" s="20">
      <c r="A1109" s="19" t="inlineStr">
        <is>
          <t>s4099</t>
        </is>
      </c>
      <c r="B1109" s="19" t="inlineStr">
        <is>
          <t>Independent Movies</t>
        </is>
      </c>
      <c r="C1109" s="19">
        <f>IFERROR(INDEX(tblNetflix[type],MATCH($A1109,tblNetflix[show_id],0)),"")</f>
        <v/>
      </c>
      <c r="D1109" s="19">
        <f>IFERROR(INDEX(tblNetflix[rating],MATCH($A1109,tblNetflix[show_id],0)),"")</f>
        <v/>
      </c>
      <c r="E1109" s="19">
        <f>IFERROR(INDEX(tblNetflix[year_added],MATCH($A1109,tblNetflix[show_id],0)),"")</f>
        <v/>
      </c>
      <c r="F1109" s="19">
        <f>IF(AND(OR(YearFilter="All",$E1109=YearFilter),OR(RatingFilter="All",$D1109=RatingFilter),OR(TypeFilter="All",$C1109=TypeFilter)),1,0)</f>
        <v/>
      </c>
    </row>
    <row r="1110" ht="15" customHeight="1" s="20">
      <c r="A1110" s="19" t="inlineStr">
        <is>
          <t>s4099</t>
        </is>
      </c>
      <c r="B1110" s="19" t="inlineStr">
        <is>
          <t>International Movies</t>
        </is>
      </c>
      <c r="C1110" s="19">
        <f>IFERROR(INDEX(tblNetflix[type],MATCH($A1110,tblNetflix[show_id],0)),"")</f>
        <v/>
      </c>
      <c r="D1110" s="19">
        <f>IFERROR(INDEX(tblNetflix[rating],MATCH($A1110,tblNetflix[show_id],0)),"")</f>
        <v/>
      </c>
      <c r="E1110" s="19">
        <f>IFERROR(INDEX(tblNetflix[year_added],MATCH($A1110,tblNetflix[show_id],0)),"")</f>
        <v/>
      </c>
      <c r="F1110" s="19">
        <f>IF(AND(OR(YearFilter="All",$E1110=YearFilter),OR(RatingFilter="All",$D1110=RatingFilter),OR(TypeFilter="All",$C1110=TypeFilter)),1,0)</f>
        <v/>
      </c>
    </row>
    <row r="1111" ht="15" customHeight="1" s="20">
      <c r="A1111" s="19" t="inlineStr">
        <is>
          <t>s4102</t>
        </is>
      </c>
      <c r="B1111" s="19" t="inlineStr">
        <is>
          <t>Dramas</t>
        </is>
      </c>
      <c r="C1111" s="19">
        <f>IFERROR(INDEX(tblNetflix[type],MATCH($A1111,tblNetflix[show_id],0)),"")</f>
        <v/>
      </c>
      <c r="D1111" s="19">
        <f>IFERROR(INDEX(tblNetflix[rating],MATCH($A1111,tblNetflix[show_id],0)),"")</f>
        <v/>
      </c>
      <c r="E1111" s="19">
        <f>IFERROR(INDEX(tblNetflix[year_added],MATCH($A1111,tblNetflix[show_id],0)),"")</f>
        <v/>
      </c>
      <c r="F1111" s="19">
        <f>IF(AND(OR(YearFilter="All",$E1111=YearFilter),OR(RatingFilter="All",$D1111=RatingFilter),OR(TypeFilter="All",$C1111=TypeFilter)),1,0)</f>
        <v/>
      </c>
    </row>
    <row r="1112" ht="15" customHeight="1" s="20">
      <c r="A1112" s="19" t="inlineStr">
        <is>
          <t>s4102</t>
        </is>
      </c>
      <c r="B1112" s="19" t="inlineStr">
        <is>
          <t>Independent Movies</t>
        </is>
      </c>
      <c r="C1112" s="19">
        <f>IFERROR(INDEX(tblNetflix[type],MATCH($A1112,tblNetflix[show_id],0)),"")</f>
        <v/>
      </c>
      <c r="D1112" s="19">
        <f>IFERROR(INDEX(tblNetflix[rating],MATCH($A1112,tblNetflix[show_id],0)),"")</f>
        <v/>
      </c>
      <c r="E1112" s="19">
        <f>IFERROR(INDEX(tblNetflix[year_added],MATCH($A1112,tblNetflix[show_id],0)),"")</f>
        <v/>
      </c>
      <c r="F1112" s="19">
        <f>IF(AND(OR(YearFilter="All",$E1112=YearFilter),OR(RatingFilter="All",$D1112=RatingFilter),OR(TypeFilter="All",$C1112=TypeFilter)),1,0)</f>
        <v/>
      </c>
    </row>
    <row r="1113" ht="15" customHeight="1" s="20">
      <c r="A1113" s="19" t="inlineStr">
        <is>
          <t>s4102</t>
        </is>
      </c>
      <c r="B1113" s="19" t="inlineStr">
        <is>
          <t>International Movies</t>
        </is>
      </c>
      <c r="C1113" s="19">
        <f>IFERROR(INDEX(tblNetflix[type],MATCH($A1113,tblNetflix[show_id],0)),"")</f>
        <v/>
      </c>
      <c r="D1113" s="19">
        <f>IFERROR(INDEX(tblNetflix[rating],MATCH($A1113,tblNetflix[show_id],0)),"")</f>
        <v/>
      </c>
      <c r="E1113" s="19">
        <f>IFERROR(INDEX(tblNetflix[year_added],MATCH($A1113,tblNetflix[show_id],0)),"")</f>
        <v/>
      </c>
      <c r="F1113" s="19">
        <f>IF(AND(OR(YearFilter="All",$E1113=YearFilter),OR(RatingFilter="All",$D1113=RatingFilter),OR(TypeFilter="All",$C1113=TypeFilter)),1,0)</f>
        <v/>
      </c>
    </row>
    <row r="1114" ht="15" customHeight="1" s="20">
      <c r="A1114" s="19" t="inlineStr">
        <is>
          <t>s4103</t>
        </is>
      </c>
      <c r="B1114" s="19" t="inlineStr">
        <is>
          <t>Dramas</t>
        </is>
      </c>
      <c r="C1114" s="19">
        <f>IFERROR(INDEX(tblNetflix[type],MATCH($A1114,tblNetflix[show_id],0)),"")</f>
        <v/>
      </c>
      <c r="D1114" s="19">
        <f>IFERROR(INDEX(tblNetflix[rating],MATCH($A1114,tblNetflix[show_id],0)),"")</f>
        <v/>
      </c>
      <c r="E1114" s="19">
        <f>IFERROR(INDEX(tblNetflix[year_added],MATCH($A1114,tblNetflix[show_id],0)),"")</f>
        <v/>
      </c>
      <c r="F1114" s="19">
        <f>IF(AND(OR(YearFilter="All",$E1114=YearFilter),OR(RatingFilter="All",$D1114=RatingFilter),OR(TypeFilter="All",$C1114=TypeFilter)),1,0)</f>
        <v/>
      </c>
    </row>
    <row r="1115" ht="15" customHeight="1" s="20">
      <c r="A1115" s="19" t="inlineStr">
        <is>
          <t>s4103</t>
        </is>
      </c>
      <c r="B1115" s="19" t="inlineStr">
        <is>
          <t>International Movies</t>
        </is>
      </c>
      <c r="C1115" s="19">
        <f>IFERROR(INDEX(tblNetflix[type],MATCH($A1115,tblNetflix[show_id],0)),"")</f>
        <v/>
      </c>
      <c r="D1115" s="19">
        <f>IFERROR(INDEX(tblNetflix[rating],MATCH($A1115,tblNetflix[show_id],0)),"")</f>
        <v/>
      </c>
      <c r="E1115" s="19">
        <f>IFERROR(INDEX(tblNetflix[year_added],MATCH($A1115,tblNetflix[show_id],0)),"")</f>
        <v/>
      </c>
      <c r="F1115" s="19">
        <f>IF(AND(OR(YearFilter="All",$E1115=YearFilter),OR(RatingFilter="All",$D1115=RatingFilter),OR(TypeFilter="All",$C1115=TypeFilter)),1,0)</f>
        <v/>
      </c>
    </row>
    <row r="1116" ht="15" customHeight="1" s="20">
      <c r="A1116" s="19" t="inlineStr">
        <is>
          <t>s4104</t>
        </is>
      </c>
      <c r="B1116" s="19" t="inlineStr">
        <is>
          <t>Comedies</t>
        </is>
      </c>
      <c r="C1116" s="19">
        <f>IFERROR(INDEX(tblNetflix[type],MATCH($A1116,tblNetflix[show_id],0)),"")</f>
        <v/>
      </c>
      <c r="D1116" s="19">
        <f>IFERROR(INDEX(tblNetflix[rating],MATCH($A1116,tblNetflix[show_id],0)),"")</f>
        <v/>
      </c>
      <c r="E1116" s="19">
        <f>IFERROR(INDEX(tblNetflix[year_added],MATCH($A1116,tblNetflix[show_id],0)),"")</f>
        <v/>
      </c>
      <c r="F1116" s="19">
        <f>IF(AND(OR(YearFilter="All",$E1116=YearFilter),OR(RatingFilter="All",$D1116=RatingFilter),OR(TypeFilter="All",$C1116=TypeFilter)),1,0)</f>
        <v/>
      </c>
    </row>
    <row r="1117" ht="15" customHeight="1" s="20">
      <c r="A1117" s="19" t="inlineStr">
        <is>
          <t>s4104</t>
        </is>
      </c>
      <c r="B1117" s="19" t="inlineStr">
        <is>
          <t>Dramas</t>
        </is>
      </c>
      <c r="C1117" s="19">
        <f>IFERROR(INDEX(tblNetflix[type],MATCH($A1117,tblNetflix[show_id],0)),"")</f>
        <v/>
      </c>
      <c r="D1117" s="19">
        <f>IFERROR(INDEX(tblNetflix[rating],MATCH($A1117,tblNetflix[show_id],0)),"")</f>
        <v/>
      </c>
      <c r="E1117" s="19">
        <f>IFERROR(INDEX(tblNetflix[year_added],MATCH($A1117,tblNetflix[show_id],0)),"")</f>
        <v/>
      </c>
      <c r="F1117" s="19">
        <f>IF(AND(OR(YearFilter="All",$E1117=YearFilter),OR(RatingFilter="All",$D1117=RatingFilter),OR(TypeFilter="All",$C1117=TypeFilter)),1,0)</f>
        <v/>
      </c>
    </row>
    <row r="1118" ht="15" customHeight="1" s="20">
      <c r="A1118" s="19" t="inlineStr">
        <is>
          <t>s4104</t>
        </is>
      </c>
      <c r="B1118" s="19" t="inlineStr">
        <is>
          <t>International Movies</t>
        </is>
      </c>
      <c r="C1118" s="19">
        <f>IFERROR(INDEX(tblNetflix[type],MATCH($A1118,tblNetflix[show_id],0)),"")</f>
        <v/>
      </c>
      <c r="D1118" s="19">
        <f>IFERROR(INDEX(tblNetflix[rating],MATCH($A1118,tblNetflix[show_id],0)),"")</f>
        <v/>
      </c>
      <c r="E1118" s="19">
        <f>IFERROR(INDEX(tblNetflix[year_added],MATCH($A1118,tblNetflix[show_id],0)),"")</f>
        <v/>
      </c>
      <c r="F1118" s="19">
        <f>IF(AND(OR(YearFilter="All",$E1118=YearFilter),OR(RatingFilter="All",$D1118=RatingFilter),OR(TypeFilter="All",$C1118=TypeFilter)),1,0)</f>
        <v/>
      </c>
    </row>
    <row r="1119" ht="15" customHeight="1" s="20">
      <c r="A1119" s="19" t="inlineStr">
        <is>
          <t>s4107</t>
        </is>
      </c>
      <c r="B1119" s="19" t="inlineStr">
        <is>
          <t>Dramas</t>
        </is>
      </c>
      <c r="C1119" s="19">
        <f>IFERROR(INDEX(tblNetflix[type],MATCH($A1119,tblNetflix[show_id],0)),"")</f>
        <v/>
      </c>
      <c r="D1119" s="19">
        <f>IFERROR(INDEX(tblNetflix[rating],MATCH($A1119,tblNetflix[show_id],0)),"")</f>
        <v/>
      </c>
      <c r="E1119" s="19">
        <f>IFERROR(INDEX(tblNetflix[year_added],MATCH($A1119,tblNetflix[show_id],0)),"")</f>
        <v/>
      </c>
      <c r="F1119" s="19">
        <f>IF(AND(OR(YearFilter="All",$E1119=YearFilter),OR(RatingFilter="All",$D1119=RatingFilter),OR(TypeFilter="All",$C1119=TypeFilter)),1,0)</f>
        <v/>
      </c>
    </row>
    <row r="1120" ht="15" customHeight="1" s="20">
      <c r="A1120" s="19" t="inlineStr">
        <is>
          <t>s4107</t>
        </is>
      </c>
      <c r="B1120" s="19" t="inlineStr">
        <is>
          <t>International Movies</t>
        </is>
      </c>
      <c r="C1120" s="19">
        <f>IFERROR(INDEX(tblNetflix[type],MATCH($A1120,tblNetflix[show_id],0)),"")</f>
        <v/>
      </c>
      <c r="D1120" s="19">
        <f>IFERROR(INDEX(tblNetflix[rating],MATCH($A1120,tblNetflix[show_id],0)),"")</f>
        <v/>
      </c>
      <c r="E1120" s="19">
        <f>IFERROR(INDEX(tblNetflix[year_added],MATCH($A1120,tblNetflix[show_id],0)),"")</f>
        <v/>
      </c>
      <c r="F1120" s="19">
        <f>IF(AND(OR(YearFilter="All",$E1120=YearFilter),OR(RatingFilter="All",$D1120=RatingFilter),OR(TypeFilter="All",$C1120=TypeFilter)),1,0)</f>
        <v/>
      </c>
    </row>
    <row r="1121" ht="15" customHeight="1" s="20">
      <c r="A1121" s="19" t="inlineStr">
        <is>
          <t>s4107</t>
        </is>
      </c>
      <c r="B1121" s="19" t="inlineStr">
        <is>
          <t>Romantic Movies</t>
        </is>
      </c>
      <c r="C1121" s="19">
        <f>IFERROR(INDEX(tblNetflix[type],MATCH($A1121,tblNetflix[show_id],0)),"")</f>
        <v/>
      </c>
      <c r="D1121" s="19">
        <f>IFERROR(INDEX(tblNetflix[rating],MATCH($A1121,tblNetflix[show_id],0)),"")</f>
        <v/>
      </c>
      <c r="E1121" s="19">
        <f>IFERROR(INDEX(tblNetflix[year_added],MATCH($A1121,tblNetflix[show_id],0)),"")</f>
        <v/>
      </c>
      <c r="F1121" s="19">
        <f>IF(AND(OR(YearFilter="All",$E1121=YearFilter),OR(RatingFilter="All",$D1121=RatingFilter),OR(TypeFilter="All",$C1121=TypeFilter)),1,0)</f>
        <v/>
      </c>
    </row>
    <row r="1122" ht="15" customHeight="1" s="20">
      <c r="A1122" s="19" t="inlineStr">
        <is>
          <t>s4108</t>
        </is>
      </c>
      <c r="B1122" s="19" t="inlineStr">
        <is>
          <t>Comedies</t>
        </is>
      </c>
      <c r="C1122" s="19">
        <f>IFERROR(INDEX(tblNetflix[type],MATCH($A1122,tblNetflix[show_id],0)),"")</f>
        <v/>
      </c>
      <c r="D1122" s="19">
        <f>IFERROR(INDEX(tblNetflix[rating],MATCH($A1122,tblNetflix[show_id],0)),"")</f>
        <v/>
      </c>
      <c r="E1122" s="19">
        <f>IFERROR(INDEX(tblNetflix[year_added],MATCH($A1122,tblNetflix[show_id],0)),"")</f>
        <v/>
      </c>
      <c r="F1122" s="19">
        <f>IF(AND(OR(YearFilter="All",$E1122=YearFilter),OR(RatingFilter="All",$D1122=RatingFilter),OR(TypeFilter="All",$C1122=TypeFilter)),1,0)</f>
        <v/>
      </c>
    </row>
    <row r="1123" ht="15" customHeight="1" s="20">
      <c r="A1123" s="19" t="inlineStr">
        <is>
          <t>s4108</t>
        </is>
      </c>
      <c r="B1123" s="19" t="inlineStr">
        <is>
          <t>International Movies</t>
        </is>
      </c>
      <c r="C1123" s="19">
        <f>IFERROR(INDEX(tblNetflix[type],MATCH($A1123,tblNetflix[show_id],0)),"")</f>
        <v/>
      </c>
      <c r="D1123" s="19">
        <f>IFERROR(INDEX(tblNetflix[rating],MATCH($A1123,tblNetflix[show_id],0)),"")</f>
        <v/>
      </c>
      <c r="E1123" s="19">
        <f>IFERROR(INDEX(tblNetflix[year_added],MATCH($A1123,tblNetflix[show_id],0)),"")</f>
        <v/>
      </c>
      <c r="F1123" s="19">
        <f>IF(AND(OR(YearFilter="All",$E1123=YearFilter),OR(RatingFilter="All",$D1123=RatingFilter),OR(TypeFilter="All",$C1123=TypeFilter)),1,0)</f>
        <v/>
      </c>
    </row>
    <row r="1124" ht="15" customHeight="1" s="20">
      <c r="A1124" s="19" t="inlineStr">
        <is>
          <t>s4108</t>
        </is>
      </c>
      <c r="B1124" s="19" t="inlineStr">
        <is>
          <t>Romantic Movies</t>
        </is>
      </c>
      <c r="C1124" s="19">
        <f>IFERROR(INDEX(tblNetflix[type],MATCH($A1124,tblNetflix[show_id],0)),"")</f>
        <v/>
      </c>
      <c r="D1124" s="19">
        <f>IFERROR(INDEX(tblNetflix[rating],MATCH($A1124,tblNetflix[show_id],0)),"")</f>
        <v/>
      </c>
      <c r="E1124" s="19">
        <f>IFERROR(INDEX(tblNetflix[year_added],MATCH($A1124,tblNetflix[show_id],0)),"")</f>
        <v/>
      </c>
      <c r="F1124" s="19">
        <f>IF(AND(OR(YearFilter="All",$E1124=YearFilter),OR(RatingFilter="All",$D1124=RatingFilter),OR(TypeFilter="All",$C1124=TypeFilter)),1,0)</f>
        <v/>
      </c>
    </row>
    <row r="1125" ht="15" customHeight="1" s="20">
      <c r="A1125" s="19" t="inlineStr">
        <is>
          <t>s4109</t>
        </is>
      </c>
      <c r="B1125" s="19" t="inlineStr">
        <is>
          <t>Dramas</t>
        </is>
      </c>
      <c r="C1125" s="19">
        <f>IFERROR(INDEX(tblNetflix[type],MATCH($A1125,tblNetflix[show_id],0)),"")</f>
        <v/>
      </c>
      <c r="D1125" s="19">
        <f>IFERROR(INDEX(tblNetflix[rating],MATCH($A1125,tblNetflix[show_id],0)),"")</f>
        <v/>
      </c>
      <c r="E1125" s="19">
        <f>IFERROR(INDEX(tblNetflix[year_added],MATCH($A1125,tblNetflix[show_id],0)),"")</f>
        <v/>
      </c>
      <c r="F1125" s="19">
        <f>IF(AND(OR(YearFilter="All",$E1125=YearFilter),OR(RatingFilter="All",$D1125=RatingFilter),OR(TypeFilter="All",$C1125=TypeFilter)),1,0)</f>
        <v/>
      </c>
    </row>
    <row r="1126" ht="15" customHeight="1" s="20">
      <c r="A1126" s="19" t="inlineStr">
        <is>
          <t>s4109</t>
        </is>
      </c>
      <c r="B1126" s="19" t="inlineStr">
        <is>
          <t>International Movies</t>
        </is>
      </c>
      <c r="C1126" s="19">
        <f>IFERROR(INDEX(tblNetflix[type],MATCH($A1126,tblNetflix[show_id],0)),"")</f>
        <v/>
      </c>
      <c r="D1126" s="19">
        <f>IFERROR(INDEX(tblNetflix[rating],MATCH($A1126,tblNetflix[show_id],0)),"")</f>
        <v/>
      </c>
      <c r="E1126" s="19">
        <f>IFERROR(INDEX(tblNetflix[year_added],MATCH($A1126,tblNetflix[show_id],0)),"")</f>
        <v/>
      </c>
      <c r="F1126" s="19">
        <f>IF(AND(OR(YearFilter="All",$E1126=YearFilter),OR(RatingFilter="All",$D1126=RatingFilter),OR(TypeFilter="All",$C1126=TypeFilter)),1,0)</f>
        <v/>
      </c>
    </row>
    <row r="1127" ht="15" customHeight="1" s="20">
      <c r="A1127" s="19" t="inlineStr">
        <is>
          <t>s4113</t>
        </is>
      </c>
      <c r="B1127" s="19" t="inlineStr">
        <is>
          <t>Comedies</t>
        </is>
      </c>
      <c r="C1127" s="19">
        <f>IFERROR(INDEX(tblNetflix[type],MATCH($A1127,tblNetflix[show_id],0)),"")</f>
        <v/>
      </c>
      <c r="D1127" s="19">
        <f>IFERROR(INDEX(tblNetflix[rating],MATCH($A1127,tblNetflix[show_id],0)),"")</f>
        <v/>
      </c>
      <c r="E1127" s="19">
        <f>IFERROR(INDEX(tblNetflix[year_added],MATCH($A1127,tblNetflix[show_id],0)),"")</f>
        <v/>
      </c>
      <c r="F1127" s="19">
        <f>IF(AND(OR(YearFilter="All",$E1127=YearFilter),OR(RatingFilter="All",$D1127=RatingFilter),OR(TypeFilter="All",$C1127=TypeFilter)),1,0)</f>
        <v/>
      </c>
    </row>
    <row r="1128" ht="15" customHeight="1" s="20">
      <c r="A1128" s="19" t="inlineStr">
        <is>
          <t>s4113</t>
        </is>
      </c>
      <c r="B1128" s="19" t="inlineStr">
        <is>
          <t>International Movies</t>
        </is>
      </c>
      <c r="C1128" s="19">
        <f>IFERROR(INDEX(tblNetflix[type],MATCH($A1128,tblNetflix[show_id],0)),"")</f>
        <v/>
      </c>
      <c r="D1128" s="19">
        <f>IFERROR(INDEX(tblNetflix[rating],MATCH($A1128,tblNetflix[show_id],0)),"")</f>
        <v/>
      </c>
      <c r="E1128" s="19">
        <f>IFERROR(INDEX(tblNetflix[year_added],MATCH($A1128,tblNetflix[show_id],0)),"")</f>
        <v/>
      </c>
      <c r="F1128" s="19">
        <f>IF(AND(OR(YearFilter="All",$E1128=YearFilter),OR(RatingFilter="All",$D1128=RatingFilter),OR(TypeFilter="All",$C1128=TypeFilter)),1,0)</f>
        <v/>
      </c>
    </row>
    <row r="1129" ht="15" customHeight="1" s="20">
      <c r="A1129" s="19" t="inlineStr">
        <is>
          <t>s4113</t>
        </is>
      </c>
      <c r="B1129" s="19" t="inlineStr">
        <is>
          <t>Romantic Movies</t>
        </is>
      </c>
      <c r="C1129" s="19">
        <f>IFERROR(INDEX(tblNetflix[type],MATCH($A1129,tblNetflix[show_id],0)),"")</f>
        <v/>
      </c>
      <c r="D1129" s="19">
        <f>IFERROR(INDEX(tblNetflix[rating],MATCH($A1129,tblNetflix[show_id],0)),"")</f>
        <v/>
      </c>
      <c r="E1129" s="19">
        <f>IFERROR(INDEX(tblNetflix[year_added],MATCH($A1129,tblNetflix[show_id],0)),"")</f>
        <v/>
      </c>
      <c r="F1129" s="19">
        <f>IF(AND(OR(YearFilter="All",$E1129=YearFilter),OR(RatingFilter="All",$D1129=RatingFilter),OR(TypeFilter="All",$C1129=TypeFilter)),1,0)</f>
        <v/>
      </c>
    </row>
    <row r="1130" ht="15" customHeight="1" s="20">
      <c r="A1130" s="19" t="inlineStr">
        <is>
          <t>s4135</t>
        </is>
      </c>
      <c r="B1130" s="19" t="inlineStr">
        <is>
          <t>Dramas</t>
        </is>
      </c>
      <c r="C1130" s="19">
        <f>IFERROR(INDEX(tblNetflix[type],MATCH($A1130,tblNetflix[show_id],0)),"")</f>
        <v/>
      </c>
      <c r="D1130" s="19">
        <f>IFERROR(INDEX(tblNetflix[rating],MATCH($A1130,tblNetflix[show_id],0)),"")</f>
        <v/>
      </c>
      <c r="E1130" s="19">
        <f>IFERROR(INDEX(tblNetflix[year_added],MATCH($A1130,tblNetflix[show_id],0)),"")</f>
        <v/>
      </c>
      <c r="F1130" s="19">
        <f>IF(AND(OR(YearFilter="All",$E1130=YearFilter),OR(RatingFilter="All",$D1130=RatingFilter),OR(TypeFilter="All",$C1130=TypeFilter)),1,0)</f>
        <v/>
      </c>
    </row>
    <row r="1131" ht="15" customHeight="1" s="20">
      <c r="A1131" s="19" t="inlineStr">
        <is>
          <t>s4135</t>
        </is>
      </c>
      <c r="B1131" s="19" t="inlineStr">
        <is>
          <t>Independent Movies</t>
        </is>
      </c>
      <c r="C1131" s="19">
        <f>IFERROR(INDEX(tblNetflix[type],MATCH($A1131,tblNetflix[show_id],0)),"")</f>
        <v/>
      </c>
      <c r="D1131" s="19">
        <f>IFERROR(INDEX(tblNetflix[rating],MATCH($A1131,tblNetflix[show_id],0)),"")</f>
        <v/>
      </c>
      <c r="E1131" s="19">
        <f>IFERROR(INDEX(tblNetflix[year_added],MATCH($A1131,tblNetflix[show_id],0)),"")</f>
        <v/>
      </c>
      <c r="F1131" s="19">
        <f>IF(AND(OR(YearFilter="All",$E1131=YearFilter),OR(RatingFilter="All",$D1131=RatingFilter),OR(TypeFilter="All",$C1131=TypeFilter)),1,0)</f>
        <v/>
      </c>
    </row>
    <row r="1132" ht="15" customHeight="1" s="20">
      <c r="A1132" s="19" t="inlineStr">
        <is>
          <t>s4135</t>
        </is>
      </c>
      <c r="B1132" s="19" t="inlineStr">
        <is>
          <t>International Movies</t>
        </is>
      </c>
      <c r="C1132" s="19">
        <f>IFERROR(INDEX(tblNetflix[type],MATCH($A1132,tblNetflix[show_id],0)),"")</f>
        <v/>
      </c>
      <c r="D1132" s="19">
        <f>IFERROR(INDEX(tblNetflix[rating],MATCH($A1132,tblNetflix[show_id],0)),"")</f>
        <v/>
      </c>
      <c r="E1132" s="19">
        <f>IFERROR(INDEX(tblNetflix[year_added],MATCH($A1132,tblNetflix[show_id],0)),"")</f>
        <v/>
      </c>
      <c r="F1132" s="19">
        <f>IF(AND(OR(YearFilter="All",$E1132=YearFilter),OR(RatingFilter="All",$D1132=RatingFilter),OR(TypeFilter="All",$C1132=TypeFilter)),1,0)</f>
        <v/>
      </c>
    </row>
    <row r="1133" ht="15" customHeight="1" s="20">
      <c r="A1133" s="19" t="inlineStr">
        <is>
          <t>s4152</t>
        </is>
      </c>
      <c r="B1133" s="19" t="inlineStr">
        <is>
          <t>Dramas</t>
        </is>
      </c>
      <c r="C1133" s="19">
        <f>IFERROR(INDEX(tblNetflix[type],MATCH($A1133,tblNetflix[show_id],0)),"")</f>
        <v/>
      </c>
      <c r="D1133" s="19">
        <f>IFERROR(INDEX(tblNetflix[rating],MATCH($A1133,tblNetflix[show_id],0)),"")</f>
        <v/>
      </c>
      <c r="E1133" s="19">
        <f>IFERROR(INDEX(tblNetflix[year_added],MATCH($A1133,tblNetflix[show_id],0)),"")</f>
        <v/>
      </c>
      <c r="F1133" s="19">
        <f>IF(AND(OR(YearFilter="All",$E1133=YearFilter),OR(RatingFilter="All",$D1133=RatingFilter),OR(TypeFilter="All",$C1133=TypeFilter)),1,0)</f>
        <v/>
      </c>
    </row>
    <row r="1134" ht="15" customHeight="1" s="20">
      <c r="A1134" s="19" t="inlineStr">
        <is>
          <t>s4152</t>
        </is>
      </c>
      <c r="B1134" s="19" t="inlineStr">
        <is>
          <t>International Movies</t>
        </is>
      </c>
      <c r="C1134" s="19">
        <f>IFERROR(INDEX(tblNetflix[type],MATCH($A1134,tblNetflix[show_id],0)),"")</f>
        <v/>
      </c>
      <c r="D1134" s="19">
        <f>IFERROR(INDEX(tblNetflix[rating],MATCH($A1134,tblNetflix[show_id],0)),"")</f>
        <v/>
      </c>
      <c r="E1134" s="19">
        <f>IFERROR(INDEX(tblNetflix[year_added],MATCH($A1134,tblNetflix[show_id],0)),"")</f>
        <v/>
      </c>
      <c r="F1134" s="19">
        <f>IF(AND(OR(YearFilter="All",$E1134=YearFilter),OR(RatingFilter="All",$D1134=RatingFilter),OR(TypeFilter="All",$C1134=TypeFilter)),1,0)</f>
        <v/>
      </c>
    </row>
    <row r="1135" ht="15" customHeight="1" s="20">
      <c r="A1135" s="19" t="inlineStr">
        <is>
          <t>s4152</t>
        </is>
      </c>
      <c r="B1135" s="19" t="inlineStr">
        <is>
          <t>Music &amp; Musicals</t>
        </is>
      </c>
      <c r="C1135" s="19">
        <f>IFERROR(INDEX(tblNetflix[type],MATCH($A1135,tblNetflix[show_id],0)),"")</f>
        <v/>
      </c>
      <c r="D1135" s="19">
        <f>IFERROR(INDEX(tblNetflix[rating],MATCH($A1135,tblNetflix[show_id],0)),"")</f>
        <v/>
      </c>
      <c r="E1135" s="19">
        <f>IFERROR(INDEX(tblNetflix[year_added],MATCH($A1135,tblNetflix[show_id],0)),"")</f>
        <v/>
      </c>
      <c r="F1135" s="19">
        <f>IF(AND(OR(YearFilter="All",$E1135=YearFilter),OR(RatingFilter="All",$D1135=RatingFilter),OR(TypeFilter="All",$C1135=TypeFilter)),1,0)</f>
        <v/>
      </c>
    </row>
    <row r="1136" ht="15" customHeight="1" s="20">
      <c r="A1136" s="19" t="inlineStr">
        <is>
          <t>s4153</t>
        </is>
      </c>
      <c r="B1136" s="19" t="inlineStr">
        <is>
          <t>Dramas</t>
        </is>
      </c>
      <c r="C1136" s="19">
        <f>IFERROR(INDEX(tblNetflix[type],MATCH($A1136,tblNetflix[show_id],0)),"")</f>
        <v/>
      </c>
      <c r="D1136" s="19">
        <f>IFERROR(INDEX(tblNetflix[rating],MATCH($A1136,tblNetflix[show_id],0)),"")</f>
        <v/>
      </c>
      <c r="E1136" s="19">
        <f>IFERROR(INDEX(tblNetflix[year_added],MATCH($A1136,tblNetflix[show_id],0)),"")</f>
        <v/>
      </c>
      <c r="F1136" s="19">
        <f>IF(AND(OR(YearFilter="All",$E1136=YearFilter),OR(RatingFilter="All",$D1136=RatingFilter),OR(TypeFilter="All",$C1136=TypeFilter)),1,0)</f>
        <v/>
      </c>
    </row>
    <row r="1137" ht="15" customHeight="1" s="20">
      <c r="A1137" s="19" t="inlineStr">
        <is>
          <t>s4153</t>
        </is>
      </c>
      <c r="B1137" s="19" t="inlineStr">
        <is>
          <t>Independent Movies</t>
        </is>
      </c>
      <c r="C1137" s="19">
        <f>IFERROR(INDEX(tblNetflix[type],MATCH($A1137,tblNetflix[show_id],0)),"")</f>
        <v/>
      </c>
      <c r="D1137" s="19">
        <f>IFERROR(INDEX(tblNetflix[rating],MATCH($A1137,tblNetflix[show_id],0)),"")</f>
        <v/>
      </c>
      <c r="E1137" s="19">
        <f>IFERROR(INDEX(tblNetflix[year_added],MATCH($A1137,tblNetflix[show_id],0)),"")</f>
        <v/>
      </c>
      <c r="F1137" s="19">
        <f>IF(AND(OR(YearFilter="All",$E1137=YearFilter),OR(RatingFilter="All",$D1137=RatingFilter),OR(TypeFilter="All",$C1137=TypeFilter)),1,0)</f>
        <v/>
      </c>
    </row>
    <row r="1138" ht="15" customHeight="1" s="20">
      <c r="A1138" s="19" t="inlineStr">
        <is>
          <t>s4153</t>
        </is>
      </c>
      <c r="B1138" s="19" t="inlineStr">
        <is>
          <t>International Movies</t>
        </is>
      </c>
      <c r="C1138" s="19">
        <f>IFERROR(INDEX(tblNetflix[type],MATCH($A1138,tblNetflix[show_id],0)),"")</f>
        <v/>
      </c>
      <c r="D1138" s="19">
        <f>IFERROR(INDEX(tblNetflix[rating],MATCH($A1138,tblNetflix[show_id],0)),"")</f>
        <v/>
      </c>
      <c r="E1138" s="19">
        <f>IFERROR(INDEX(tblNetflix[year_added],MATCH($A1138,tblNetflix[show_id],0)),"")</f>
        <v/>
      </c>
      <c r="F1138" s="19">
        <f>IF(AND(OR(YearFilter="All",$E1138=YearFilter),OR(RatingFilter="All",$D1138=RatingFilter),OR(TypeFilter="All",$C1138=TypeFilter)),1,0)</f>
        <v/>
      </c>
    </row>
    <row r="1139" ht="15" customHeight="1" s="20">
      <c r="A1139" s="19" t="inlineStr">
        <is>
          <t>s4159</t>
        </is>
      </c>
      <c r="B1139" s="19" t="inlineStr">
        <is>
          <t>Dramas</t>
        </is>
      </c>
      <c r="C1139" s="19">
        <f>IFERROR(INDEX(tblNetflix[type],MATCH($A1139,tblNetflix[show_id],0)),"")</f>
        <v/>
      </c>
      <c r="D1139" s="19">
        <f>IFERROR(INDEX(tblNetflix[rating],MATCH($A1139,tblNetflix[show_id],0)),"")</f>
        <v/>
      </c>
      <c r="E1139" s="19">
        <f>IFERROR(INDEX(tblNetflix[year_added],MATCH($A1139,tblNetflix[show_id],0)),"")</f>
        <v/>
      </c>
      <c r="F1139" s="19">
        <f>IF(AND(OR(YearFilter="All",$E1139=YearFilter),OR(RatingFilter="All",$D1139=RatingFilter),OR(TypeFilter="All",$C1139=TypeFilter)),1,0)</f>
        <v/>
      </c>
    </row>
    <row r="1140" ht="15" customHeight="1" s="20">
      <c r="A1140" s="19" t="inlineStr">
        <is>
          <t>s4159</t>
        </is>
      </c>
      <c r="B1140" s="19" t="inlineStr">
        <is>
          <t>Independent Movies</t>
        </is>
      </c>
      <c r="C1140" s="19">
        <f>IFERROR(INDEX(tblNetflix[type],MATCH($A1140,tblNetflix[show_id],0)),"")</f>
        <v/>
      </c>
      <c r="D1140" s="19">
        <f>IFERROR(INDEX(tblNetflix[rating],MATCH($A1140,tblNetflix[show_id],0)),"")</f>
        <v/>
      </c>
      <c r="E1140" s="19">
        <f>IFERROR(INDEX(tblNetflix[year_added],MATCH($A1140,tblNetflix[show_id],0)),"")</f>
        <v/>
      </c>
      <c r="F1140" s="19">
        <f>IF(AND(OR(YearFilter="All",$E1140=YearFilter),OR(RatingFilter="All",$D1140=RatingFilter),OR(TypeFilter="All",$C1140=TypeFilter)),1,0)</f>
        <v/>
      </c>
    </row>
    <row r="1141" ht="15" customHeight="1" s="20">
      <c r="A1141" s="19" t="inlineStr">
        <is>
          <t>s4159</t>
        </is>
      </c>
      <c r="B1141" s="19" t="inlineStr">
        <is>
          <t>International Movies</t>
        </is>
      </c>
      <c r="C1141" s="19">
        <f>IFERROR(INDEX(tblNetflix[type],MATCH($A1141,tblNetflix[show_id],0)),"")</f>
        <v/>
      </c>
      <c r="D1141" s="19">
        <f>IFERROR(INDEX(tblNetflix[rating],MATCH($A1141,tblNetflix[show_id],0)),"")</f>
        <v/>
      </c>
      <c r="E1141" s="19">
        <f>IFERROR(INDEX(tblNetflix[year_added],MATCH($A1141,tblNetflix[show_id],0)),"")</f>
        <v/>
      </c>
      <c r="F1141" s="19">
        <f>IF(AND(OR(YearFilter="All",$E1141=YearFilter),OR(RatingFilter="All",$D1141=RatingFilter),OR(TypeFilter="All",$C1141=TypeFilter)),1,0)</f>
        <v/>
      </c>
    </row>
    <row r="1142" ht="15" customHeight="1" s="20">
      <c r="A1142" s="19" t="inlineStr">
        <is>
          <t>s4183</t>
        </is>
      </c>
      <c r="B1142" s="19" t="inlineStr">
        <is>
          <t>Dramas</t>
        </is>
      </c>
      <c r="C1142" s="19">
        <f>IFERROR(INDEX(tblNetflix[type],MATCH($A1142,tblNetflix[show_id],0)),"")</f>
        <v/>
      </c>
      <c r="D1142" s="19">
        <f>IFERROR(INDEX(tblNetflix[rating],MATCH($A1142,tblNetflix[show_id],0)),"")</f>
        <v/>
      </c>
      <c r="E1142" s="19">
        <f>IFERROR(INDEX(tblNetflix[year_added],MATCH($A1142,tblNetflix[show_id],0)),"")</f>
        <v/>
      </c>
      <c r="F1142" s="19">
        <f>IF(AND(OR(YearFilter="All",$E1142=YearFilter),OR(RatingFilter="All",$D1142=RatingFilter),OR(TypeFilter="All",$C1142=TypeFilter)),1,0)</f>
        <v/>
      </c>
    </row>
    <row r="1143" ht="15" customHeight="1" s="20">
      <c r="A1143" s="19" t="inlineStr">
        <is>
          <t>s4183</t>
        </is>
      </c>
      <c r="B1143" s="19" t="inlineStr">
        <is>
          <t>Independent Movies</t>
        </is>
      </c>
      <c r="C1143" s="19">
        <f>IFERROR(INDEX(tblNetflix[type],MATCH($A1143,tblNetflix[show_id],0)),"")</f>
        <v/>
      </c>
      <c r="D1143" s="19">
        <f>IFERROR(INDEX(tblNetflix[rating],MATCH($A1143,tblNetflix[show_id],0)),"")</f>
        <v/>
      </c>
      <c r="E1143" s="19">
        <f>IFERROR(INDEX(tblNetflix[year_added],MATCH($A1143,tblNetflix[show_id],0)),"")</f>
        <v/>
      </c>
      <c r="F1143" s="19">
        <f>IF(AND(OR(YearFilter="All",$E1143=YearFilter),OR(RatingFilter="All",$D1143=RatingFilter),OR(TypeFilter="All",$C1143=TypeFilter)),1,0)</f>
        <v/>
      </c>
    </row>
    <row r="1144" ht="15" customHeight="1" s="20">
      <c r="A1144" s="19" t="inlineStr">
        <is>
          <t>s4183</t>
        </is>
      </c>
      <c r="B1144" s="19" t="inlineStr">
        <is>
          <t>International Movies</t>
        </is>
      </c>
      <c r="C1144" s="19">
        <f>IFERROR(INDEX(tblNetflix[type],MATCH($A1144,tblNetflix[show_id],0)),"")</f>
        <v/>
      </c>
      <c r="D1144" s="19">
        <f>IFERROR(INDEX(tblNetflix[rating],MATCH($A1144,tblNetflix[show_id],0)),"")</f>
        <v/>
      </c>
      <c r="E1144" s="19">
        <f>IFERROR(INDEX(tblNetflix[year_added],MATCH($A1144,tblNetflix[show_id],0)),"")</f>
        <v/>
      </c>
      <c r="F1144" s="19">
        <f>IF(AND(OR(YearFilter="All",$E1144=YearFilter),OR(RatingFilter="All",$D1144=RatingFilter),OR(TypeFilter="All",$C1144=TypeFilter)),1,0)</f>
        <v/>
      </c>
    </row>
    <row r="1145" ht="15" customHeight="1" s="20">
      <c r="A1145" s="19" t="inlineStr">
        <is>
          <t>s4188</t>
        </is>
      </c>
      <c r="B1145" s="19" t="inlineStr">
        <is>
          <t>Comedies</t>
        </is>
      </c>
      <c r="C1145" s="19">
        <f>IFERROR(INDEX(tblNetflix[type],MATCH($A1145,tblNetflix[show_id],0)),"")</f>
        <v/>
      </c>
      <c r="D1145" s="19">
        <f>IFERROR(INDEX(tblNetflix[rating],MATCH($A1145,tblNetflix[show_id],0)),"")</f>
        <v/>
      </c>
      <c r="E1145" s="19">
        <f>IFERROR(INDEX(tblNetflix[year_added],MATCH($A1145,tblNetflix[show_id],0)),"")</f>
        <v/>
      </c>
      <c r="F1145" s="19">
        <f>IF(AND(OR(YearFilter="All",$E1145=YearFilter),OR(RatingFilter="All",$D1145=RatingFilter),OR(TypeFilter="All",$C1145=TypeFilter)),1,0)</f>
        <v/>
      </c>
    </row>
    <row r="1146" ht="15" customHeight="1" s="20">
      <c r="A1146" s="19" t="inlineStr">
        <is>
          <t>s4188</t>
        </is>
      </c>
      <c r="B1146" s="19" t="inlineStr">
        <is>
          <t>Independent Movies</t>
        </is>
      </c>
      <c r="C1146" s="19">
        <f>IFERROR(INDEX(tblNetflix[type],MATCH($A1146,tblNetflix[show_id],0)),"")</f>
        <v/>
      </c>
      <c r="D1146" s="19">
        <f>IFERROR(INDEX(tblNetflix[rating],MATCH($A1146,tblNetflix[show_id],0)),"")</f>
        <v/>
      </c>
      <c r="E1146" s="19">
        <f>IFERROR(INDEX(tblNetflix[year_added],MATCH($A1146,tblNetflix[show_id],0)),"")</f>
        <v/>
      </c>
      <c r="F1146" s="19">
        <f>IF(AND(OR(YearFilter="All",$E1146=YearFilter),OR(RatingFilter="All",$D1146=RatingFilter),OR(TypeFilter="All",$C1146=TypeFilter)),1,0)</f>
        <v/>
      </c>
    </row>
    <row r="1147" ht="15" customHeight="1" s="20">
      <c r="A1147" s="19" t="inlineStr">
        <is>
          <t>s4188</t>
        </is>
      </c>
      <c r="B1147" s="19" t="inlineStr">
        <is>
          <t>International Movies</t>
        </is>
      </c>
      <c r="C1147" s="19">
        <f>IFERROR(INDEX(tblNetflix[type],MATCH($A1147,tblNetflix[show_id],0)),"")</f>
        <v/>
      </c>
      <c r="D1147" s="19">
        <f>IFERROR(INDEX(tblNetflix[rating],MATCH($A1147,tblNetflix[show_id],0)),"")</f>
        <v/>
      </c>
      <c r="E1147" s="19">
        <f>IFERROR(INDEX(tblNetflix[year_added],MATCH($A1147,tblNetflix[show_id],0)),"")</f>
        <v/>
      </c>
      <c r="F1147" s="19">
        <f>IF(AND(OR(YearFilter="All",$E1147=YearFilter),OR(RatingFilter="All",$D1147=RatingFilter),OR(TypeFilter="All",$C1147=TypeFilter)),1,0)</f>
        <v/>
      </c>
    </row>
    <row r="1148" ht="15" customHeight="1" s="20">
      <c r="A1148" s="19" t="inlineStr">
        <is>
          <t>s4189</t>
        </is>
      </c>
      <c r="B1148" s="19" t="inlineStr">
        <is>
          <t>International Movies</t>
        </is>
      </c>
      <c r="C1148" s="19">
        <f>IFERROR(INDEX(tblNetflix[type],MATCH($A1148,tblNetflix[show_id],0)),"")</f>
        <v/>
      </c>
      <c r="D1148" s="19">
        <f>IFERROR(INDEX(tblNetflix[rating],MATCH($A1148,tblNetflix[show_id],0)),"")</f>
        <v/>
      </c>
      <c r="E1148" s="19">
        <f>IFERROR(INDEX(tblNetflix[year_added],MATCH($A1148,tblNetflix[show_id],0)),"")</f>
        <v/>
      </c>
      <c r="F1148" s="19">
        <f>IF(AND(OR(YearFilter="All",$E1148=YearFilter),OR(RatingFilter="All",$D1148=RatingFilter),OR(TypeFilter="All",$C1148=TypeFilter)),1,0)</f>
        <v/>
      </c>
    </row>
    <row r="1149" ht="15" customHeight="1" s="20">
      <c r="A1149" s="19" t="inlineStr">
        <is>
          <t>s4189</t>
        </is>
      </c>
      <c r="B1149" s="19" t="inlineStr">
        <is>
          <t>Thrillers</t>
        </is>
      </c>
      <c r="C1149" s="19">
        <f>IFERROR(INDEX(tblNetflix[type],MATCH($A1149,tblNetflix[show_id],0)),"")</f>
        <v/>
      </c>
      <c r="D1149" s="19">
        <f>IFERROR(INDEX(tblNetflix[rating],MATCH($A1149,tblNetflix[show_id],0)),"")</f>
        <v/>
      </c>
      <c r="E1149" s="19">
        <f>IFERROR(INDEX(tblNetflix[year_added],MATCH($A1149,tblNetflix[show_id],0)),"")</f>
        <v/>
      </c>
      <c r="F1149" s="19">
        <f>IF(AND(OR(YearFilter="All",$E1149=YearFilter),OR(RatingFilter="All",$D1149=RatingFilter),OR(TypeFilter="All",$C1149=TypeFilter)),1,0)</f>
        <v/>
      </c>
    </row>
    <row r="1150" ht="15" customHeight="1" s="20">
      <c r="A1150" s="19" t="inlineStr">
        <is>
          <t>s4191</t>
        </is>
      </c>
      <c r="B1150" s="19" t="inlineStr">
        <is>
          <t>Action &amp; Adventure</t>
        </is>
      </c>
      <c r="C1150" s="19">
        <f>IFERROR(INDEX(tblNetflix[type],MATCH($A1150,tblNetflix[show_id],0)),"")</f>
        <v/>
      </c>
      <c r="D1150" s="19">
        <f>IFERROR(INDEX(tblNetflix[rating],MATCH($A1150,tblNetflix[show_id],0)),"")</f>
        <v/>
      </c>
      <c r="E1150" s="19">
        <f>IFERROR(INDEX(tblNetflix[year_added],MATCH($A1150,tblNetflix[show_id],0)),"")</f>
        <v/>
      </c>
      <c r="F1150" s="19">
        <f>IF(AND(OR(YearFilter="All",$E1150=YearFilter),OR(RatingFilter="All",$D1150=RatingFilter),OR(TypeFilter="All",$C1150=TypeFilter)),1,0)</f>
        <v/>
      </c>
    </row>
    <row r="1151" ht="15" customHeight="1" s="20">
      <c r="A1151" s="19" t="inlineStr">
        <is>
          <t>s4191</t>
        </is>
      </c>
      <c r="B1151" s="19" t="inlineStr">
        <is>
          <t>Dramas</t>
        </is>
      </c>
      <c r="C1151" s="19">
        <f>IFERROR(INDEX(tblNetflix[type],MATCH($A1151,tblNetflix[show_id],0)),"")</f>
        <v/>
      </c>
      <c r="D1151" s="19">
        <f>IFERROR(INDEX(tblNetflix[rating],MATCH($A1151,tblNetflix[show_id],0)),"")</f>
        <v/>
      </c>
      <c r="E1151" s="19">
        <f>IFERROR(INDEX(tblNetflix[year_added],MATCH($A1151,tblNetflix[show_id],0)),"")</f>
        <v/>
      </c>
      <c r="F1151" s="19">
        <f>IF(AND(OR(YearFilter="All",$E1151=YearFilter),OR(RatingFilter="All",$D1151=RatingFilter),OR(TypeFilter="All",$C1151=TypeFilter)),1,0)</f>
        <v/>
      </c>
    </row>
    <row r="1152" ht="15" customHeight="1" s="20">
      <c r="A1152" s="19" t="inlineStr">
        <is>
          <t>s4191</t>
        </is>
      </c>
      <c r="B1152" s="19" t="inlineStr">
        <is>
          <t>International Movies</t>
        </is>
      </c>
      <c r="C1152" s="19">
        <f>IFERROR(INDEX(tblNetflix[type],MATCH($A1152,tblNetflix[show_id],0)),"")</f>
        <v/>
      </c>
      <c r="D1152" s="19">
        <f>IFERROR(INDEX(tblNetflix[rating],MATCH($A1152,tblNetflix[show_id],0)),"")</f>
        <v/>
      </c>
      <c r="E1152" s="19">
        <f>IFERROR(INDEX(tblNetflix[year_added],MATCH($A1152,tblNetflix[show_id],0)),"")</f>
        <v/>
      </c>
      <c r="F1152" s="19">
        <f>IF(AND(OR(YearFilter="All",$E1152=YearFilter),OR(RatingFilter="All",$D1152=RatingFilter),OR(TypeFilter="All",$C1152=TypeFilter)),1,0)</f>
        <v/>
      </c>
    </row>
    <row r="1153" ht="15" customHeight="1" s="20">
      <c r="A1153" s="19" t="inlineStr">
        <is>
          <t>s4198</t>
        </is>
      </c>
      <c r="B1153" s="19" t="inlineStr">
        <is>
          <t>Dramas</t>
        </is>
      </c>
      <c r="C1153" s="19">
        <f>IFERROR(INDEX(tblNetflix[type],MATCH($A1153,tblNetflix[show_id],0)),"")</f>
        <v/>
      </c>
      <c r="D1153" s="19">
        <f>IFERROR(INDEX(tblNetflix[rating],MATCH($A1153,tblNetflix[show_id],0)),"")</f>
        <v/>
      </c>
      <c r="E1153" s="19">
        <f>IFERROR(INDEX(tblNetflix[year_added],MATCH($A1153,tblNetflix[show_id],0)),"")</f>
        <v/>
      </c>
      <c r="F1153" s="19">
        <f>IF(AND(OR(YearFilter="All",$E1153=YearFilter),OR(RatingFilter="All",$D1153=RatingFilter),OR(TypeFilter="All",$C1153=TypeFilter)),1,0)</f>
        <v/>
      </c>
    </row>
    <row r="1154" ht="15" customHeight="1" s="20">
      <c r="A1154" s="19" t="inlineStr">
        <is>
          <t>s4198</t>
        </is>
      </c>
      <c r="B1154" s="19" t="inlineStr">
        <is>
          <t>International Movies</t>
        </is>
      </c>
      <c r="C1154" s="19">
        <f>IFERROR(INDEX(tblNetflix[type],MATCH($A1154,tblNetflix[show_id],0)),"")</f>
        <v/>
      </c>
      <c r="D1154" s="19">
        <f>IFERROR(INDEX(tblNetflix[rating],MATCH($A1154,tblNetflix[show_id],0)),"")</f>
        <v/>
      </c>
      <c r="E1154" s="19">
        <f>IFERROR(INDEX(tblNetflix[year_added],MATCH($A1154,tblNetflix[show_id],0)),"")</f>
        <v/>
      </c>
      <c r="F1154" s="19">
        <f>IF(AND(OR(YearFilter="All",$E1154=YearFilter),OR(RatingFilter="All",$D1154=RatingFilter),OR(TypeFilter="All",$C1154=TypeFilter)),1,0)</f>
        <v/>
      </c>
    </row>
    <row r="1155" ht="15" customHeight="1" s="20">
      <c r="A1155" s="19" t="inlineStr">
        <is>
          <t>s4210</t>
        </is>
      </c>
      <c r="B1155" s="19" t="inlineStr">
        <is>
          <t>Comedies</t>
        </is>
      </c>
      <c r="C1155" s="19">
        <f>IFERROR(INDEX(tblNetflix[type],MATCH($A1155,tblNetflix[show_id],0)),"")</f>
        <v/>
      </c>
      <c r="D1155" s="19">
        <f>IFERROR(INDEX(tblNetflix[rating],MATCH($A1155,tblNetflix[show_id],0)),"")</f>
        <v/>
      </c>
      <c r="E1155" s="19">
        <f>IFERROR(INDEX(tblNetflix[year_added],MATCH($A1155,tblNetflix[show_id],0)),"")</f>
        <v/>
      </c>
      <c r="F1155" s="19">
        <f>IF(AND(OR(YearFilter="All",$E1155=YearFilter),OR(RatingFilter="All",$D1155=RatingFilter),OR(TypeFilter="All",$C1155=TypeFilter)),1,0)</f>
        <v/>
      </c>
    </row>
    <row r="1156" ht="15" customHeight="1" s="20">
      <c r="A1156" s="19" t="inlineStr">
        <is>
          <t>s4210</t>
        </is>
      </c>
      <c r="B1156" s="19" t="inlineStr">
        <is>
          <t>Dramas</t>
        </is>
      </c>
      <c r="C1156" s="19">
        <f>IFERROR(INDEX(tblNetflix[type],MATCH($A1156,tblNetflix[show_id],0)),"")</f>
        <v/>
      </c>
      <c r="D1156" s="19">
        <f>IFERROR(INDEX(tblNetflix[rating],MATCH($A1156,tblNetflix[show_id],0)),"")</f>
        <v/>
      </c>
      <c r="E1156" s="19">
        <f>IFERROR(INDEX(tblNetflix[year_added],MATCH($A1156,tblNetflix[show_id],0)),"")</f>
        <v/>
      </c>
      <c r="F1156" s="19">
        <f>IF(AND(OR(YearFilter="All",$E1156=YearFilter),OR(RatingFilter="All",$D1156=RatingFilter),OR(TypeFilter="All",$C1156=TypeFilter)),1,0)</f>
        <v/>
      </c>
    </row>
    <row r="1157" ht="15" customHeight="1" s="20">
      <c r="A1157" s="19" t="inlineStr">
        <is>
          <t>s4210</t>
        </is>
      </c>
      <c r="B1157" s="19" t="inlineStr">
        <is>
          <t>International Movies</t>
        </is>
      </c>
      <c r="C1157" s="19">
        <f>IFERROR(INDEX(tblNetflix[type],MATCH($A1157,tblNetflix[show_id],0)),"")</f>
        <v/>
      </c>
      <c r="D1157" s="19">
        <f>IFERROR(INDEX(tblNetflix[rating],MATCH($A1157,tblNetflix[show_id],0)),"")</f>
        <v/>
      </c>
      <c r="E1157" s="19">
        <f>IFERROR(INDEX(tblNetflix[year_added],MATCH($A1157,tblNetflix[show_id],0)),"")</f>
        <v/>
      </c>
      <c r="F1157" s="19">
        <f>IF(AND(OR(YearFilter="All",$E1157=YearFilter),OR(RatingFilter="All",$D1157=RatingFilter),OR(TypeFilter="All",$C1157=TypeFilter)),1,0)</f>
        <v/>
      </c>
    </row>
    <row r="1158" ht="15" customHeight="1" s="20">
      <c r="A1158" s="19" t="inlineStr">
        <is>
          <t>s4222</t>
        </is>
      </c>
      <c r="B1158" s="19" t="inlineStr">
        <is>
          <t>Dramas</t>
        </is>
      </c>
      <c r="C1158" s="19">
        <f>IFERROR(INDEX(tblNetflix[type],MATCH($A1158,tblNetflix[show_id],0)),"")</f>
        <v/>
      </c>
      <c r="D1158" s="19">
        <f>IFERROR(INDEX(tblNetflix[rating],MATCH($A1158,tblNetflix[show_id],0)),"")</f>
        <v/>
      </c>
      <c r="E1158" s="19">
        <f>IFERROR(INDEX(tblNetflix[year_added],MATCH($A1158,tblNetflix[show_id],0)),"")</f>
        <v/>
      </c>
      <c r="F1158" s="19">
        <f>IF(AND(OR(YearFilter="All",$E1158=YearFilter),OR(RatingFilter="All",$D1158=RatingFilter),OR(TypeFilter="All",$C1158=TypeFilter)),1,0)</f>
        <v/>
      </c>
    </row>
    <row r="1159" ht="15" customHeight="1" s="20">
      <c r="A1159" s="19" t="inlineStr">
        <is>
          <t>s4222</t>
        </is>
      </c>
      <c r="B1159" s="19" t="inlineStr">
        <is>
          <t>Independent Movies</t>
        </is>
      </c>
      <c r="C1159" s="19">
        <f>IFERROR(INDEX(tblNetflix[type],MATCH($A1159,tblNetflix[show_id],0)),"")</f>
        <v/>
      </c>
      <c r="D1159" s="19">
        <f>IFERROR(INDEX(tblNetflix[rating],MATCH($A1159,tblNetflix[show_id],0)),"")</f>
        <v/>
      </c>
      <c r="E1159" s="19">
        <f>IFERROR(INDEX(tblNetflix[year_added],MATCH($A1159,tblNetflix[show_id],0)),"")</f>
        <v/>
      </c>
      <c r="F1159" s="19">
        <f>IF(AND(OR(YearFilter="All",$E1159=YearFilter),OR(RatingFilter="All",$D1159=RatingFilter),OR(TypeFilter="All",$C1159=TypeFilter)),1,0)</f>
        <v/>
      </c>
    </row>
    <row r="1160" ht="15" customHeight="1" s="20">
      <c r="A1160" s="19" t="inlineStr">
        <is>
          <t>s4222</t>
        </is>
      </c>
      <c r="B1160" s="19" t="inlineStr">
        <is>
          <t>International Movies</t>
        </is>
      </c>
      <c r="C1160" s="19">
        <f>IFERROR(INDEX(tblNetflix[type],MATCH($A1160,tblNetflix[show_id],0)),"")</f>
        <v/>
      </c>
      <c r="D1160" s="19">
        <f>IFERROR(INDEX(tblNetflix[rating],MATCH($A1160,tblNetflix[show_id],0)),"")</f>
        <v/>
      </c>
      <c r="E1160" s="19">
        <f>IFERROR(INDEX(tblNetflix[year_added],MATCH($A1160,tblNetflix[show_id],0)),"")</f>
        <v/>
      </c>
      <c r="F1160" s="19">
        <f>IF(AND(OR(YearFilter="All",$E1160=YearFilter),OR(RatingFilter="All",$D1160=RatingFilter),OR(TypeFilter="All",$C1160=TypeFilter)),1,0)</f>
        <v/>
      </c>
    </row>
    <row r="1161" ht="15" customHeight="1" s="20">
      <c r="A1161" s="19" t="inlineStr">
        <is>
          <t>s4225</t>
        </is>
      </c>
      <c r="B1161" s="19" t="inlineStr">
        <is>
          <t>International Movies</t>
        </is>
      </c>
      <c r="C1161" s="19">
        <f>IFERROR(INDEX(tblNetflix[type],MATCH($A1161,tblNetflix[show_id],0)),"")</f>
        <v/>
      </c>
      <c r="D1161" s="19">
        <f>IFERROR(INDEX(tblNetflix[rating],MATCH($A1161,tblNetflix[show_id],0)),"")</f>
        <v/>
      </c>
      <c r="E1161" s="19">
        <f>IFERROR(INDEX(tblNetflix[year_added],MATCH($A1161,tblNetflix[show_id],0)),"")</f>
        <v/>
      </c>
      <c r="F1161" s="19">
        <f>IF(AND(OR(YearFilter="All",$E1161=YearFilter),OR(RatingFilter="All",$D1161=RatingFilter),OR(TypeFilter="All",$C1161=TypeFilter)),1,0)</f>
        <v/>
      </c>
    </row>
    <row r="1162" ht="15" customHeight="1" s="20">
      <c r="A1162" s="19" t="inlineStr">
        <is>
          <t>s4225</t>
        </is>
      </c>
      <c r="B1162" s="19" t="inlineStr">
        <is>
          <t>Thrillers</t>
        </is>
      </c>
      <c r="C1162" s="19">
        <f>IFERROR(INDEX(tblNetflix[type],MATCH($A1162,tblNetflix[show_id],0)),"")</f>
        <v/>
      </c>
      <c r="D1162" s="19">
        <f>IFERROR(INDEX(tblNetflix[rating],MATCH($A1162,tblNetflix[show_id],0)),"")</f>
        <v/>
      </c>
      <c r="E1162" s="19">
        <f>IFERROR(INDEX(tblNetflix[year_added],MATCH($A1162,tblNetflix[show_id],0)),"")</f>
        <v/>
      </c>
      <c r="F1162" s="19">
        <f>IF(AND(OR(YearFilter="All",$E1162=YearFilter),OR(RatingFilter="All",$D1162=RatingFilter),OR(TypeFilter="All",$C1162=TypeFilter)),1,0)</f>
        <v/>
      </c>
    </row>
    <row r="1163" ht="15" customHeight="1" s="20">
      <c r="A1163" s="19" t="inlineStr">
        <is>
          <t>s4226</t>
        </is>
      </c>
      <c r="B1163" s="19" t="inlineStr">
        <is>
          <t>Dramas</t>
        </is>
      </c>
      <c r="C1163" s="19">
        <f>IFERROR(INDEX(tblNetflix[type],MATCH($A1163,tblNetflix[show_id],0)),"")</f>
        <v/>
      </c>
      <c r="D1163" s="19">
        <f>IFERROR(INDEX(tblNetflix[rating],MATCH($A1163,tblNetflix[show_id],0)),"")</f>
        <v/>
      </c>
      <c r="E1163" s="19">
        <f>IFERROR(INDEX(tblNetflix[year_added],MATCH($A1163,tblNetflix[show_id],0)),"")</f>
        <v/>
      </c>
      <c r="F1163" s="19">
        <f>IF(AND(OR(YearFilter="All",$E1163=YearFilter),OR(RatingFilter="All",$D1163=RatingFilter),OR(TypeFilter="All",$C1163=TypeFilter)),1,0)</f>
        <v/>
      </c>
    </row>
    <row r="1164" ht="15" customHeight="1" s="20">
      <c r="A1164" s="19" t="inlineStr">
        <is>
          <t>s4226</t>
        </is>
      </c>
      <c r="B1164" s="19" t="inlineStr">
        <is>
          <t>Independent Movies</t>
        </is>
      </c>
      <c r="C1164" s="19">
        <f>IFERROR(INDEX(tblNetflix[type],MATCH($A1164,tblNetflix[show_id],0)),"")</f>
        <v/>
      </c>
      <c r="D1164" s="19">
        <f>IFERROR(INDEX(tblNetflix[rating],MATCH($A1164,tblNetflix[show_id],0)),"")</f>
        <v/>
      </c>
      <c r="E1164" s="19">
        <f>IFERROR(INDEX(tblNetflix[year_added],MATCH($A1164,tblNetflix[show_id],0)),"")</f>
        <v/>
      </c>
      <c r="F1164" s="19">
        <f>IF(AND(OR(YearFilter="All",$E1164=YearFilter),OR(RatingFilter="All",$D1164=RatingFilter),OR(TypeFilter="All",$C1164=TypeFilter)),1,0)</f>
        <v/>
      </c>
    </row>
    <row r="1165" ht="15" customHeight="1" s="20">
      <c r="A1165" s="19" t="inlineStr">
        <is>
          <t>s4226</t>
        </is>
      </c>
      <c r="B1165" s="19" t="inlineStr">
        <is>
          <t>International Movies</t>
        </is>
      </c>
      <c r="C1165" s="19">
        <f>IFERROR(INDEX(tblNetflix[type],MATCH($A1165,tblNetflix[show_id],0)),"")</f>
        <v/>
      </c>
      <c r="D1165" s="19">
        <f>IFERROR(INDEX(tblNetflix[rating],MATCH($A1165,tblNetflix[show_id],0)),"")</f>
        <v/>
      </c>
      <c r="E1165" s="19">
        <f>IFERROR(INDEX(tblNetflix[year_added],MATCH($A1165,tblNetflix[show_id],0)),"")</f>
        <v/>
      </c>
      <c r="F1165" s="19">
        <f>IF(AND(OR(YearFilter="All",$E1165=YearFilter),OR(RatingFilter="All",$D1165=RatingFilter),OR(TypeFilter="All",$C1165=TypeFilter)),1,0)</f>
        <v/>
      </c>
    </row>
    <row r="1166" ht="15" customHeight="1" s="20">
      <c r="A1166" s="19" t="inlineStr">
        <is>
          <t>s4256</t>
        </is>
      </c>
      <c r="B1166" s="19" t="inlineStr">
        <is>
          <t>Action &amp; Adventure</t>
        </is>
      </c>
      <c r="C1166" s="19">
        <f>IFERROR(INDEX(tblNetflix[type],MATCH($A1166,tblNetflix[show_id],0)),"")</f>
        <v/>
      </c>
      <c r="D1166" s="19">
        <f>IFERROR(INDEX(tblNetflix[rating],MATCH($A1166,tblNetflix[show_id],0)),"")</f>
        <v/>
      </c>
      <c r="E1166" s="19">
        <f>IFERROR(INDEX(tblNetflix[year_added],MATCH($A1166,tblNetflix[show_id],0)),"")</f>
        <v/>
      </c>
      <c r="F1166" s="19">
        <f>IF(AND(OR(YearFilter="All",$E1166=YearFilter),OR(RatingFilter="All",$D1166=RatingFilter),OR(TypeFilter="All",$C1166=TypeFilter)),1,0)</f>
        <v/>
      </c>
    </row>
    <row r="1167" ht="15" customHeight="1" s="20">
      <c r="A1167" s="19" t="inlineStr">
        <is>
          <t>s4256</t>
        </is>
      </c>
      <c r="B1167" s="19" t="inlineStr">
        <is>
          <t>Comedies</t>
        </is>
      </c>
      <c r="C1167" s="19">
        <f>IFERROR(INDEX(tblNetflix[type],MATCH($A1167,tblNetflix[show_id],0)),"")</f>
        <v/>
      </c>
      <c r="D1167" s="19">
        <f>IFERROR(INDEX(tblNetflix[rating],MATCH($A1167,tblNetflix[show_id],0)),"")</f>
        <v/>
      </c>
      <c r="E1167" s="19">
        <f>IFERROR(INDEX(tblNetflix[year_added],MATCH($A1167,tblNetflix[show_id],0)),"")</f>
        <v/>
      </c>
      <c r="F1167" s="19">
        <f>IF(AND(OR(YearFilter="All",$E1167=YearFilter),OR(RatingFilter="All",$D1167=RatingFilter),OR(TypeFilter="All",$C1167=TypeFilter)),1,0)</f>
        <v/>
      </c>
    </row>
    <row r="1168" ht="15" customHeight="1" s="20">
      <c r="A1168" s="19" t="inlineStr">
        <is>
          <t>s4256</t>
        </is>
      </c>
      <c r="B1168" s="19" t="inlineStr">
        <is>
          <t>Dramas</t>
        </is>
      </c>
      <c r="C1168" s="19">
        <f>IFERROR(INDEX(tblNetflix[type],MATCH($A1168,tblNetflix[show_id],0)),"")</f>
        <v/>
      </c>
      <c r="D1168" s="19">
        <f>IFERROR(INDEX(tblNetflix[rating],MATCH($A1168,tblNetflix[show_id],0)),"")</f>
        <v/>
      </c>
      <c r="E1168" s="19">
        <f>IFERROR(INDEX(tblNetflix[year_added],MATCH($A1168,tblNetflix[show_id],0)),"")</f>
        <v/>
      </c>
      <c r="F1168" s="19">
        <f>IF(AND(OR(YearFilter="All",$E1168=YearFilter),OR(RatingFilter="All",$D1168=RatingFilter),OR(TypeFilter="All",$C1168=TypeFilter)),1,0)</f>
        <v/>
      </c>
    </row>
    <row r="1169" ht="15" customHeight="1" s="20">
      <c r="A1169" s="19" t="inlineStr">
        <is>
          <t>s4258</t>
        </is>
      </c>
      <c r="B1169" s="19" t="inlineStr">
        <is>
          <t>International TV Shows</t>
        </is>
      </c>
      <c r="C1169" s="19">
        <f>IFERROR(INDEX(tblNetflix[type],MATCH($A1169,tblNetflix[show_id],0)),"")</f>
        <v/>
      </c>
      <c r="D1169" s="19">
        <f>IFERROR(INDEX(tblNetflix[rating],MATCH($A1169,tblNetflix[show_id],0)),"")</f>
        <v/>
      </c>
      <c r="E1169" s="19">
        <f>IFERROR(INDEX(tblNetflix[year_added],MATCH($A1169,tblNetflix[show_id],0)),"")</f>
        <v/>
      </c>
      <c r="F1169" s="19">
        <f>IF(AND(OR(YearFilter="All",$E1169=YearFilter),OR(RatingFilter="All",$D1169=RatingFilter),OR(TypeFilter="All",$C1169=TypeFilter)),1,0)</f>
        <v/>
      </c>
    </row>
    <row r="1170" ht="15" customHeight="1" s="20">
      <c r="A1170" s="19" t="inlineStr">
        <is>
          <t>s4258</t>
        </is>
      </c>
      <c r="B1170" s="19" t="inlineStr">
        <is>
          <t>TV Dramas</t>
        </is>
      </c>
      <c r="C1170" s="19">
        <f>IFERROR(INDEX(tblNetflix[type],MATCH($A1170,tblNetflix[show_id],0)),"")</f>
        <v/>
      </c>
      <c r="D1170" s="19">
        <f>IFERROR(INDEX(tblNetflix[rating],MATCH($A1170,tblNetflix[show_id],0)),"")</f>
        <v/>
      </c>
      <c r="E1170" s="19">
        <f>IFERROR(INDEX(tblNetflix[year_added],MATCH($A1170,tblNetflix[show_id],0)),"")</f>
        <v/>
      </c>
      <c r="F1170" s="19">
        <f>IF(AND(OR(YearFilter="All",$E1170=YearFilter),OR(RatingFilter="All",$D1170=RatingFilter),OR(TypeFilter="All",$C1170=TypeFilter)),1,0)</f>
        <v/>
      </c>
    </row>
    <row r="1171" ht="15" customHeight="1" s="20">
      <c r="A1171" s="19" t="inlineStr">
        <is>
          <t>s4258</t>
        </is>
      </c>
      <c r="B1171" s="19" t="inlineStr">
        <is>
          <t>Teen TV Shows</t>
        </is>
      </c>
      <c r="C1171" s="19">
        <f>IFERROR(INDEX(tblNetflix[type],MATCH($A1171,tblNetflix[show_id],0)),"")</f>
        <v/>
      </c>
      <c r="D1171" s="19">
        <f>IFERROR(INDEX(tblNetflix[rating],MATCH($A1171,tblNetflix[show_id],0)),"")</f>
        <v/>
      </c>
      <c r="E1171" s="19">
        <f>IFERROR(INDEX(tblNetflix[year_added],MATCH($A1171,tblNetflix[show_id],0)),"")</f>
        <v/>
      </c>
      <c r="F1171" s="19">
        <f>IF(AND(OR(YearFilter="All",$E1171=YearFilter),OR(RatingFilter="All",$D1171=RatingFilter),OR(TypeFilter="All",$C1171=TypeFilter)),1,0)</f>
        <v/>
      </c>
    </row>
    <row r="1172" ht="15" customHeight="1" s="20">
      <c r="A1172" s="19" t="inlineStr">
        <is>
          <t>s4284</t>
        </is>
      </c>
      <c r="B1172" s="19" t="inlineStr">
        <is>
          <t>Dramas</t>
        </is>
      </c>
      <c r="C1172" s="19">
        <f>IFERROR(INDEX(tblNetflix[type],MATCH($A1172,tblNetflix[show_id],0)),"")</f>
        <v/>
      </c>
      <c r="D1172" s="19">
        <f>IFERROR(INDEX(tblNetflix[rating],MATCH($A1172,tblNetflix[show_id],0)),"")</f>
        <v/>
      </c>
      <c r="E1172" s="19">
        <f>IFERROR(INDEX(tblNetflix[year_added],MATCH($A1172,tblNetflix[show_id],0)),"")</f>
        <v/>
      </c>
      <c r="F1172" s="19">
        <f>IF(AND(OR(YearFilter="All",$E1172=YearFilter),OR(RatingFilter="All",$D1172=RatingFilter),OR(TypeFilter="All",$C1172=TypeFilter)),1,0)</f>
        <v/>
      </c>
    </row>
    <row r="1173" ht="15" customHeight="1" s="20">
      <c r="A1173" s="19" t="inlineStr">
        <is>
          <t>s4284</t>
        </is>
      </c>
      <c r="B1173" s="19" t="inlineStr">
        <is>
          <t>Independent Movies</t>
        </is>
      </c>
      <c r="C1173" s="19">
        <f>IFERROR(INDEX(tblNetflix[type],MATCH($A1173,tblNetflix[show_id],0)),"")</f>
        <v/>
      </c>
      <c r="D1173" s="19">
        <f>IFERROR(INDEX(tblNetflix[rating],MATCH($A1173,tblNetflix[show_id],0)),"")</f>
        <v/>
      </c>
      <c r="E1173" s="19">
        <f>IFERROR(INDEX(tblNetflix[year_added],MATCH($A1173,tblNetflix[show_id],0)),"")</f>
        <v/>
      </c>
      <c r="F1173" s="19">
        <f>IF(AND(OR(YearFilter="All",$E1173=YearFilter),OR(RatingFilter="All",$D1173=RatingFilter),OR(TypeFilter="All",$C1173=TypeFilter)),1,0)</f>
        <v/>
      </c>
    </row>
    <row r="1174" ht="15" customHeight="1" s="20">
      <c r="A1174" s="19" t="inlineStr">
        <is>
          <t>s4284</t>
        </is>
      </c>
      <c r="B1174" s="19" t="inlineStr">
        <is>
          <t>International Movies</t>
        </is>
      </c>
      <c r="C1174" s="19">
        <f>IFERROR(INDEX(tblNetflix[type],MATCH($A1174,tblNetflix[show_id],0)),"")</f>
        <v/>
      </c>
      <c r="D1174" s="19">
        <f>IFERROR(INDEX(tblNetflix[rating],MATCH($A1174,tblNetflix[show_id],0)),"")</f>
        <v/>
      </c>
      <c r="E1174" s="19">
        <f>IFERROR(INDEX(tblNetflix[year_added],MATCH($A1174,tblNetflix[show_id],0)),"")</f>
        <v/>
      </c>
      <c r="F1174" s="19">
        <f>IF(AND(OR(YearFilter="All",$E1174=YearFilter),OR(RatingFilter="All",$D1174=RatingFilter),OR(TypeFilter="All",$C1174=TypeFilter)),1,0)</f>
        <v/>
      </c>
    </row>
    <row r="1175" ht="15" customHeight="1" s="20">
      <c r="A1175" s="19" t="inlineStr">
        <is>
          <t>s4286</t>
        </is>
      </c>
      <c r="B1175" s="19" t="inlineStr">
        <is>
          <t>Dramas</t>
        </is>
      </c>
      <c r="C1175" s="19">
        <f>IFERROR(INDEX(tblNetflix[type],MATCH($A1175,tblNetflix[show_id],0)),"")</f>
        <v/>
      </c>
      <c r="D1175" s="19">
        <f>IFERROR(INDEX(tblNetflix[rating],MATCH($A1175,tblNetflix[show_id],0)),"")</f>
        <v/>
      </c>
      <c r="E1175" s="19">
        <f>IFERROR(INDEX(tblNetflix[year_added],MATCH($A1175,tblNetflix[show_id],0)),"")</f>
        <v/>
      </c>
      <c r="F1175" s="19">
        <f>IF(AND(OR(YearFilter="All",$E1175=YearFilter),OR(RatingFilter="All",$D1175=RatingFilter),OR(TypeFilter="All",$C1175=TypeFilter)),1,0)</f>
        <v/>
      </c>
    </row>
    <row r="1176" ht="15" customHeight="1" s="20">
      <c r="A1176" s="19" t="inlineStr">
        <is>
          <t>s4286</t>
        </is>
      </c>
      <c r="B1176" s="19" t="inlineStr">
        <is>
          <t>Independent Movies</t>
        </is>
      </c>
      <c r="C1176" s="19">
        <f>IFERROR(INDEX(tblNetflix[type],MATCH($A1176,tblNetflix[show_id],0)),"")</f>
        <v/>
      </c>
      <c r="D1176" s="19">
        <f>IFERROR(INDEX(tblNetflix[rating],MATCH($A1176,tblNetflix[show_id],0)),"")</f>
        <v/>
      </c>
      <c r="E1176" s="19">
        <f>IFERROR(INDEX(tblNetflix[year_added],MATCH($A1176,tblNetflix[show_id],0)),"")</f>
        <v/>
      </c>
      <c r="F1176" s="19">
        <f>IF(AND(OR(YearFilter="All",$E1176=YearFilter),OR(RatingFilter="All",$D1176=RatingFilter),OR(TypeFilter="All",$C1176=TypeFilter)),1,0)</f>
        <v/>
      </c>
    </row>
    <row r="1177" ht="15" customHeight="1" s="20">
      <c r="A1177" s="19" t="inlineStr">
        <is>
          <t>s4286</t>
        </is>
      </c>
      <c r="B1177" s="19" t="inlineStr">
        <is>
          <t>International Movies</t>
        </is>
      </c>
      <c r="C1177" s="19">
        <f>IFERROR(INDEX(tblNetflix[type],MATCH($A1177,tblNetflix[show_id],0)),"")</f>
        <v/>
      </c>
      <c r="D1177" s="19">
        <f>IFERROR(INDEX(tblNetflix[rating],MATCH($A1177,tblNetflix[show_id],0)),"")</f>
        <v/>
      </c>
      <c r="E1177" s="19">
        <f>IFERROR(INDEX(tblNetflix[year_added],MATCH($A1177,tblNetflix[show_id],0)),"")</f>
        <v/>
      </c>
      <c r="F1177" s="19">
        <f>IF(AND(OR(YearFilter="All",$E1177=YearFilter),OR(RatingFilter="All",$D1177=RatingFilter),OR(TypeFilter="All",$C1177=TypeFilter)),1,0)</f>
        <v/>
      </c>
    </row>
    <row r="1178" ht="15" customHeight="1" s="20">
      <c r="A1178" s="19" t="inlineStr">
        <is>
          <t>s4288</t>
        </is>
      </c>
      <c r="B1178" s="19" t="inlineStr">
        <is>
          <t>Comedies</t>
        </is>
      </c>
      <c r="C1178" s="19">
        <f>IFERROR(INDEX(tblNetflix[type],MATCH($A1178,tblNetflix[show_id],0)),"")</f>
        <v/>
      </c>
      <c r="D1178" s="19">
        <f>IFERROR(INDEX(tblNetflix[rating],MATCH($A1178,tblNetflix[show_id],0)),"")</f>
        <v/>
      </c>
      <c r="E1178" s="19">
        <f>IFERROR(INDEX(tblNetflix[year_added],MATCH($A1178,tblNetflix[show_id],0)),"")</f>
        <v/>
      </c>
      <c r="F1178" s="19">
        <f>IF(AND(OR(YearFilter="All",$E1178=YearFilter),OR(RatingFilter="All",$D1178=RatingFilter),OR(TypeFilter="All",$C1178=TypeFilter)),1,0)</f>
        <v/>
      </c>
    </row>
    <row r="1179" ht="15" customHeight="1" s="20">
      <c r="A1179" s="19" t="inlineStr">
        <is>
          <t>s4288</t>
        </is>
      </c>
      <c r="B1179" s="19" t="inlineStr">
        <is>
          <t>Dramas</t>
        </is>
      </c>
      <c r="C1179" s="19">
        <f>IFERROR(INDEX(tblNetflix[type],MATCH($A1179,tblNetflix[show_id],0)),"")</f>
        <v/>
      </c>
      <c r="D1179" s="19">
        <f>IFERROR(INDEX(tblNetflix[rating],MATCH($A1179,tblNetflix[show_id],0)),"")</f>
        <v/>
      </c>
      <c r="E1179" s="19">
        <f>IFERROR(INDEX(tblNetflix[year_added],MATCH($A1179,tblNetflix[show_id],0)),"")</f>
        <v/>
      </c>
      <c r="F1179" s="19">
        <f>IF(AND(OR(YearFilter="All",$E1179=YearFilter),OR(RatingFilter="All",$D1179=RatingFilter),OR(TypeFilter="All",$C1179=TypeFilter)),1,0)</f>
        <v/>
      </c>
    </row>
    <row r="1180" ht="15" customHeight="1" s="20">
      <c r="A1180" s="19" t="inlineStr">
        <is>
          <t>s4288</t>
        </is>
      </c>
      <c r="B1180" s="19" t="inlineStr">
        <is>
          <t>International Movies</t>
        </is>
      </c>
      <c r="C1180" s="19">
        <f>IFERROR(INDEX(tblNetflix[type],MATCH($A1180,tblNetflix[show_id],0)),"")</f>
        <v/>
      </c>
      <c r="D1180" s="19">
        <f>IFERROR(INDEX(tblNetflix[rating],MATCH($A1180,tblNetflix[show_id],0)),"")</f>
        <v/>
      </c>
      <c r="E1180" s="19">
        <f>IFERROR(INDEX(tblNetflix[year_added],MATCH($A1180,tblNetflix[show_id],0)),"")</f>
        <v/>
      </c>
      <c r="F1180" s="19">
        <f>IF(AND(OR(YearFilter="All",$E1180=YearFilter),OR(RatingFilter="All",$D1180=RatingFilter),OR(TypeFilter="All",$C1180=TypeFilter)),1,0)</f>
        <v/>
      </c>
    </row>
    <row r="1181" ht="15" customHeight="1" s="20">
      <c r="A1181" s="19" t="inlineStr">
        <is>
          <t>s4304</t>
        </is>
      </c>
      <c r="B1181" s="19" t="inlineStr">
        <is>
          <t>Dramas</t>
        </is>
      </c>
      <c r="C1181" s="19">
        <f>IFERROR(INDEX(tblNetflix[type],MATCH($A1181,tblNetflix[show_id],0)),"")</f>
        <v/>
      </c>
      <c r="D1181" s="19">
        <f>IFERROR(INDEX(tblNetflix[rating],MATCH($A1181,tblNetflix[show_id],0)),"")</f>
        <v/>
      </c>
      <c r="E1181" s="19">
        <f>IFERROR(INDEX(tblNetflix[year_added],MATCH($A1181,tblNetflix[show_id],0)),"")</f>
        <v/>
      </c>
      <c r="F1181" s="19">
        <f>IF(AND(OR(YearFilter="All",$E1181=YearFilter),OR(RatingFilter="All",$D1181=RatingFilter),OR(TypeFilter="All",$C1181=TypeFilter)),1,0)</f>
        <v/>
      </c>
    </row>
    <row r="1182" ht="15" customHeight="1" s="20">
      <c r="A1182" s="19" t="inlineStr">
        <is>
          <t>s4304</t>
        </is>
      </c>
      <c r="B1182" s="19" t="inlineStr">
        <is>
          <t>International Movies</t>
        </is>
      </c>
      <c r="C1182" s="19">
        <f>IFERROR(INDEX(tblNetflix[type],MATCH($A1182,tblNetflix[show_id],0)),"")</f>
        <v/>
      </c>
      <c r="D1182" s="19">
        <f>IFERROR(INDEX(tblNetflix[rating],MATCH($A1182,tblNetflix[show_id],0)),"")</f>
        <v/>
      </c>
      <c r="E1182" s="19">
        <f>IFERROR(INDEX(tblNetflix[year_added],MATCH($A1182,tblNetflix[show_id],0)),"")</f>
        <v/>
      </c>
      <c r="F1182" s="19">
        <f>IF(AND(OR(YearFilter="All",$E1182=YearFilter),OR(RatingFilter="All",$D1182=RatingFilter),OR(TypeFilter="All",$C1182=TypeFilter)),1,0)</f>
        <v/>
      </c>
    </row>
    <row r="1183" ht="15" customHeight="1" s="20">
      <c r="A1183" s="19" t="inlineStr">
        <is>
          <t>s4304</t>
        </is>
      </c>
      <c r="B1183" s="19" t="inlineStr">
        <is>
          <t>Thrillers</t>
        </is>
      </c>
      <c r="C1183" s="19">
        <f>IFERROR(INDEX(tblNetflix[type],MATCH($A1183,tblNetflix[show_id],0)),"")</f>
        <v/>
      </c>
      <c r="D1183" s="19">
        <f>IFERROR(INDEX(tblNetflix[rating],MATCH($A1183,tblNetflix[show_id],0)),"")</f>
        <v/>
      </c>
      <c r="E1183" s="19">
        <f>IFERROR(INDEX(tblNetflix[year_added],MATCH($A1183,tblNetflix[show_id],0)),"")</f>
        <v/>
      </c>
      <c r="F1183" s="19">
        <f>IF(AND(OR(YearFilter="All",$E1183=YearFilter),OR(RatingFilter="All",$D1183=RatingFilter),OR(TypeFilter="All",$C1183=TypeFilter)),1,0)</f>
        <v/>
      </c>
    </row>
    <row r="1184" ht="15" customHeight="1" s="20">
      <c r="A1184" s="19" t="inlineStr">
        <is>
          <t>s4336</t>
        </is>
      </c>
      <c r="B1184" s="19" t="inlineStr">
        <is>
          <t>Comedies</t>
        </is>
      </c>
      <c r="C1184" s="19">
        <f>IFERROR(INDEX(tblNetflix[type],MATCH($A1184,tblNetflix[show_id],0)),"")</f>
        <v/>
      </c>
      <c r="D1184" s="19">
        <f>IFERROR(INDEX(tblNetflix[rating],MATCH($A1184,tblNetflix[show_id],0)),"")</f>
        <v/>
      </c>
      <c r="E1184" s="19">
        <f>IFERROR(INDEX(tblNetflix[year_added],MATCH($A1184,tblNetflix[show_id],0)),"")</f>
        <v/>
      </c>
      <c r="F1184" s="19">
        <f>IF(AND(OR(YearFilter="All",$E1184=YearFilter),OR(RatingFilter="All",$D1184=RatingFilter),OR(TypeFilter="All",$C1184=TypeFilter)),1,0)</f>
        <v/>
      </c>
    </row>
    <row r="1185" ht="15" customHeight="1" s="20">
      <c r="A1185" s="19" t="inlineStr">
        <is>
          <t>s4336</t>
        </is>
      </c>
      <c r="B1185" s="19" t="inlineStr">
        <is>
          <t>Dramas</t>
        </is>
      </c>
      <c r="C1185" s="19">
        <f>IFERROR(INDEX(tblNetflix[type],MATCH($A1185,tblNetflix[show_id],0)),"")</f>
        <v/>
      </c>
      <c r="D1185" s="19">
        <f>IFERROR(INDEX(tblNetflix[rating],MATCH($A1185,tblNetflix[show_id],0)),"")</f>
        <v/>
      </c>
      <c r="E1185" s="19">
        <f>IFERROR(INDEX(tblNetflix[year_added],MATCH($A1185,tblNetflix[show_id],0)),"")</f>
        <v/>
      </c>
      <c r="F1185" s="19">
        <f>IF(AND(OR(YearFilter="All",$E1185=YearFilter),OR(RatingFilter="All",$D1185=RatingFilter),OR(TypeFilter="All",$C1185=TypeFilter)),1,0)</f>
        <v/>
      </c>
    </row>
    <row r="1186" ht="15" customHeight="1" s="20">
      <c r="A1186" s="19" t="inlineStr">
        <is>
          <t>s4336</t>
        </is>
      </c>
      <c r="B1186" s="19" t="inlineStr">
        <is>
          <t>International Movies</t>
        </is>
      </c>
      <c r="C1186" s="19">
        <f>IFERROR(INDEX(tblNetflix[type],MATCH($A1186,tblNetflix[show_id],0)),"")</f>
        <v/>
      </c>
      <c r="D1186" s="19">
        <f>IFERROR(INDEX(tblNetflix[rating],MATCH($A1186,tblNetflix[show_id],0)),"")</f>
        <v/>
      </c>
      <c r="E1186" s="19">
        <f>IFERROR(INDEX(tblNetflix[year_added],MATCH($A1186,tblNetflix[show_id],0)),"")</f>
        <v/>
      </c>
      <c r="F1186" s="19">
        <f>IF(AND(OR(YearFilter="All",$E1186=YearFilter),OR(RatingFilter="All",$D1186=RatingFilter),OR(TypeFilter="All",$C1186=TypeFilter)),1,0)</f>
        <v/>
      </c>
    </row>
    <row r="1187" ht="15" customHeight="1" s="20">
      <c r="A1187" s="19" t="inlineStr">
        <is>
          <t>s4347</t>
        </is>
      </c>
      <c r="B1187" s="19" t="inlineStr">
        <is>
          <t>Dramas</t>
        </is>
      </c>
      <c r="C1187" s="19">
        <f>IFERROR(INDEX(tblNetflix[type],MATCH($A1187,tblNetflix[show_id],0)),"")</f>
        <v/>
      </c>
      <c r="D1187" s="19">
        <f>IFERROR(INDEX(tblNetflix[rating],MATCH($A1187,tblNetflix[show_id],0)),"")</f>
        <v/>
      </c>
      <c r="E1187" s="19">
        <f>IFERROR(INDEX(tblNetflix[year_added],MATCH($A1187,tblNetflix[show_id],0)),"")</f>
        <v/>
      </c>
      <c r="F1187" s="19">
        <f>IF(AND(OR(YearFilter="All",$E1187=YearFilter),OR(RatingFilter="All",$D1187=RatingFilter),OR(TypeFilter="All",$C1187=TypeFilter)),1,0)</f>
        <v/>
      </c>
    </row>
    <row r="1188" ht="15" customHeight="1" s="20">
      <c r="A1188" s="19" t="inlineStr">
        <is>
          <t>s4347</t>
        </is>
      </c>
      <c r="B1188" s="19" t="inlineStr">
        <is>
          <t>Independent Movies</t>
        </is>
      </c>
      <c r="C1188" s="19">
        <f>IFERROR(INDEX(tblNetflix[type],MATCH($A1188,tblNetflix[show_id],0)),"")</f>
        <v/>
      </c>
      <c r="D1188" s="19">
        <f>IFERROR(INDEX(tblNetflix[rating],MATCH($A1188,tblNetflix[show_id],0)),"")</f>
        <v/>
      </c>
      <c r="E1188" s="19">
        <f>IFERROR(INDEX(tblNetflix[year_added],MATCH($A1188,tblNetflix[show_id],0)),"")</f>
        <v/>
      </c>
      <c r="F1188" s="19">
        <f>IF(AND(OR(YearFilter="All",$E1188=YearFilter),OR(RatingFilter="All",$D1188=RatingFilter),OR(TypeFilter="All",$C1188=TypeFilter)),1,0)</f>
        <v/>
      </c>
    </row>
    <row r="1189" ht="15" customHeight="1" s="20">
      <c r="A1189" s="19" t="inlineStr">
        <is>
          <t>s4347</t>
        </is>
      </c>
      <c r="B1189" s="19" t="inlineStr">
        <is>
          <t>International Movies</t>
        </is>
      </c>
      <c r="C1189" s="19">
        <f>IFERROR(INDEX(tblNetflix[type],MATCH($A1189,tblNetflix[show_id],0)),"")</f>
        <v/>
      </c>
      <c r="D1189" s="19">
        <f>IFERROR(INDEX(tblNetflix[rating],MATCH($A1189,tblNetflix[show_id],0)),"")</f>
        <v/>
      </c>
      <c r="E1189" s="19">
        <f>IFERROR(INDEX(tblNetflix[year_added],MATCH($A1189,tblNetflix[show_id],0)),"")</f>
        <v/>
      </c>
      <c r="F1189" s="19">
        <f>IF(AND(OR(YearFilter="All",$E1189=YearFilter),OR(RatingFilter="All",$D1189=RatingFilter),OR(TypeFilter="All",$C1189=TypeFilter)),1,0)</f>
        <v/>
      </c>
    </row>
    <row r="1190" ht="15" customHeight="1" s="20">
      <c r="A1190" s="19" t="inlineStr">
        <is>
          <t>s4358</t>
        </is>
      </c>
      <c r="B1190" s="19" t="inlineStr">
        <is>
          <t>Dramas</t>
        </is>
      </c>
      <c r="C1190" s="19">
        <f>IFERROR(INDEX(tblNetflix[type],MATCH($A1190,tblNetflix[show_id],0)),"")</f>
        <v/>
      </c>
      <c r="D1190" s="19">
        <f>IFERROR(INDEX(tblNetflix[rating],MATCH($A1190,tblNetflix[show_id],0)),"")</f>
        <v/>
      </c>
      <c r="E1190" s="19">
        <f>IFERROR(INDEX(tblNetflix[year_added],MATCH($A1190,tblNetflix[show_id],0)),"")</f>
        <v/>
      </c>
      <c r="F1190" s="19">
        <f>IF(AND(OR(YearFilter="All",$E1190=YearFilter),OR(RatingFilter="All",$D1190=RatingFilter),OR(TypeFilter="All",$C1190=TypeFilter)),1,0)</f>
        <v/>
      </c>
    </row>
    <row r="1191" ht="15" customHeight="1" s="20">
      <c r="A1191" s="19" t="inlineStr">
        <is>
          <t>s4358</t>
        </is>
      </c>
      <c r="B1191" s="19" t="inlineStr">
        <is>
          <t>Independent Movies</t>
        </is>
      </c>
      <c r="C1191" s="19">
        <f>IFERROR(INDEX(tblNetflix[type],MATCH($A1191,tblNetflix[show_id],0)),"")</f>
        <v/>
      </c>
      <c r="D1191" s="19">
        <f>IFERROR(INDEX(tblNetflix[rating],MATCH($A1191,tblNetflix[show_id],0)),"")</f>
        <v/>
      </c>
      <c r="E1191" s="19">
        <f>IFERROR(INDEX(tblNetflix[year_added],MATCH($A1191,tblNetflix[show_id],0)),"")</f>
        <v/>
      </c>
      <c r="F1191" s="19">
        <f>IF(AND(OR(YearFilter="All",$E1191=YearFilter),OR(RatingFilter="All",$D1191=RatingFilter),OR(TypeFilter="All",$C1191=TypeFilter)),1,0)</f>
        <v/>
      </c>
    </row>
    <row r="1192" ht="15" customHeight="1" s="20">
      <c r="A1192" s="19" t="inlineStr">
        <is>
          <t>s4358</t>
        </is>
      </c>
      <c r="B1192" s="19" t="inlineStr">
        <is>
          <t>International Movies</t>
        </is>
      </c>
      <c r="C1192" s="19">
        <f>IFERROR(INDEX(tblNetflix[type],MATCH($A1192,tblNetflix[show_id],0)),"")</f>
        <v/>
      </c>
      <c r="D1192" s="19">
        <f>IFERROR(INDEX(tblNetflix[rating],MATCH($A1192,tblNetflix[show_id],0)),"")</f>
        <v/>
      </c>
      <c r="E1192" s="19">
        <f>IFERROR(INDEX(tblNetflix[year_added],MATCH($A1192,tblNetflix[show_id],0)),"")</f>
        <v/>
      </c>
      <c r="F1192" s="19">
        <f>IF(AND(OR(YearFilter="All",$E1192=YearFilter),OR(RatingFilter="All",$D1192=RatingFilter),OR(TypeFilter="All",$C1192=TypeFilter)),1,0)</f>
        <v/>
      </c>
    </row>
    <row r="1193" ht="15" customHeight="1" s="20">
      <c r="A1193" s="19" t="inlineStr">
        <is>
          <t>s4359</t>
        </is>
      </c>
      <c r="B1193" s="19" t="inlineStr">
        <is>
          <t>Comedies</t>
        </is>
      </c>
      <c r="C1193" s="19">
        <f>IFERROR(INDEX(tblNetflix[type],MATCH($A1193,tblNetflix[show_id],0)),"")</f>
        <v/>
      </c>
      <c r="D1193" s="19">
        <f>IFERROR(INDEX(tblNetflix[rating],MATCH($A1193,tblNetflix[show_id],0)),"")</f>
        <v/>
      </c>
      <c r="E1193" s="19">
        <f>IFERROR(INDEX(tblNetflix[year_added],MATCH($A1193,tblNetflix[show_id],0)),"")</f>
        <v/>
      </c>
      <c r="F1193" s="19">
        <f>IF(AND(OR(YearFilter="All",$E1193=YearFilter),OR(RatingFilter="All",$D1193=RatingFilter),OR(TypeFilter="All",$C1193=TypeFilter)),1,0)</f>
        <v/>
      </c>
    </row>
    <row r="1194" ht="15" customHeight="1" s="20">
      <c r="A1194" s="19" t="inlineStr">
        <is>
          <t>s4359</t>
        </is>
      </c>
      <c r="B1194" s="19" t="inlineStr">
        <is>
          <t>Dramas</t>
        </is>
      </c>
      <c r="C1194" s="19">
        <f>IFERROR(INDEX(tblNetflix[type],MATCH($A1194,tblNetflix[show_id],0)),"")</f>
        <v/>
      </c>
      <c r="D1194" s="19">
        <f>IFERROR(INDEX(tblNetflix[rating],MATCH($A1194,tblNetflix[show_id],0)),"")</f>
        <v/>
      </c>
      <c r="E1194" s="19">
        <f>IFERROR(INDEX(tblNetflix[year_added],MATCH($A1194,tblNetflix[show_id],0)),"")</f>
        <v/>
      </c>
      <c r="F1194" s="19">
        <f>IF(AND(OR(YearFilter="All",$E1194=YearFilter),OR(RatingFilter="All",$D1194=RatingFilter),OR(TypeFilter="All",$C1194=TypeFilter)),1,0)</f>
        <v/>
      </c>
    </row>
    <row r="1195" ht="15" customHeight="1" s="20">
      <c r="A1195" s="19" t="inlineStr">
        <is>
          <t>s4359</t>
        </is>
      </c>
      <c r="B1195" s="19" t="inlineStr">
        <is>
          <t>International Movies</t>
        </is>
      </c>
      <c r="C1195" s="19">
        <f>IFERROR(INDEX(tblNetflix[type],MATCH($A1195,tblNetflix[show_id],0)),"")</f>
        <v/>
      </c>
      <c r="D1195" s="19">
        <f>IFERROR(INDEX(tblNetflix[rating],MATCH($A1195,tblNetflix[show_id],0)),"")</f>
        <v/>
      </c>
      <c r="E1195" s="19">
        <f>IFERROR(INDEX(tblNetflix[year_added],MATCH($A1195,tblNetflix[show_id],0)),"")</f>
        <v/>
      </c>
      <c r="F1195" s="19">
        <f>IF(AND(OR(YearFilter="All",$E1195=YearFilter),OR(RatingFilter="All",$D1195=RatingFilter),OR(TypeFilter="All",$C1195=TypeFilter)),1,0)</f>
        <v/>
      </c>
    </row>
    <row r="1196" ht="15" customHeight="1" s="20">
      <c r="A1196" s="19" t="inlineStr">
        <is>
          <t>s4389</t>
        </is>
      </c>
      <c r="B1196" s="19" t="inlineStr">
        <is>
          <t>Dramas</t>
        </is>
      </c>
      <c r="C1196" s="19">
        <f>IFERROR(INDEX(tblNetflix[type],MATCH($A1196,tblNetflix[show_id],0)),"")</f>
        <v/>
      </c>
      <c r="D1196" s="19">
        <f>IFERROR(INDEX(tblNetflix[rating],MATCH($A1196,tblNetflix[show_id],0)),"")</f>
        <v/>
      </c>
      <c r="E1196" s="19">
        <f>IFERROR(INDEX(tblNetflix[year_added],MATCH($A1196,tblNetflix[show_id],0)),"")</f>
        <v/>
      </c>
      <c r="F1196" s="19">
        <f>IF(AND(OR(YearFilter="All",$E1196=YearFilter),OR(RatingFilter="All",$D1196=RatingFilter),OR(TypeFilter="All",$C1196=TypeFilter)),1,0)</f>
        <v/>
      </c>
    </row>
    <row r="1197" ht="15" customHeight="1" s="20">
      <c r="A1197" s="19" t="inlineStr">
        <is>
          <t>s4389</t>
        </is>
      </c>
      <c r="B1197" s="19" t="inlineStr">
        <is>
          <t>Independent Movies</t>
        </is>
      </c>
      <c r="C1197" s="19">
        <f>IFERROR(INDEX(tblNetflix[type],MATCH($A1197,tblNetflix[show_id],0)),"")</f>
        <v/>
      </c>
      <c r="D1197" s="19">
        <f>IFERROR(INDEX(tblNetflix[rating],MATCH($A1197,tblNetflix[show_id],0)),"")</f>
        <v/>
      </c>
      <c r="E1197" s="19">
        <f>IFERROR(INDEX(tblNetflix[year_added],MATCH($A1197,tblNetflix[show_id],0)),"")</f>
        <v/>
      </c>
      <c r="F1197" s="19">
        <f>IF(AND(OR(YearFilter="All",$E1197=YearFilter),OR(RatingFilter="All",$D1197=RatingFilter),OR(TypeFilter="All",$C1197=TypeFilter)),1,0)</f>
        <v/>
      </c>
    </row>
    <row r="1198" ht="15" customHeight="1" s="20">
      <c r="A1198" s="19" t="inlineStr">
        <is>
          <t>s4389</t>
        </is>
      </c>
      <c r="B1198" s="19" t="inlineStr">
        <is>
          <t>International Movies</t>
        </is>
      </c>
      <c r="C1198" s="19">
        <f>IFERROR(INDEX(tblNetflix[type],MATCH($A1198,tblNetflix[show_id],0)),"")</f>
        <v/>
      </c>
      <c r="D1198" s="19">
        <f>IFERROR(INDEX(tblNetflix[rating],MATCH($A1198,tblNetflix[show_id],0)),"")</f>
        <v/>
      </c>
      <c r="E1198" s="19">
        <f>IFERROR(INDEX(tblNetflix[year_added],MATCH($A1198,tblNetflix[show_id],0)),"")</f>
        <v/>
      </c>
      <c r="F1198" s="19">
        <f>IF(AND(OR(YearFilter="All",$E1198=YearFilter),OR(RatingFilter="All",$D1198=RatingFilter),OR(TypeFilter="All",$C1198=TypeFilter)),1,0)</f>
        <v/>
      </c>
    </row>
    <row r="1199" ht="15" customHeight="1" s="20">
      <c r="A1199" s="19" t="inlineStr">
        <is>
          <t>s4392</t>
        </is>
      </c>
      <c r="B1199" s="19" t="inlineStr">
        <is>
          <t>Comedies</t>
        </is>
      </c>
      <c r="C1199" s="19">
        <f>IFERROR(INDEX(tblNetflix[type],MATCH($A1199,tblNetflix[show_id],0)),"")</f>
        <v/>
      </c>
      <c r="D1199" s="19">
        <f>IFERROR(INDEX(tblNetflix[rating],MATCH($A1199,tblNetflix[show_id],0)),"")</f>
        <v/>
      </c>
      <c r="E1199" s="19">
        <f>IFERROR(INDEX(tblNetflix[year_added],MATCH($A1199,tblNetflix[show_id],0)),"")</f>
        <v/>
      </c>
      <c r="F1199" s="19">
        <f>IF(AND(OR(YearFilter="All",$E1199=YearFilter),OR(RatingFilter="All",$D1199=RatingFilter),OR(TypeFilter="All",$C1199=TypeFilter)),1,0)</f>
        <v/>
      </c>
    </row>
    <row r="1200" ht="15" customHeight="1" s="20">
      <c r="A1200" s="19" t="inlineStr">
        <is>
          <t>s4392</t>
        </is>
      </c>
      <c r="B1200" s="19" t="inlineStr">
        <is>
          <t>Dramas</t>
        </is>
      </c>
      <c r="C1200" s="19">
        <f>IFERROR(INDEX(tblNetflix[type],MATCH($A1200,tblNetflix[show_id],0)),"")</f>
        <v/>
      </c>
      <c r="D1200" s="19">
        <f>IFERROR(INDEX(tblNetflix[rating],MATCH($A1200,tblNetflix[show_id],0)),"")</f>
        <v/>
      </c>
      <c r="E1200" s="19">
        <f>IFERROR(INDEX(tblNetflix[year_added],MATCH($A1200,tblNetflix[show_id],0)),"")</f>
        <v/>
      </c>
      <c r="F1200" s="19">
        <f>IF(AND(OR(YearFilter="All",$E1200=YearFilter),OR(RatingFilter="All",$D1200=RatingFilter),OR(TypeFilter="All",$C1200=TypeFilter)),1,0)</f>
        <v/>
      </c>
    </row>
    <row r="1201" ht="15" customHeight="1" s="20">
      <c r="A1201" s="19" t="inlineStr">
        <is>
          <t>s4392</t>
        </is>
      </c>
      <c r="B1201" s="19" t="inlineStr">
        <is>
          <t>Independent Movies</t>
        </is>
      </c>
      <c r="C1201" s="19">
        <f>IFERROR(INDEX(tblNetflix[type],MATCH($A1201,tblNetflix[show_id],0)),"")</f>
        <v/>
      </c>
      <c r="D1201" s="19">
        <f>IFERROR(INDEX(tblNetflix[rating],MATCH($A1201,tblNetflix[show_id],0)),"")</f>
        <v/>
      </c>
      <c r="E1201" s="19">
        <f>IFERROR(INDEX(tblNetflix[year_added],MATCH($A1201,tblNetflix[show_id],0)),"")</f>
        <v/>
      </c>
      <c r="F1201" s="19">
        <f>IF(AND(OR(YearFilter="All",$E1201=YearFilter),OR(RatingFilter="All",$D1201=RatingFilter),OR(TypeFilter="All",$C1201=TypeFilter)),1,0)</f>
        <v/>
      </c>
    </row>
    <row r="1202" ht="15" customHeight="1" s="20">
      <c r="A1202" s="19" t="inlineStr">
        <is>
          <t>s4394</t>
        </is>
      </c>
      <c r="B1202" s="19" t="inlineStr">
        <is>
          <t>Documentaries</t>
        </is>
      </c>
      <c r="C1202" s="19">
        <f>IFERROR(INDEX(tblNetflix[type],MATCH($A1202,tblNetflix[show_id],0)),"")</f>
        <v/>
      </c>
      <c r="D1202" s="19">
        <f>IFERROR(INDEX(tblNetflix[rating],MATCH($A1202,tblNetflix[show_id],0)),"")</f>
        <v/>
      </c>
      <c r="E1202" s="19">
        <f>IFERROR(INDEX(tblNetflix[year_added],MATCH($A1202,tblNetflix[show_id],0)),"")</f>
        <v/>
      </c>
      <c r="F1202" s="19">
        <f>IF(AND(OR(YearFilter="All",$E1202=YearFilter),OR(RatingFilter="All",$D1202=RatingFilter),OR(TypeFilter="All",$C1202=TypeFilter)),1,0)</f>
        <v/>
      </c>
    </row>
    <row r="1203" ht="15" customHeight="1" s="20">
      <c r="A1203" s="19" t="inlineStr">
        <is>
          <t>s4394</t>
        </is>
      </c>
      <c r="B1203" s="19" t="inlineStr">
        <is>
          <t>International Movies</t>
        </is>
      </c>
      <c r="C1203" s="19">
        <f>IFERROR(INDEX(tblNetflix[type],MATCH($A1203,tblNetflix[show_id],0)),"")</f>
        <v/>
      </c>
      <c r="D1203" s="19">
        <f>IFERROR(INDEX(tblNetflix[rating],MATCH($A1203,tblNetflix[show_id],0)),"")</f>
        <v/>
      </c>
      <c r="E1203" s="19">
        <f>IFERROR(INDEX(tblNetflix[year_added],MATCH($A1203,tblNetflix[show_id],0)),"")</f>
        <v/>
      </c>
      <c r="F1203" s="19">
        <f>IF(AND(OR(YearFilter="All",$E1203=YearFilter),OR(RatingFilter="All",$D1203=RatingFilter),OR(TypeFilter="All",$C1203=TypeFilter)),1,0)</f>
        <v/>
      </c>
    </row>
    <row r="1204" ht="15" customHeight="1" s="20">
      <c r="A1204" s="19" t="inlineStr">
        <is>
          <t>s4395</t>
        </is>
      </c>
      <c r="B1204" s="19" t="inlineStr">
        <is>
          <t>Comedies</t>
        </is>
      </c>
      <c r="C1204" s="19">
        <f>IFERROR(INDEX(tblNetflix[type],MATCH($A1204,tblNetflix[show_id],0)),"")</f>
        <v/>
      </c>
      <c r="D1204" s="19">
        <f>IFERROR(INDEX(tblNetflix[rating],MATCH($A1204,tblNetflix[show_id],0)),"")</f>
        <v/>
      </c>
      <c r="E1204" s="19">
        <f>IFERROR(INDEX(tblNetflix[year_added],MATCH($A1204,tblNetflix[show_id],0)),"")</f>
        <v/>
      </c>
      <c r="F1204" s="19">
        <f>IF(AND(OR(YearFilter="All",$E1204=YearFilter),OR(RatingFilter="All",$D1204=RatingFilter),OR(TypeFilter="All",$C1204=TypeFilter)),1,0)</f>
        <v/>
      </c>
    </row>
    <row r="1205" ht="15" customHeight="1" s="20">
      <c r="A1205" s="19" t="inlineStr">
        <is>
          <t>s4395</t>
        </is>
      </c>
      <c r="B1205" s="19" t="inlineStr">
        <is>
          <t>Independent Movies</t>
        </is>
      </c>
      <c r="C1205" s="19">
        <f>IFERROR(INDEX(tblNetflix[type],MATCH($A1205,tblNetflix[show_id],0)),"")</f>
        <v/>
      </c>
      <c r="D1205" s="19">
        <f>IFERROR(INDEX(tblNetflix[rating],MATCH($A1205,tblNetflix[show_id],0)),"")</f>
        <v/>
      </c>
      <c r="E1205" s="19">
        <f>IFERROR(INDEX(tblNetflix[year_added],MATCH($A1205,tblNetflix[show_id],0)),"")</f>
        <v/>
      </c>
      <c r="F1205" s="19">
        <f>IF(AND(OR(YearFilter="All",$E1205=YearFilter),OR(RatingFilter="All",$D1205=RatingFilter),OR(TypeFilter="All",$C1205=TypeFilter)),1,0)</f>
        <v/>
      </c>
    </row>
    <row r="1206" ht="15" customHeight="1" s="20">
      <c r="A1206" s="19" t="inlineStr">
        <is>
          <t>s4395</t>
        </is>
      </c>
      <c r="B1206" s="19" t="inlineStr">
        <is>
          <t>International Movies</t>
        </is>
      </c>
      <c r="C1206" s="19">
        <f>IFERROR(INDEX(tblNetflix[type],MATCH($A1206,tblNetflix[show_id],0)),"")</f>
        <v/>
      </c>
      <c r="D1206" s="19">
        <f>IFERROR(INDEX(tblNetflix[rating],MATCH($A1206,tblNetflix[show_id],0)),"")</f>
        <v/>
      </c>
      <c r="E1206" s="19">
        <f>IFERROR(INDEX(tblNetflix[year_added],MATCH($A1206,tblNetflix[show_id],0)),"")</f>
        <v/>
      </c>
      <c r="F1206" s="19">
        <f>IF(AND(OR(YearFilter="All",$E1206=YearFilter),OR(RatingFilter="All",$D1206=RatingFilter),OR(TypeFilter="All",$C1206=TypeFilter)),1,0)</f>
        <v/>
      </c>
    </row>
    <row r="1207" ht="15" customHeight="1" s="20">
      <c r="A1207" s="19" t="inlineStr">
        <is>
          <t>s4396</t>
        </is>
      </c>
      <c r="B1207" s="19" t="inlineStr">
        <is>
          <t>Horror Movies</t>
        </is>
      </c>
      <c r="C1207" s="19">
        <f>IFERROR(INDEX(tblNetflix[type],MATCH($A1207,tblNetflix[show_id],0)),"")</f>
        <v/>
      </c>
      <c r="D1207" s="19">
        <f>IFERROR(INDEX(tblNetflix[rating],MATCH($A1207,tblNetflix[show_id],0)),"")</f>
        <v/>
      </c>
      <c r="E1207" s="19">
        <f>IFERROR(INDEX(tblNetflix[year_added],MATCH($A1207,tblNetflix[show_id],0)),"")</f>
        <v/>
      </c>
      <c r="F1207" s="19">
        <f>IF(AND(OR(YearFilter="All",$E1207=YearFilter),OR(RatingFilter="All",$D1207=RatingFilter),OR(TypeFilter="All",$C1207=TypeFilter)),1,0)</f>
        <v/>
      </c>
    </row>
    <row r="1208" ht="15" customHeight="1" s="20">
      <c r="A1208" s="19" t="inlineStr">
        <is>
          <t>s4396</t>
        </is>
      </c>
      <c r="B1208" s="19" t="inlineStr">
        <is>
          <t>International Movies</t>
        </is>
      </c>
      <c r="C1208" s="19">
        <f>IFERROR(INDEX(tblNetflix[type],MATCH($A1208,tblNetflix[show_id],0)),"")</f>
        <v/>
      </c>
      <c r="D1208" s="19">
        <f>IFERROR(INDEX(tblNetflix[rating],MATCH($A1208,tblNetflix[show_id],0)),"")</f>
        <v/>
      </c>
      <c r="E1208" s="19">
        <f>IFERROR(INDEX(tblNetflix[year_added],MATCH($A1208,tblNetflix[show_id],0)),"")</f>
        <v/>
      </c>
      <c r="F1208" s="19">
        <f>IF(AND(OR(YearFilter="All",$E1208=YearFilter),OR(RatingFilter="All",$D1208=RatingFilter),OR(TypeFilter="All",$C1208=TypeFilter)),1,0)</f>
        <v/>
      </c>
    </row>
    <row r="1209" ht="15" customHeight="1" s="20">
      <c r="A1209" s="19" t="inlineStr">
        <is>
          <t>s4412</t>
        </is>
      </c>
      <c r="B1209" s="19" t="inlineStr">
        <is>
          <t>Dramas</t>
        </is>
      </c>
      <c r="C1209" s="19">
        <f>IFERROR(INDEX(tblNetflix[type],MATCH($A1209,tblNetflix[show_id],0)),"")</f>
        <v/>
      </c>
      <c r="D1209" s="19">
        <f>IFERROR(INDEX(tblNetflix[rating],MATCH($A1209,tblNetflix[show_id],0)),"")</f>
        <v/>
      </c>
      <c r="E1209" s="19">
        <f>IFERROR(INDEX(tblNetflix[year_added],MATCH($A1209,tblNetflix[show_id],0)),"")</f>
        <v/>
      </c>
      <c r="F1209" s="19">
        <f>IF(AND(OR(YearFilter="All",$E1209=YearFilter),OR(RatingFilter="All",$D1209=RatingFilter),OR(TypeFilter="All",$C1209=TypeFilter)),1,0)</f>
        <v/>
      </c>
    </row>
    <row r="1210" ht="15" customHeight="1" s="20">
      <c r="A1210" s="19" t="inlineStr">
        <is>
          <t>s4412</t>
        </is>
      </c>
      <c r="B1210" s="19" t="inlineStr">
        <is>
          <t>International Movies</t>
        </is>
      </c>
      <c r="C1210" s="19">
        <f>IFERROR(INDEX(tblNetflix[type],MATCH($A1210,tblNetflix[show_id],0)),"")</f>
        <v/>
      </c>
      <c r="D1210" s="19">
        <f>IFERROR(INDEX(tblNetflix[rating],MATCH($A1210,tblNetflix[show_id],0)),"")</f>
        <v/>
      </c>
      <c r="E1210" s="19">
        <f>IFERROR(INDEX(tblNetflix[year_added],MATCH($A1210,tblNetflix[show_id],0)),"")</f>
        <v/>
      </c>
      <c r="F1210" s="19">
        <f>IF(AND(OR(YearFilter="All",$E1210=YearFilter),OR(RatingFilter="All",$D1210=RatingFilter),OR(TypeFilter="All",$C1210=TypeFilter)),1,0)</f>
        <v/>
      </c>
    </row>
    <row r="1211" ht="15" customHeight="1" s="20">
      <c r="A1211" s="19" t="inlineStr">
        <is>
          <t>s4421</t>
        </is>
      </c>
      <c r="B1211" s="19" t="inlineStr">
        <is>
          <t>Comedies</t>
        </is>
      </c>
      <c r="C1211" s="19">
        <f>IFERROR(INDEX(tblNetflix[type],MATCH($A1211,tblNetflix[show_id],0)),"")</f>
        <v/>
      </c>
      <c r="D1211" s="19">
        <f>IFERROR(INDEX(tblNetflix[rating],MATCH($A1211,tblNetflix[show_id],0)),"")</f>
        <v/>
      </c>
      <c r="E1211" s="19">
        <f>IFERROR(INDEX(tblNetflix[year_added],MATCH($A1211,tblNetflix[show_id],0)),"")</f>
        <v/>
      </c>
      <c r="F1211" s="19">
        <f>IF(AND(OR(YearFilter="All",$E1211=YearFilter),OR(RatingFilter="All",$D1211=RatingFilter),OR(TypeFilter="All",$C1211=TypeFilter)),1,0)</f>
        <v/>
      </c>
    </row>
    <row r="1212" ht="15" customHeight="1" s="20">
      <c r="A1212" s="19" t="inlineStr">
        <is>
          <t>s4421</t>
        </is>
      </c>
      <c r="B1212" s="19" t="inlineStr">
        <is>
          <t>International Movies</t>
        </is>
      </c>
      <c r="C1212" s="19">
        <f>IFERROR(INDEX(tblNetflix[type],MATCH($A1212,tblNetflix[show_id],0)),"")</f>
        <v/>
      </c>
      <c r="D1212" s="19">
        <f>IFERROR(INDEX(tblNetflix[rating],MATCH($A1212,tblNetflix[show_id],0)),"")</f>
        <v/>
      </c>
      <c r="E1212" s="19">
        <f>IFERROR(INDEX(tblNetflix[year_added],MATCH($A1212,tblNetflix[show_id],0)),"")</f>
        <v/>
      </c>
      <c r="F1212" s="19">
        <f>IF(AND(OR(YearFilter="All",$E1212=YearFilter),OR(RatingFilter="All",$D1212=RatingFilter),OR(TypeFilter="All",$C1212=TypeFilter)),1,0)</f>
        <v/>
      </c>
    </row>
    <row r="1213" ht="15" customHeight="1" s="20">
      <c r="A1213" s="19" t="inlineStr">
        <is>
          <t>s4421</t>
        </is>
      </c>
      <c r="B1213" s="19" t="inlineStr">
        <is>
          <t>Music &amp; Musicals</t>
        </is>
      </c>
      <c r="C1213" s="19">
        <f>IFERROR(INDEX(tblNetflix[type],MATCH($A1213,tblNetflix[show_id],0)),"")</f>
        <v/>
      </c>
      <c r="D1213" s="19">
        <f>IFERROR(INDEX(tblNetflix[rating],MATCH($A1213,tblNetflix[show_id],0)),"")</f>
        <v/>
      </c>
      <c r="E1213" s="19">
        <f>IFERROR(INDEX(tblNetflix[year_added],MATCH($A1213,tblNetflix[show_id],0)),"")</f>
        <v/>
      </c>
      <c r="F1213" s="19">
        <f>IF(AND(OR(YearFilter="All",$E1213=YearFilter),OR(RatingFilter="All",$D1213=RatingFilter),OR(TypeFilter="All",$C1213=TypeFilter)),1,0)</f>
        <v/>
      </c>
    </row>
    <row r="1214" ht="15" customHeight="1" s="20">
      <c r="A1214" s="19" t="inlineStr">
        <is>
          <t>s4422</t>
        </is>
      </c>
      <c r="B1214" s="19" t="inlineStr">
        <is>
          <t>International Movies</t>
        </is>
      </c>
      <c r="C1214" s="19">
        <f>IFERROR(INDEX(tblNetflix[type],MATCH($A1214,tblNetflix[show_id],0)),"")</f>
        <v/>
      </c>
      <c r="D1214" s="19">
        <f>IFERROR(INDEX(tblNetflix[rating],MATCH($A1214,tblNetflix[show_id],0)),"")</f>
        <v/>
      </c>
      <c r="E1214" s="19">
        <f>IFERROR(INDEX(tblNetflix[year_added],MATCH($A1214,tblNetflix[show_id],0)),"")</f>
        <v/>
      </c>
      <c r="F1214" s="19">
        <f>IF(AND(OR(YearFilter="All",$E1214=YearFilter),OR(RatingFilter="All",$D1214=RatingFilter),OR(TypeFilter="All",$C1214=TypeFilter)),1,0)</f>
        <v/>
      </c>
    </row>
    <row r="1215" ht="15" customHeight="1" s="20">
      <c r="A1215" s="19" t="inlineStr">
        <is>
          <t>s4422</t>
        </is>
      </c>
      <c r="B1215" s="19" t="inlineStr">
        <is>
          <t>Thrillers</t>
        </is>
      </c>
      <c r="C1215" s="19">
        <f>IFERROR(INDEX(tblNetflix[type],MATCH($A1215,tblNetflix[show_id],0)),"")</f>
        <v/>
      </c>
      <c r="D1215" s="19">
        <f>IFERROR(INDEX(tblNetflix[rating],MATCH($A1215,tblNetflix[show_id],0)),"")</f>
        <v/>
      </c>
      <c r="E1215" s="19">
        <f>IFERROR(INDEX(tblNetflix[year_added],MATCH($A1215,tblNetflix[show_id],0)),"")</f>
        <v/>
      </c>
      <c r="F1215" s="19">
        <f>IF(AND(OR(YearFilter="All",$E1215=YearFilter),OR(RatingFilter="All",$D1215=RatingFilter),OR(TypeFilter="All",$C1215=TypeFilter)),1,0)</f>
        <v/>
      </c>
    </row>
    <row r="1216" ht="15" customHeight="1" s="20">
      <c r="A1216" s="19" t="inlineStr">
        <is>
          <t>s4423</t>
        </is>
      </c>
      <c r="B1216" s="19" t="inlineStr">
        <is>
          <t>Dramas</t>
        </is>
      </c>
      <c r="C1216" s="19">
        <f>IFERROR(INDEX(tblNetflix[type],MATCH($A1216,tblNetflix[show_id],0)),"")</f>
        <v/>
      </c>
      <c r="D1216" s="19">
        <f>IFERROR(INDEX(tblNetflix[rating],MATCH($A1216,tblNetflix[show_id],0)),"")</f>
        <v/>
      </c>
      <c r="E1216" s="19">
        <f>IFERROR(INDEX(tblNetflix[year_added],MATCH($A1216,tblNetflix[show_id],0)),"")</f>
        <v/>
      </c>
      <c r="F1216" s="19">
        <f>IF(AND(OR(YearFilter="All",$E1216=YearFilter),OR(RatingFilter="All",$D1216=RatingFilter),OR(TypeFilter="All",$C1216=TypeFilter)),1,0)</f>
        <v/>
      </c>
    </row>
    <row r="1217" ht="15" customHeight="1" s="20">
      <c r="A1217" s="19" t="inlineStr">
        <is>
          <t>s4423</t>
        </is>
      </c>
      <c r="B1217" s="19" t="inlineStr">
        <is>
          <t>International Movies</t>
        </is>
      </c>
      <c r="C1217" s="19">
        <f>IFERROR(INDEX(tblNetflix[type],MATCH($A1217,tblNetflix[show_id],0)),"")</f>
        <v/>
      </c>
      <c r="D1217" s="19">
        <f>IFERROR(INDEX(tblNetflix[rating],MATCH($A1217,tblNetflix[show_id],0)),"")</f>
        <v/>
      </c>
      <c r="E1217" s="19">
        <f>IFERROR(INDEX(tblNetflix[year_added],MATCH($A1217,tblNetflix[show_id],0)),"")</f>
        <v/>
      </c>
      <c r="F1217" s="19">
        <f>IF(AND(OR(YearFilter="All",$E1217=YearFilter),OR(RatingFilter="All",$D1217=RatingFilter),OR(TypeFilter="All",$C1217=TypeFilter)),1,0)</f>
        <v/>
      </c>
    </row>
    <row r="1218" ht="15" customHeight="1" s="20">
      <c r="A1218" s="19" t="inlineStr">
        <is>
          <t>s4423</t>
        </is>
      </c>
      <c r="B1218" s="19" t="inlineStr">
        <is>
          <t>Music &amp; Musicals</t>
        </is>
      </c>
      <c r="C1218" s="19">
        <f>IFERROR(INDEX(tblNetflix[type],MATCH($A1218,tblNetflix[show_id],0)),"")</f>
        <v/>
      </c>
      <c r="D1218" s="19">
        <f>IFERROR(INDEX(tblNetflix[rating],MATCH($A1218,tblNetflix[show_id],0)),"")</f>
        <v/>
      </c>
      <c r="E1218" s="19">
        <f>IFERROR(INDEX(tblNetflix[year_added],MATCH($A1218,tblNetflix[show_id],0)),"")</f>
        <v/>
      </c>
      <c r="F1218" s="19">
        <f>IF(AND(OR(YearFilter="All",$E1218=YearFilter),OR(RatingFilter="All",$D1218=RatingFilter),OR(TypeFilter="All",$C1218=TypeFilter)),1,0)</f>
        <v/>
      </c>
    </row>
    <row r="1219" ht="15" customHeight="1" s="20">
      <c r="A1219" s="19" t="inlineStr">
        <is>
          <t>s4424</t>
        </is>
      </c>
      <c r="B1219" s="19" t="inlineStr">
        <is>
          <t>Dramas</t>
        </is>
      </c>
      <c r="C1219" s="19">
        <f>IFERROR(INDEX(tblNetflix[type],MATCH($A1219,tblNetflix[show_id],0)),"")</f>
        <v/>
      </c>
      <c r="D1219" s="19">
        <f>IFERROR(INDEX(tblNetflix[rating],MATCH($A1219,tblNetflix[show_id],0)),"")</f>
        <v/>
      </c>
      <c r="E1219" s="19">
        <f>IFERROR(INDEX(tblNetflix[year_added],MATCH($A1219,tblNetflix[show_id],0)),"")</f>
        <v/>
      </c>
      <c r="F1219" s="19">
        <f>IF(AND(OR(YearFilter="All",$E1219=YearFilter),OR(RatingFilter="All",$D1219=RatingFilter),OR(TypeFilter="All",$C1219=TypeFilter)),1,0)</f>
        <v/>
      </c>
    </row>
    <row r="1220" ht="15" customHeight="1" s="20">
      <c r="A1220" s="19" t="inlineStr">
        <is>
          <t>s4424</t>
        </is>
      </c>
      <c r="B1220" s="19" t="inlineStr">
        <is>
          <t>International Movies</t>
        </is>
      </c>
      <c r="C1220" s="19">
        <f>IFERROR(INDEX(tblNetflix[type],MATCH($A1220,tblNetflix[show_id],0)),"")</f>
        <v/>
      </c>
      <c r="D1220" s="19">
        <f>IFERROR(INDEX(tblNetflix[rating],MATCH($A1220,tblNetflix[show_id],0)),"")</f>
        <v/>
      </c>
      <c r="E1220" s="19">
        <f>IFERROR(INDEX(tblNetflix[year_added],MATCH($A1220,tblNetflix[show_id],0)),"")</f>
        <v/>
      </c>
      <c r="F1220" s="19">
        <f>IF(AND(OR(YearFilter="All",$E1220=YearFilter),OR(RatingFilter="All",$D1220=RatingFilter),OR(TypeFilter="All",$C1220=TypeFilter)),1,0)</f>
        <v/>
      </c>
    </row>
    <row r="1221" ht="15" customHeight="1" s="20">
      <c r="A1221" s="19" t="inlineStr">
        <is>
          <t>s4425</t>
        </is>
      </c>
      <c r="B1221" s="19" t="inlineStr">
        <is>
          <t>Action &amp; Adventure</t>
        </is>
      </c>
      <c r="C1221" s="19">
        <f>IFERROR(INDEX(tblNetflix[type],MATCH($A1221,tblNetflix[show_id],0)),"")</f>
        <v/>
      </c>
      <c r="D1221" s="19">
        <f>IFERROR(INDEX(tblNetflix[rating],MATCH($A1221,tblNetflix[show_id],0)),"")</f>
        <v/>
      </c>
      <c r="E1221" s="19">
        <f>IFERROR(INDEX(tblNetflix[year_added],MATCH($A1221,tblNetflix[show_id],0)),"")</f>
        <v/>
      </c>
      <c r="F1221" s="19">
        <f>IF(AND(OR(YearFilter="All",$E1221=YearFilter),OR(RatingFilter="All",$D1221=RatingFilter),OR(TypeFilter="All",$C1221=TypeFilter)),1,0)</f>
        <v/>
      </c>
    </row>
    <row r="1222" ht="15" customHeight="1" s="20">
      <c r="A1222" s="19" t="inlineStr">
        <is>
          <t>s4425</t>
        </is>
      </c>
      <c r="B1222" s="19" t="inlineStr">
        <is>
          <t>Dramas</t>
        </is>
      </c>
      <c r="C1222" s="19">
        <f>IFERROR(INDEX(tblNetflix[type],MATCH($A1222,tblNetflix[show_id],0)),"")</f>
        <v/>
      </c>
      <c r="D1222" s="19">
        <f>IFERROR(INDEX(tblNetflix[rating],MATCH($A1222,tblNetflix[show_id],0)),"")</f>
        <v/>
      </c>
      <c r="E1222" s="19">
        <f>IFERROR(INDEX(tblNetflix[year_added],MATCH($A1222,tblNetflix[show_id],0)),"")</f>
        <v/>
      </c>
      <c r="F1222" s="19">
        <f>IF(AND(OR(YearFilter="All",$E1222=YearFilter),OR(RatingFilter="All",$D1222=RatingFilter),OR(TypeFilter="All",$C1222=TypeFilter)),1,0)</f>
        <v/>
      </c>
    </row>
    <row r="1223" ht="15" customHeight="1" s="20">
      <c r="A1223" s="19" t="inlineStr">
        <is>
          <t>s4425</t>
        </is>
      </c>
      <c r="B1223" s="19" t="inlineStr">
        <is>
          <t>International Movies</t>
        </is>
      </c>
      <c r="C1223" s="19">
        <f>IFERROR(INDEX(tblNetflix[type],MATCH($A1223,tblNetflix[show_id],0)),"")</f>
        <v/>
      </c>
      <c r="D1223" s="19">
        <f>IFERROR(INDEX(tblNetflix[rating],MATCH($A1223,tblNetflix[show_id],0)),"")</f>
        <v/>
      </c>
      <c r="E1223" s="19">
        <f>IFERROR(INDEX(tblNetflix[year_added],MATCH($A1223,tblNetflix[show_id],0)),"")</f>
        <v/>
      </c>
      <c r="F1223" s="19">
        <f>IF(AND(OR(YearFilter="All",$E1223=YearFilter),OR(RatingFilter="All",$D1223=RatingFilter),OR(TypeFilter="All",$C1223=TypeFilter)),1,0)</f>
        <v/>
      </c>
    </row>
    <row r="1224" ht="15" customHeight="1" s="20">
      <c r="A1224" s="19" t="inlineStr">
        <is>
          <t>s4426</t>
        </is>
      </c>
      <c r="B1224" s="19" t="inlineStr">
        <is>
          <t>Dramas</t>
        </is>
      </c>
      <c r="C1224" s="19">
        <f>IFERROR(INDEX(tblNetflix[type],MATCH($A1224,tblNetflix[show_id],0)),"")</f>
        <v/>
      </c>
      <c r="D1224" s="19">
        <f>IFERROR(INDEX(tblNetflix[rating],MATCH($A1224,tblNetflix[show_id],0)),"")</f>
        <v/>
      </c>
      <c r="E1224" s="19">
        <f>IFERROR(INDEX(tblNetflix[year_added],MATCH($A1224,tblNetflix[show_id],0)),"")</f>
        <v/>
      </c>
      <c r="F1224" s="19">
        <f>IF(AND(OR(YearFilter="All",$E1224=YearFilter),OR(RatingFilter="All",$D1224=RatingFilter),OR(TypeFilter="All",$C1224=TypeFilter)),1,0)</f>
        <v/>
      </c>
    </row>
    <row r="1225" ht="15" customHeight="1" s="20">
      <c r="A1225" s="19" t="inlineStr">
        <is>
          <t>s4426</t>
        </is>
      </c>
      <c r="B1225" s="19" t="inlineStr">
        <is>
          <t>International Movies</t>
        </is>
      </c>
      <c r="C1225" s="19">
        <f>IFERROR(INDEX(tblNetflix[type],MATCH($A1225,tblNetflix[show_id],0)),"")</f>
        <v/>
      </c>
      <c r="D1225" s="19">
        <f>IFERROR(INDEX(tblNetflix[rating],MATCH($A1225,tblNetflix[show_id],0)),"")</f>
        <v/>
      </c>
      <c r="E1225" s="19">
        <f>IFERROR(INDEX(tblNetflix[year_added],MATCH($A1225,tblNetflix[show_id],0)),"")</f>
        <v/>
      </c>
      <c r="F1225" s="19">
        <f>IF(AND(OR(YearFilter="All",$E1225=YearFilter),OR(RatingFilter="All",$D1225=RatingFilter),OR(TypeFilter="All",$C1225=TypeFilter)),1,0)</f>
        <v/>
      </c>
    </row>
    <row r="1226" ht="15" customHeight="1" s="20">
      <c r="A1226" s="19" t="inlineStr">
        <is>
          <t>s4426</t>
        </is>
      </c>
      <c r="B1226" s="19" t="inlineStr">
        <is>
          <t>Music &amp; Musicals</t>
        </is>
      </c>
      <c r="C1226" s="19">
        <f>IFERROR(INDEX(tblNetflix[type],MATCH($A1226,tblNetflix[show_id],0)),"")</f>
        <v/>
      </c>
      <c r="D1226" s="19">
        <f>IFERROR(INDEX(tblNetflix[rating],MATCH($A1226,tblNetflix[show_id],0)),"")</f>
        <v/>
      </c>
      <c r="E1226" s="19">
        <f>IFERROR(INDEX(tblNetflix[year_added],MATCH($A1226,tblNetflix[show_id],0)),"")</f>
        <v/>
      </c>
      <c r="F1226" s="19">
        <f>IF(AND(OR(YearFilter="All",$E1226=YearFilter),OR(RatingFilter="All",$D1226=RatingFilter),OR(TypeFilter="All",$C1226=TypeFilter)),1,0)</f>
        <v/>
      </c>
    </row>
    <row r="1227" ht="15" customHeight="1" s="20">
      <c r="A1227" s="19" t="inlineStr">
        <is>
          <t>s4427</t>
        </is>
      </c>
      <c r="B1227" s="19" t="inlineStr">
        <is>
          <t>Comedies</t>
        </is>
      </c>
      <c r="C1227" s="19">
        <f>IFERROR(INDEX(tblNetflix[type],MATCH($A1227,tblNetflix[show_id],0)),"")</f>
        <v/>
      </c>
      <c r="D1227" s="19">
        <f>IFERROR(INDEX(tblNetflix[rating],MATCH($A1227,tblNetflix[show_id],0)),"")</f>
        <v/>
      </c>
      <c r="E1227" s="19">
        <f>IFERROR(INDEX(tblNetflix[year_added],MATCH($A1227,tblNetflix[show_id],0)),"")</f>
        <v/>
      </c>
      <c r="F1227" s="19">
        <f>IF(AND(OR(YearFilter="All",$E1227=YearFilter),OR(RatingFilter="All",$D1227=RatingFilter),OR(TypeFilter="All",$C1227=TypeFilter)),1,0)</f>
        <v/>
      </c>
    </row>
    <row r="1228" ht="15" customHeight="1" s="20">
      <c r="A1228" s="19" t="inlineStr">
        <is>
          <t>s4427</t>
        </is>
      </c>
      <c r="B1228" s="19" t="inlineStr">
        <is>
          <t>Dramas</t>
        </is>
      </c>
      <c r="C1228" s="19">
        <f>IFERROR(INDEX(tblNetflix[type],MATCH($A1228,tblNetflix[show_id],0)),"")</f>
        <v/>
      </c>
      <c r="D1228" s="19">
        <f>IFERROR(INDEX(tblNetflix[rating],MATCH($A1228,tblNetflix[show_id],0)),"")</f>
        <v/>
      </c>
      <c r="E1228" s="19">
        <f>IFERROR(INDEX(tblNetflix[year_added],MATCH($A1228,tblNetflix[show_id],0)),"")</f>
        <v/>
      </c>
      <c r="F1228" s="19">
        <f>IF(AND(OR(YearFilter="All",$E1228=YearFilter),OR(RatingFilter="All",$D1228=RatingFilter),OR(TypeFilter="All",$C1228=TypeFilter)),1,0)</f>
        <v/>
      </c>
    </row>
    <row r="1229" ht="15" customHeight="1" s="20">
      <c r="A1229" s="19" t="inlineStr">
        <is>
          <t>s4427</t>
        </is>
      </c>
      <c r="B1229" s="19" t="inlineStr">
        <is>
          <t>International Movies</t>
        </is>
      </c>
      <c r="C1229" s="19">
        <f>IFERROR(INDEX(tblNetflix[type],MATCH($A1229,tblNetflix[show_id],0)),"")</f>
        <v/>
      </c>
      <c r="D1229" s="19">
        <f>IFERROR(INDEX(tblNetflix[rating],MATCH($A1229,tblNetflix[show_id],0)),"")</f>
        <v/>
      </c>
      <c r="E1229" s="19">
        <f>IFERROR(INDEX(tblNetflix[year_added],MATCH($A1229,tblNetflix[show_id],0)),"")</f>
        <v/>
      </c>
      <c r="F1229" s="19">
        <f>IF(AND(OR(YearFilter="All",$E1229=YearFilter),OR(RatingFilter="All",$D1229=RatingFilter),OR(TypeFilter="All",$C1229=TypeFilter)),1,0)</f>
        <v/>
      </c>
    </row>
    <row r="1230" ht="15" customHeight="1" s="20">
      <c r="A1230" s="19" t="inlineStr">
        <is>
          <t>s4428</t>
        </is>
      </c>
      <c r="B1230" s="19" t="inlineStr">
        <is>
          <t>Comedies</t>
        </is>
      </c>
      <c r="C1230" s="19">
        <f>IFERROR(INDEX(tblNetflix[type],MATCH($A1230,tblNetflix[show_id],0)),"")</f>
        <v/>
      </c>
      <c r="D1230" s="19">
        <f>IFERROR(INDEX(tblNetflix[rating],MATCH($A1230,tblNetflix[show_id],0)),"")</f>
        <v/>
      </c>
      <c r="E1230" s="19">
        <f>IFERROR(INDEX(tblNetflix[year_added],MATCH($A1230,tblNetflix[show_id],0)),"")</f>
        <v/>
      </c>
      <c r="F1230" s="19">
        <f>IF(AND(OR(YearFilter="All",$E1230=YearFilter),OR(RatingFilter="All",$D1230=RatingFilter),OR(TypeFilter="All",$C1230=TypeFilter)),1,0)</f>
        <v/>
      </c>
    </row>
    <row r="1231" ht="15" customHeight="1" s="20">
      <c r="A1231" s="19" t="inlineStr">
        <is>
          <t>s4428</t>
        </is>
      </c>
      <c r="B1231" s="19" t="inlineStr">
        <is>
          <t>Dramas</t>
        </is>
      </c>
      <c r="C1231" s="19">
        <f>IFERROR(INDEX(tblNetflix[type],MATCH($A1231,tblNetflix[show_id],0)),"")</f>
        <v/>
      </c>
      <c r="D1231" s="19">
        <f>IFERROR(INDEX(tblNetflix[rating],MATCH($A1231,tblNetflix[show_id],0)),"")</f>
        <v/>
      </c>
      <c r="E1231" s="19">
        <f>IFERROR(INDEX(tblNetflix[year_added],MATCH($A1231,tblNetflix[show_id],0)),"")</f>
        <v/>
      </c>
      <c r="F1231" s="19">
        <f>IF(AND(OR(YearFilter="All",$E1231=YearFilter),OR(RatingFilter="All",$D1231=RatingFilter),OR(TypeFilter="All",$C1231=TypeFilter)),1,0)</f>
        <v/>
      </c>
    </row>
    <row r="1232" ht="15" customHeight="1" s="20">
      <c r="A1232" s="19" t="inlineStr">
        <is>
          <t>s4428</t>
        </is>
      </c>
      <c r="B1232" s="19" t="inlineStr">
        <is>
          <t>International Movies</t>
        </is>
      </c>
      <c r="C1232" s="19">
        <f>IFERROR(INDEX(tblNetflix[type],MATCH($A1232,tblNetflix[show_id],0)),"")</f>
        <v/>
      </c>
      <c r="D1232" s="19">
        <f>IFERROR(INDEX(tblNetflix[rating],MATCH($A1232,tblNetflix[show_id],0)),"")</f>
        <v/>
      </c>
      <c r="E1232" s="19">
        <f>IFERROR(INDEX(tblNetflix[year_added],MATCH($A1232,tblNetflix[show_id],0)),"")</f>
        <v/>
      </c>
      <c r="F1232" s="19">
        <f>IF(AND(OR(YearFilter="All",$E1232=YearFilter),OR(RatingFilter="All",$D1232=RatingFilter),OR(TypeFilter="All",$C1232=TypeFilter)),1,0)</f>
        <v/>
      </c>
    </row>
    <row r="1233" ht="15" customHeight="1" s="20">
      <c r="A1233" s="19" t="inlineStr">
        <is>
          <t>s4430</t>
        </is>
      </c>
      <c r="B1233" s="19" t="inlineStr">
        <is>
          <t>Comedies</t>
        </is>
      </c>
      <c r="C1233" s="19">
        <f>IFERROR(INDEX(tblNetflix[type],MATCH($A1233,tblNetflix[show_id],0)),"")</f>
        <v/>
      </c>
      <c r="D1233" s="19">
        <f>IFERROR(INDEX(tblNetflix[rating],MATCH($A1233,tblNetflix[show_id],0)),"")</f>
        <v/>
      </c>
      <c r="E1233" s="19">
        <f>IFERROR(INDEX(tblNetflix[year_added],MATCH($A1233,tblNetflix[show_id],0)),"")</f>
        <v/>
      </c>
      <c r="F1233" s="19">
        <f>IF(AND(OR(YearFilter="All",$E1233=YearFilter),OR(RatingFilter="All",$D1233=RatingFilter),OR(TypeFilter="All",$C1233=TypeFilter)),1,0)</f>
        <v/>
      </c>
    </row>
    <row r="1234" ht="15" customHeight="1" s="20">
      <c r="A1234" s="19" t="inlineStr">
        <is>
          <t>s4430</t>
        </is>
      </c>
      <c r="B1234" s="19" t="inlineStr">
        <is>
          <t>Dramas</t>
        </is>
      </c>
      <c r="C1234" s="19">
        <f>IFERROR(INDEX(tblNetflix[type],MATCH($A1234,tblNetflix[show_id],0)),"")</f>
        <v/>
      </c>
      <c r="D1234" s="19">
        <f>IFERROR(INDEX(tblNetflix[rating],MATCH($A1234,tblNetflix[show_id],0)),"")</f>
        <v/>
      </c>
      <c r="E1234" s="19">
        <f>IFERROR(INDEX(tblNetflix[year_added],MATCH($A1234,tblNetflix[show_id],0)),"")</f>
        <v/>
      </c>
      <c r="F1234" s="19">
        <f>IF(AND(OR(YearFilter="All",$E1234=YearFilter),OR(RatingFilter="All",$D1234=RatingFilter),OR(TypeFilter="All",$C1234=TypeFilter)),1,0)</f>
        <v/>
      </c>
    </row>
    <row r="1235" ht="15" customHeight="1" s="20">
      <c r="A1235" s="19" t="inlineStr">
        <is>
          <t>s4430</t>
        </is>
      </c>
      <c r="B1235" s="19" t="inlineStr">
        <is>
          <t>International Movies</t>
        </is>
      </c>
      <c r="C1235" s="19">
        <f>IFERROR(INDEX(tblNetflix[type],MATCH($A1235,tblNetflix[show_id],0)),"")</f>
        <v/>
      </c>
      <c r="D1235" s="19">
        <f>IFERROR(INDEX(tblNetflix[rating],MATCH($A1235,tblNetflix[show_id],0)),"")</f>
        <v/>
      </c>
      <c r="E1235" s="19">
        <f>IFERROR(INDEX(tblNetflix[year_added],MATCH($A1235,tblNetflix[show_id],0)),"")</f>
        <v/>
      </c>
      <c r="F1235" s="19">
        <f>IF(AND(OR(YearFilter="All",$E1235=YearFilter),OR(RatingFilter="All",$D1235=RatingFilter),OR(TypeFilter="All",$C1235=TypeFilter)),1,0)</f>
        <v/>
      </c>
    </row>
    <row r="1236" ht="15" customHeight="1" s="20">
      <c r="A1236" s="19" t="inlineStr">
        <is>
          <t>s4432</t>
        </is>
      </c>
      <c r="B1236" s="19" t="inlineStr">
        <is>
          <t>Dramas</t>
        </is>
      </c>
      <c r="C1236" s="19">
        <f>IFERROR(INDEX(tblNetflix[type],MATCH($A1236,tblNetflix[show_id],0)),"")</f>
        <v/>
      </c>
      <c r="D1236" s="19">
        <f>IFERROR(INDEX(tblNetflix[rating],MATCH($A1236,tblNetflix[show_id],0)),"")</f>
        <v/>
      </c>
      <c r="E1236" s="19">
        <f>IFERROR(INDEX(tblNetflix[year_added],MATCH($A1236,tblNetflix[show_id],0)),"")</f>
        <v/>
      </c>
      <c r="F1236" s="19">
        <f>IF(AND(OR(YearFilter="All",$E1236=YearFilter),OR(RatingFilter="All",$D1236=RatingFilter),OR(TypeFilter="All",$C1236=TypeFilter)),1,0)</f>
        <v/>
      </c>
    </row>
    <row r="1237" ht="15" customHeight="1" s="20">
      <c r="A1237" s="19" t="inlineStr">
        <is>
          <t>s4432</t>
        </is>
      </c>
      <c r="B1237" s="19" t="inlineStr">
        <is>
          <t>International Movies</t>
        </is>
      </c>
      <c r="C1237" s="19">
        <f>IFERROR(INDEX(tblNetflix[type],MATCH($A1237,tblNetflix[show_id],0)),"")</f>
        <v/>
      </c>
      <c r="D1237" s="19">
        <f>IFERROR(INDEX(tblNetflix[rating],MATCH($A1237,tblNetflix[show_id],0)),"")</f>
        <v/>
      </c>
      <c r="E1237" s="19">
        <f>IFERROR(INDEX(tblNetflix[year_added],MATCH($A1237,tblNetflix[show_id],0)),"")</f>
        <v/>
      </c>
      <c r="F1237" s="19">
        <f>IF(AND(OR(YearFilter="All",$E1237=YearFilter),OR(RatingFilter="All",$D1237=RatingFilter),OR(TypeFilter="All",$C1237=TypeFilter)),1,0)</f>
        <v/>
      </c>
    </row>
    <row r="1238" ht="15" customHeight="1" s="20">
      <c r="A1238" s="19" t="inlineStr">
        <is>
          <t>s4432</t>
        </is>
      </c>
      <c r="B1238" s="19" t="inlineStr">
        <is>
          <t>Music &amp; Musicals</t>
        </is>
      </c>
      <c r="C1238" s="19">
        <f>IFERROR(INDEX(tblNetflix[type],MATCH($A1238,tblNetflix[show_id],0)),"")</f>
        <v/>
      </c>
      <c r="D1238" s="19">
        <f>IFERROR(INDEX(tblNetflix[rating],MATCH($A1238,tblNetflix[show_id],0)),"")</f>
        <v/>
      </c>
      <c r="E1238" s="19">
        <f>IFERROR(INDEX(tblNetflix[year_added],MATCH($A1238,tblNetflix[show_id],0)),"")</f>
        <v/>
      </c>
      <c r="F1238" s="19">
        <f>IF(AND(OR(YearFilter="All",$E1238=YearFilter),OR(RatingFilter="All",$D1238=RatingFilter),OR(TypeFilter="All",$C1238=TypeFilter)),1,0)</f>
        <v/>
      </c>
    </row>
    <row r="1239" ht="15" customHeight="1" s="20">
      <c r="A1239" s="19" t="inlineStr">
        <is>
          <t>s4433</t>
        </is>
      </c>
      <c r="B1239" s="19" t="inlineStr">
        <is>
          <t>Comedies</t>
        </is>
      </c>
      <c r="C1239" s="19">
        <f>IFERROR(INDEX(tblNetflix[type],MATCH($A1239,tblNetflix[show_id],0)),"")</f>
        <v/>
      </c>
      <c r="D1239" s="19">
        <f>IFERROR(INDEX(tblNetflix[rating],MATCH($A1239,tblNetflix[show_id],0)),"")</f>
        <v/>
      </c>
      <c r="E1239" s="19">
        <f>IFERROR(INDEX(tblNetflix[year_added],MATCH($A1239,tblNetflix[show_id],0)),"")</f>
        <v/>
      </c>
      <c r="F1239" s="19">
        <f>IF(AND(OR(YearFilter="All",$E1239=YearFilter),OR(RatingFilter="All",$D1239=RatingFilter),OR(TypeFilter="All",$C1239=TypeFilter)),1,0)</f>
        <v/>
      </c>
    </row>
    <row r="1240" ht="15" customHeight="1" s="20">
      <c r="A1240" s="19" t="inlineStr">
        <is>
          <t>s4433</t>
        </is>
      </c>
      <c r="B1240" s="19" t="inlineStr">
        <is>
          <t>International Movies</t>
        </is>
      </c>
      <c r="C1240" s="19">
        <f>IFERROR(INDEX(tblNetflix[type],MATCH($A1240,tblNetflix[show_id],0)),"")</f>
        <v/>
      </c>
      <c r="D1240" s="19">
        <f>IFERROR(INDEX(tblNetflix[rating],MATCH($A1240,tblNetflix[show_id],0)),"")</f>
        <v/>
      </c>
      <c r="E1240" s="19">
        <f>IFERROR(INDEX(tblNetflix[year_added],MATCH($A1240,tblNetflix[show_id],0)),"")</f>
        <v/>
      </c>
      <c r="F1240" s="19">
        <f>IF(AND(OR(YearFilter="All",$E1240=YearFilter),OR(RatingFilter="All",$D1240=RatingFilter),OR(TypeFilter="All",$C1240=TypeFilter)),1,0)</f>
        <v/>
      </c>
    </row>
    <row r="1241" ht="15" customHeight="1" s="20">
      <c r="A1241" s="19" t="inlineStr">
        <is>
          <t>s4433</t>
        </is>
      </c>
      <c r="B1241" s="19" t="inlineStr">
        <is>
          <t>Music &amp; Musicals</t>
        </is>
      </c>
      <c r="C1241" s="19">
        <f>IFERROR(INDEX(tblNetflix[type],MATCH($A1241,tblNetflix[show_id],0)),"")</f>
        <v/>
      </c>
      <c r="D1241" s="19">
        <f>IFERROR(INDEX(tblNetflix[rating],MATCH($A1241,tblNetflix[show_id],0)),"")</f>
        <v/>
      </c>
      <c r="E1241" s="19">
        <f>IFERROR(INDEX(tblNetflix[year_added],MATCH($A1241,tblNetflix[show_id],0)),"")</f>
        <v/>
      </c>
      <c r="F1241" s="19">
        <f>IF(AND(OR(YearFilter="All",$E1241=YearFilter),OR(RatingFilter="All",$D1241=RatingFilter),OR(TypeFilter="All",$C1241=TypeFilter)),1,0)</f>
        <v/>
      </c>
    </row>
    <row r="1242" ht="15" customHeight="1" s="20">
      <c r="A1242" s="19" t="inlineStr">
        <is>
          <t>s4434</t>
        </is>
      </c>
      <c r="B1242" s="19" t="inlineStr">
        <is>
          <t>Comedies</t>
        </is>
      </c>
      <c r="C1242" s="19">
        <f>IFERROR(INDEX(tblNetflix[type],MATCH($A1242,tblNetflix[show_id],0)),"")</f>
        <v/>
      </c>
      <c r="D1242" s="19">
        <f>IFERROR(INDEX(tblNetflix[rating],MATCH($A1242,tblNetflix[show_id],0)),"")</f>
        <v/>
      </c>
      <c r="E1242" s="19">
        <f>IFERROR(INDEX(tblNetflix[year_added],MATCH($A1242,tblNetflix[show_id],0)),"")</f>
        <v/>
      </c>
      <c r="F1242" s="19">
        <f>IF(AND(OR(YearFilter="All",$E1242=YearFilter),OR(RatingFilter="All",$D1242=RatingFilter),OR(TypeFilter="All",$C1242=TypeFilter)),1,0)</f>
        <v/>
      </c>
    </row>
    <row r="1243" ht="15" customHeight="1" s="20">
      <c r="A1243" s="19" t="inlineStr">
        <is>
          <t>s4434</t>
        </is>
      </c>
      <c r="B1243" s="19" t="inlineStr">
        <is>
          <t>International Movies</t>
        </is>
      </c>
      <c r="C1243" s="19">
        <f>IFERROR(INDEX(tblNetflix[type],MATCH($A1243,tblNetflix[show_id],0)),"")</f>
        <v/>
      </c>
      <c r="D1243" s="19">
        <f>IFERROR(INDEX(tblNetflix[rating],MATCH($A1243,tblNetflix[show_id],0)),"")</f>
        <v/>
      </c>
      <c r="E1243" s="19">
        <f>IFERROR(INDEX(tblNetflix[year_added],MATCH($A1243,tblNetflix[show_id],0)),"")</f>
        <v/>
      </c>
      <c r="F1243" s="19">
        <f>IF(AND(OR(YearFilter="All",$E1243=YearFilter),OR(RatingFilter="All",$D1243=RatingFilter),OR(TypeFilter="All",$C1243=TypeFilter)),1,0)</f>
        <v/>
      </c>
    </row>
    <row r="1244" ht="15" customHeight="1" s="20">
      <c r="A1244" s="19" t="inlineStr">
        <is>
          <t>s4438</t>
        </is>
      </c>
      <c r="B1244" s="19" t="inlineStr">
        <is>
          <t>Dramas</t>
        </is>
      </c>
      <c r="C1244" s="19">
        <f>IFERROR(INDEX(tblNetflix[type],MATCH($A1244,tblNetflix[show_id],0)),"")</f>
        <v/>
      </c>
      <c r="D1244" s="19">
        <f>IFERROR(INDEX(tblNetflix[rating],MATCH($A1244,tblNetflix[show_id],0)),"")</f>
        <v/>
      </c>
      <c r="E1244" s="19">
        <f>IFERROR(INDEX(tblNetflix[year_added],MATCH($A1244,tblNetflix[show_id],0)),"")</f>
        <v/>
      </c>
      <c r="F1244" s="19">
        <f>IF(AND(OR(YearFilter="All",$E1244=YearFilter),OR(RatingFilter="All",$D1244=RatingFilter),OR(TypeFilter="All",$C1244=TypeFilter)),1,0)</f>
        <v/>
      </c>
    </row>
    <row r="1245" ht="15" customHeight="1" s="20">
      <c r="A1245" s="19" t="inlineStr">
        <is>
          <t>s4438</t>
        </is>
      </c>
      <c r="B1245" s="19" t="inlineStr">
        <is>
          <t>International Movies</t>
        </is>
      </c>
      <c r="C1245" s="19">
        <f>IFERROR(INDEX(tblNetflix[type],MATCH($A1245,tblNetflix[show_id],0)),"")</f>
        <v/>
      </c>
      <c r="D1245" s="19">
        <f>IFERROR(INDEX(tblNetflix[rating],MATCH($A1245,tblNetflix[show_id],0)),"")</f>
        <v/>
      </c>
      <c r="E1245" s="19">
        <f>IFERROR(INDEX(tblNetflix[year_added],MATCH($A1245,tblNetflix[show_id],0)),"")</f>
        <v/>
      </c>
      <c r="F1245" s="19">
        <f>IF(AND(OR(YearFilter="All",$E1245=YearFilter),OR(RatingFilter="All",$D1245=RatingFilter),OR(TypeFilter="All",$C1245=TypeFilter)),1,0)</f>
        <v/>
      </c>
    </row>
    <row r="1246" ht="15" customHeight="1" s="20">
      <c r="A1246" s="19" t="inlineStr">
        <is>
          <t>s4438</t>
        </is>
      </c>
      <c r="B1246" s="19" t="inlineStr">
        <is>
          <t>Thrillers</t>
        </is>
      </c>
      <c r="C1246" s="19">
        <f>IFERROR(INDEX(tblNetflix[type],MATCH($A1246,tblNetflix[show_id],0)),"")</f>
        <v/>
      </c>
      <c r="D1246" s="19">
        <f>IFERROR(INDEX(tblNetflix[rating],MATCH($A1246,tblNetflix[show_id],0)),"")</f>
        <v/>
      </c>
      <c r="E1246" s="19">
        <f>IFERROR(INDEX(tblNetflix[year_added],MATCH($A1246,tblNetflix[show_id],0)),"")</f>
        <v/>
      </c>
      <c r="F1246" s="19">
        <f>IF(AND(OR(YearFilter="All",$E1246=YearFilter),OR(RatingFilter="All",$D1246=RatingFilter),OR(TypeFilter="All",$C1246=TypeFilter)),1,0)</f>
        <v/>
      </c>
    </row>
    <row r="1247" ht="15" customHeight="1" s="20">
      <c r="A1247" s="19" t="inlineStr">
        <is>
          <t>s4439</t>
        </is>
      </c>
      <c r="B1247" s="19" t="inlineStr">
        <is>
          <t>Comedies</t>
        </is>
      </c>
      <c r="C1247" s="19">
        <f>IFERROR(INDEX(tblNetflix[type],MATCH($A1247,tblNetflix[show_id],0)),"")</f>
        <v/>
      </c>
      <c r="D1247" s="19">
        <f>IFERROR(INDEX(tblNetflix[rating],MATCH($A1247,tblNetflix[show_id],0)),"")</f>
        <v/>
      </c>
      <c r="E1247" s="19">
        <f>IFERROR(INDEX(tblNetflix[year_added],MATCH($A1247,tblNetflix[show_id],0)),"")</f>
        <v/>
      </c>
      <c r="F1247" s="19">
        <f>IF(AND(OR(YearFilter="All",$E1247=YearFilter),OR(RatingFilter="All",$D1247=RatingFilter),OR(TypeFilter="All",$C1247=TypeFilter)),1,0)</f>
        <v/>
      </c>
    </row>
    <row r="1248" ht="15" customHeight="1" s="20">
      <c r="A1248" s="19" t="inlineStr">
        <is>
          <t>s4439</t>
        </is>
      </c>
      <c r="B1248" s="19" t="inlineStr">
        <is>
          <t>International Movies</t>
        </is>
      </c>
      <c r="C1248" s="19">
        <f>IFERROR(INDEX(tblNetflix[type],MATCH($A1248,tblNetflix[show_id],0)),"")</f>
        <v/>
      </c>
      <c r="D1248" s="19">
        <f>IFERROR(INDEX(tblNetflix[rating],MATCH($A1248,tblNetflix[show_id],0)),"")</f>
        <v/>
      </c>
      <c r="E1248" s="19">
        <f>IFERROR(INDEX(tblNetflix[year_added],MATCH($A1248,tblNetflix[show_id],0)),"")</f>
        <v/>
      </c>
      <c r="F1248" s="19">
        <f>IF(AND(OR(YearFilter="All",$E1248=YearFilter),OR(RatingFilter="All",$D1248=RatingFilter),OR(TypeFilter="All",$C1248=TypeFilter)),1,0)</f>
        <v/>
      </c>
    </row>
    <row r="1249" ht="15" customHeight="1" s="20">
      <c r="A1249" s="19" t="inlineStr">
        <is>
          <t>s4439</t>
        </is>
      </c>
      <c r="B1249" s="19" t="inlineStr">
        <is>
          <t>Thrillers</t>
        </is>
      </c>
      <c r="C1249" s="19">
        <f>IFERROR(INDEX(tblNetflix[type],MATCH($A1249,tblNetflix[show_id],0)),"")</f>
        <v/>
      </c>
      <c r="D1249" s="19">
        <f>IFERROR(INDEX(tblNetflix[rating],MATCH($A1249,tblNetflix[show_id],0)),"")</f>
        <v/>
      </c>
      <c r="E1249" s="19">
        <f>IFERROR(INDEX(tblNetflix[year_added],MATCH($A1249,tblNetflix[show_id],0)),"")</f>
        <v/>
      </c>
      <c r="F1249" s="19">
        <f>IF(AND(OR(YearFilter="All",$E1249=YearFilter),OR(RatingFilter="All",$D1249=RatingFilter),OR(TypeFilter="All",$C1249=TypeFilter)),1,0)</f>
        <v/>
      </c>
    </row>
    <row r="1250" ht="15" customHeight="1" s="20">
      <c r="A1250" s="19" t="inlineStr">
        <is>
          <t>s4440</t>
        </is>
      </c>
      <c r="B1250" s="19" t="inlineStr">
        <is>
          <t>International Movies</t>
        </is>
      </c>
      <c r="C1250" s="19">
        <f>IFERROR(INDEX(tblNetflix[type],MATCH($A1250,tblNetflix[show_id],0)),"")</f>
        <v/>
      </c>
      <c r="D1250" s="19">
        <f>IFERROR(INDEX(tblNetflix[rating],MATCH($A1250,tblNetflix[show_id],0)),"")</f>
        <v/>
      </c>
      <c r="E1250" s="19">
        <f>IFERROR(INDEX(tblNetflix[year_added],MATCH($A1250,tblNetflix[show_id],0)),"")</f>
        <v/>
      </c>
      <c r="F1250" s="19">
        <f>IF(AND(OR(YearFilter="All",$E1250=YearFilter),OR(RatingFilter="All",$D1250=RatingFilter),OR(TypeFilter="All",$C1250=TypeFilter)),1,0)</f>
        <v/>
      </c>
    </row>
    <row r="1251" ht="15" customHeight="1" s="20">
      <c r="A1251" s="19" t="inlineStr">
        <is>
          <t>s4440</t>
        </is>
      </c>
      <c r="B1251" s="19" t="inlineStr">
        <is>
          <t>Thrillers</t>
        </is>
      </c>
      <c r="C1251" s="19">
        <f>IFERROR(INDEX(tblNetflix[type],MATCH($A1251,tblNetflix[show_id],0)),"")</f>
        <v/>
      </c>
      <c r="D1251" s="19">
        <f>IFERROR(INDEX(tblNetflix[rating],MATCH($A1251,tblNetflix[show_id],0)),"")</f>
        <v/>
      </c>
      <c r="E1251" s="19">
        <f>IFERROR(INDEX(tblNetflix[year_added],MATCH($A1251,tblNetflix[show_id],0)),"")</f>
        <v/>
      </c>
      <c r="F1251" s="19">
        <f>IF(AND(OR(YearFilter="All",$E1251=YearFilter),OR(RatingFilter="All",$D1251=RatingFilter),OR(TypeFilter="All",$C1251=TypeFilter)),1,0)</f>
        <v/>
      </c>
    </row>
    <row r="1252" ht="15" customHeight="1" s="20">
      <c r="A1252" s="19" t="inlineStr">
        <is>
          <t>s4441</t>
        </is>
      </c>
      <c r="B1252" s="19" t="inlineStr">
        <is>
          <t>Comedies</t>
        </is>
      </c>
      <c r="C1252" s="19">
        <f>IFERROR(INDEX(tblNetflix[type],MATCH($A1252,tblNetflix[show_id],0)),"")</f>
        <v/>
      </c>
      <c r="D1252" s="19">
        <f>IFERROR(INDEX(tblNetflix[rating],MATCH($A1252,tblNetflix[show_id],0)),"")</f>
        <v/>
      </c>
      <c r="E1252" s="19">
        <f>IFERROR(INDEX(tblNetflix[year_added],MATCH($A1252,tblNetflix[show_id],0)),"")</f>
        <v/>
      </c>
      <c r="F1252" s="19">
        <f>IF(AND(OR(YearFilter="All",$E1252=YearFilter),OR(RatingFilter="All",$D1252=RatingFilter),OR(TypeFilter="All",$C1252=TypeFilter)),1,0)</f>
        <v/>
      </c>
    </row>
    <row r="1253" ht="15" customHeight="1" s="20">
      <c r="A1253" s="19" t="inlineStr">
        <is>
          <t>s4441</t>
        </is>
      </c>
      <c r="B1253" s="19" t="inlineStr">
        <is>
          <t>Dramas</t>
        </is>
      </c>
      <c r="C1253" s="19">
        <f>IFERROR(INDEX(tblNetflix[type],MATCH($A1253,tblNetflix[show_id],0)),"")</f>
        <v/>
      </c>
      <c r="D1253" s="19">
        <f>IFERROR(INDEX(tblNetflix[rating],MATCH($A1253,tblNetflix[show_id],0)),"")</f>
        <v/>
      </c>
      <c r="E1253" s="19">
        <f>IFERROR(INDEX(tblNetflix[year_added],MATCH($A1253,tblNetflix[show_id],0)),"")</f>
        <v/>
      </c>
      <c r="F1253" s="19">
        <f>IF(AND(OR(YearFilter="All",$E1253=YearFilter),OR(RatingFilter="All",$D1253=RatingFilter),OR(TypeFilter="All",$C1253=TypeFilter)),1,0)</f>
        <v/>
      </c>
    </row>
    <row r="1254" ht="15" customHeight="1" s="20">
      <c r="A1254" s="19" t="inlineStr">
        <is>
          <t>s4441</t>
        </is>
      </c>
      <c r="B1254" s="19" t="inlineStr">
        <is>
          <t>International Movies</t>
        </is>
      </c>
      <c r="C1254" s="19">
        <f>IFERROR(INDEX(tblNetflix[type],MATCH($A1254,tblNetflix[show_id],0)),"")</f>
        <v/>
      </c>
      <c r="D1254" s="19">
        <f>IFERROR(INDEX(tblNetflix[rating],MATCH($A1254,tblNetflix[show_id],0)),"")</f>
        <v/>
      </c>
      <c r="E1254" s="19">
        <f>IFERROR(INDEX(tblNetflix[year_added],MATCH($A1254,tblNetflix[show_id],0)),"")</f>
        <v/>
      </c>
      <c r="F1254" s="19">
        <f>IF(AND(OR(YearFilter="All",$E1254=YearFilter),OR(RatingFilter="All",$D1254=RatingFilter),OR(TypeFilter="All",$C1254=TypeFilter)),1,0)</f>
        <v/>
      </c>
    </row>
    <row r="1255" ht="15" customHeight="1" s="20">
      <c r="A1255" s="19" t="inlineStr">
        <is>
          <t>s4442</t>
        </is>
      </c>
      <c r="B1255" s="19" t="inlineStr">
        <is>
          <t>Dramas</t>
        </is>
      </c>
      <c r="C1255" s="19">
        <f>IFERROR(INDEX(tblNetflix[type],MATCH($A1255,tblNetflix[show_id],0)),"")</f>
        <v/>
      </c>
      <c r="D1255" s="19">
        <f>IFERROR(INDEX(tblNetflix[rating],MATCH($A1255,tblNetflix[show_id],0)),"")</f>
        <v/>
      </c>
      <c r="E1255" s="19">
        <f>IFERROR(INDEX(tblNetflix[year_added],MATCH($A1255,tblNetflix[show_id],0)),"")</f>
        <v/>
      </c>
      <c r="F1255" s="19">
        <f>IF(AND(OR(YearFilter="All",$E1255=YearFilter),OR(RatingFilter="All",$D1255=RatingFilter),OR(TypeFilter="All",$C1255=TypeFilter)),1,0)</f>
        <v/>
      </c>
    </row>
    <row r="1256" ht="15" customHeight="1" s="20">
      <c r="A1256" s="19" t="inlineStr">
        <is>
          <t>s4442</t>
        </is>
      </c>
      <c r="B1256" s="19" t="inlineStr">
        <is>
          <t>International Movies</t>
        </is>
      </c>
      <c r="C1256" s="19">
        <f>IFERROR(INDEX(tblNetflix[type],MATCH($A1256,tblNetflix[show_id],0)),"")</f>
        <v/>
      </c>
      <c r="D1256" s="19">
        <f>IFERROR(INDEX(tblNetflix[rating],MATCH($A1256,tblNetflix[show_id],0)),"")</f>
        <v/>
      </c>
      <c r="E1256" s="19">
        <f>IFERROR(INDEX(tblNetflix[year_added],MATCH($A1256,tblNetflix[show_id],0)),"")</f>
        <v/>
      </c>
      <c r="F1256" s="19">
        <f>IF(AND(OR(YearFilter="All",$E1256=YearFilter),OR(RatingFilter="All",$D1256=RatingFilter),OR(TypeFilter="All",$C1256=TypeFilter)),1,0)</f>
        <v/>
      </c>
    </row>
    <row r="1257" ht="15" customHeight="1" s="20">
      <c r="A1257" s="19" t="inlineStr">
        <is>
          <t>s4443</t>
        </is>
      </c>
      <c r="B1257" s="19" t="inlineStr">
        <is>
          <t>Action &amp; Adventure</t>
        </is>
      </c>
      <c r="C1257" s="19">
        <f>IFERROR(INDEX(tblNetflix[type],MATCH($A1257,tblNetflix[show_id],0)),"")</f>
        <v/>
      </c>
      <c r="D1257" s="19">
        <f>IFERROR(INDEX(tblNetflix[rating],MATCH($A1257,tblNetflix[show_id],0)),"")</f>
        <v/>
      </c>
      <c r="E1257" s="19">
        <f>IFERROR(INDEX(tblNetflix[year_added],MATCH($A1257,tblNetflix[show_id],0)),"")</f>
        <v/>
      </c>
      <c r="F1257" s="19">
        <f>IF(AND(OR(YearFilter="All",$E1257=YearFilter),OR(RatingFilter="All",$D1257=RatingFilter),OR(TypeFilter="All",$C1257=TypeFilter)),1,0)</f>
        <v/>
      </c>
    </row>
    <row r="1258" ht="15" customHeight="1" s="20">
      <c r="A1258" s="19" t="inlineStr">
        <is>
          <t>s4443</t>
        </is>
      </c>
      <c r="B1258" s="19" t="inlineStr">
        <is>
          <t>Comedies</t>
        </is>
      </c>
      <c r="C1258" s="19">
        <f>IFERROR(INDEX(tblNetflix[type],MATCH($A1258,tblNetflix[show_id],0)),"")</f>
        <v/>
      </c>
      <c r="D1258" s="19">
        <f>IFERROR(INDEX(tblNetflix[rating],MATCH($A1258,tblNetflix[show_id],0)),"")</f>
        <v/>
      </c>
      <c r="E1258" s="19">
        <f>IFERROR(INDEX(tblNetflix[year_added],MATCH($A1258,tblNetflix[show_id],0)),"")</f>
        <v/>
      </c>
      <c r="F1258" s="19">
        <f>IF(AND(OR(YearFilter="All",$E1258=YearFilter),OR(RatingFilter="All",$D1258=RatingFilter),OR(TypeFilter="All",$C1258=TypeFilter)),1,0)</f>
        <v/>
      </c>
    </row>
    <row r="1259" ht="15" customHeight="1" s="20">
      <c r="A1259" s="19" t="inlineStr">
        <is>
          <t>s4443</t>
        </is>
      </c>
      <c r="B1259" s="19" t="inlineStr">
        <is>
          <t>International Movies</t>
        </is>
      </c>
      <c r="C1259" s="19">
        <f>IFERROR(INDEX(tblNetflix[type],MATCH($A1259,tblNetflix[show_id],0)),"")</f>
        <v/>
      </c>
      <c r="D1259" s="19">
        <f>IFERROR(INDEX(tblNetflix[rating],MATCH($A1259,tblNetflix[show_id],0)),"")</f>
        <v/>
      </c>
      <c r="E1259" s="19">
        <f>IFERROR(INDEX(tblNetflix[year_added],MATCH($A1259,tblNetflix[show_id],0)),"")</f>
        <v/>
      </c>
      <c r="F1259" s="19">
        <f>IF(AND(OR(YearFilter="All",$E1259=YearFilter),OR(RatingFilter="All",$D1259=RatingFilter),OR(TypeFilter="All",$C1259=TypeFilter)),1,0)</f>
        <v/>
      </c>
    </row>
    <row r="1260" ht="15" customHeight="1" s="20">
      <c r="A1260" s="19" t="inlineStr">
        <is>
          <t>s4444</t>
        </is>
      </c>
      <c r="B1260" s="19" t="inlineStr">
        <is>
          <t>Comedies</t>
        </is>
      </c>
      <c r="C1260" s="19">
        <f>IFERROR(INDEX(tblNetflix[type],MATCH($A1260,tblNetflix[show_id],0)),"")</f>
        <v/>
      </c>
      <c r="D1260" s="19">
        <f>IFERROR(INDEX(tblNetflix[rating],MATCH($A1260,tblNetflix[show_id],0)),"")</f>
        <v/>
      </c>
      <c r="E1260" s="19">
        <f>IFERROR(INDEX(tblNetflix[year_added],MATCH($A1260,tblNetflix[show_id],0)),"")</f>
        <v/>
      </c>
      <c r="F1260" s="19">
        <f>IF(AND(OR(YearFilter="All",$E1260=YearFilter),OR(RatingFilter="All",$D1260=RatingFilter),OR(TypeFilter="All",$C1260=TypeFilter)),1,0)</f>
        <v/>
      </c>
    </row>
    <row r="1261" ht="15" customHeight="1" s="20">
      <c r="A1261" s="19" t="inlineStr">
        <is>
          <t>s4444</t>
        </is>
      </c>
      <c r="B1261" s="19" t="inlineStr">
        <is>
          <t>International Movies</t>
        </is>
      </c>
      <c r="C1261" s="19">
        <f>IFERROR(INDEX(tblNetflix[type],MATCH($A1261,tblNetflix[show_id],0)),"")</f>
        <v/>
      </c>
      <c r="D1261" s="19">
        <f>IFERROR(INDEX(tblNetflix[rating],MATCH($A1261,tblNetflix[show_id],0)),"")</f>
        <v/>
      </c>
      <c r="E1261" s="19">
        <f>IFERROR(INDEX(tblNetflix[year_added],MATCH($A1261,tblNetflix[show_id],0)),"")</f>
        <v/>
      </c>
      <c r="F1261" s="19">
        <f>IF(AND(OR(YearFilter="All",$E1261=YearFilter),OR(RatingFilter="All",$D1261=RatingFilter),OR(TypeFilter="All",$C1261=TypeFilter)),1,0)</f>
        <v/>
      </c>
    </row>
    <row r="1262" ht="15" customHeight="1" s="20">
      <c r="A1262" s="19" t="inlineStr">
        <is>
          <t>s4444</t>
        </is>
      </c>
      <c r="B1262" s="19" t="inlineStr">
        <is>
          <t>Music &amp; Musicals</t>
        </is>
      </c>
      <c r="C1262" s="19">
        <f>IFERROR(INDEX(tblNetflix[type],MATCH($A1262,tblNetflix[show_id],0)),"")</f>
        <v/>
      </c>
      <c r="D1262" s="19">
        <f>IFERROR(INDEX(tblNetflix[rating],MATCH($A1262,tblNetflix[show_id],0)),"")</f>
        <v/>
      </c>
      <c r="E1262" s="19">
        <f>IFERROR(INDEX(tblNetflix[year_added],MATCH($A1262,tblNetflix[show_id],0)),"")</f>
        <v/>
      </c>
      <c r="F1262" s="19">
        <f>IF(AND(OR(YearFilter="All",$E1262=YearFilter),OR(RatingFilter="All",$D1262=RatingFilter),OR(TypeFilter="All",$C1262=TypeFilter)),1,0)</f>
        <v/>
      </c>
    </row>
    <row r="1263" ht="15" customHeight="1" s="20">
      <c r="A1263" s="19" t="inlineStr">
        <is>
          <t>s4445</t>
        </is>
      </c>
      <c r="B1263" s="19" t="inlineStr">
        <is>
          <t>Comedies</t>
        </is>
      </c>
      <c r="C1263" s="19">
        <f>IFERROR(INDEX(tblNetflix[type],MATCH($A1263,tblNetflix[show_id],0)),"")</f>
        <v/>
      </c>
      <c r="D1263" s="19">
        <f>IFERROR(INDEX(tblNetflix[rating],MATCH($A1263,tblNetflix[show_id],0)),"")</f>
        <v/>
      </c>
      <c r="E1263" s="19">
        <f>IFERROR(INDEX(tblNetflix[year_added],MATCH($A1263,tblNetflix[show_id],0)),"")</f>
        <v/>
      </c>
      <c r="F1263" s="19">
        <f>IF(AND(OR(YearFilter="All",$E1263=YearFilter),OR(RatingFilter="All",$D1263=RatingFilter),OR(TypeFilter="All",$C1263=TypeFilter)),1,0)</f>
        <v/>
      </c>
    </row>
    <row r="1264" ht="15" customHeight="1" s="20">
      <c r="A1264" s="19" t="inlineStr">
        <is>
          <t>s4445</t>
        </is>
      </c>
      <c r="B1264" s="19" t="inlineStr">
        <is>
          <t>International Movies</t>
        </is>
      </c>
      <c r="C1264" s="19">
        <f>IFERROR(INDEX(tblNetflix[type],MATCH($A1264,tblNetflix[show_id],0)),"")</f>
        <v/>
      </c>
      <c r="D1264" s="19">
        <f>IFERROR(INDEX(tblNetflix[rating],MATCH($A1264,tblNetflix[show_id],0)),"")</f>
        <v/>
      </c>
      <c r="E1264" s="19">
        <f>IFERROR(INDEX(tblNetflix[year_added],MATCH($A1264,tblNetflix[show_id],0)),"")</f>
        <v/>
      </c>
      <c r="F1264" s="19">
        <f>IF(AND(OR(YearFilter="All",$E1264=YearFilter),OR(RatingFilter="All",$D1264=RatingFilter),OR(TypeFilter="All",$C1264=TypeFilter)),1,0)</f>
        <v/>
      </c>
    </row>
    <row r="1265" ht="15" customHeight="1" s="20">
      <c r="A1265" s="19" t="inlineStr">
        <is>
          <t>s4445</t>
        </is>
      </c>
      <c r="B1265" s="19" t="inlineStr">
        <is>
          <t>Music &amp; Musicals</t>
        </is>
      </c>
      <c r="C1265" s="19">
        <f>IFERROR(INDEX(tblNetflix[type],MATCH($A1265,tblNetflix[show_id],0)),"")</f>
        <v/>
      </c>
      <c r="D1265" s="19">
        <f>IFERROR(INDEX(tblNetflix[rating],MATCH($A1265,tblNetflix[show_id],0)),"")</f>
        <v/>
      </c>
      <c r="E1265" s="19">
        <f>IFERROR(INDEX(tblNetflix[year_added],MATCH($A1265,tblNetflix[show_id],0)),"")</f>
        <v/>
      </c>
      <c r="F1265" s="19">
        <f>IF(AND(OR(YearFilter="All",$E1265=YearFilter),OR(RatingFilter="All",$D1265=RatingFilter),OR(TypeFilter="All",$C1265=TypeFilter)),1,0)</f>
        <v/>
      </c>
    </row>
    <row r="1266" ht="15" customHeight="1" s="20">
      <c r="A1266" s="19" t="inlineStr">
        <is>
          <t>s4446</t>
        </is>
      </c>
      <c r="B1266" s="19" t="inlineStr">
        <is>
          <t>Dramas</t>
        </is>
      </c>
      <c r="C1266" s="19">
        <f>IFERROR(INDEX(tblNetflix[type],MATCH($A1266,tblNetflix[show_id],0)),"")</f>
        <v/>
      </c>
      <c r="D1266" s="19">
        <f>IFERROR(INDEX(tblNetflix[rating],MATCH($A1266,tblNetflix[show_id],0)),"")</f>
        <v/>
      </c>
      <c r="E1266" s="19">
        <f>IFERROR(INDEX(tblNetflix[year_added],MATCH($A1266,tblNetflix[show_id],0)),"")</f>
        <v/>
      </c>
      <c r="F1266" s="19">
        <f>IF(AND(OR(YearFilter="All",$E1266=YearFilter),OR(RatingFilter="All",$D1266=RatingFilter),OR(TypeFilter="All",$C1266=TypeFilter)),1,0)</f>
        <v/>
      </c>
    </row>
    <row r="1267" ht="15" customHeight="1" s="20">
      <c r="A1267" s="19" t="inlineStr">
        <is>
          <t>s4446</t>
        </is>
      </c>
      <c r="B1267" s="19" t="inlineStr">
        <is>
          <t>International Movies</t>
        </is>
      </c>
      <c r="C1267" s="19">
        <f>IFERROR(INDEX(tblNetflix[type],MATCH($A1267,tblNetflix[show_id],0)),"")</f>
        <v/>
      </c>
      <c r="D1267" s="19">
        <f>IFERROR(INDEX(tblNetflix[rating],MATCH($A1267,tblNetflix[show_id],0)),"")</f>
        <v/>
      </c>
      <c r="E1267" s="19">
        <f>IFERROR(INDEX(tblNetflix[year_added],MATCH($A1267,tblNetflix[show_id],0)),"")</f>
        <v/>
      </c>
      <c r="F1267" s="19">
        <f>IF(AND(OR(YearFilter="All",$E1267=YearFilter),OR(RatingFilter="All",$D1267=RatingFilter),OR(TypeFilter="All",$C1267=TypeFilter)),1,0)</f>
        <v/>
      </c>
    </row>
    <row r="1268" ht="15" customHeight="1" s="20">
      <c r="A1268" s="19" t="inlineStr">
        <is>
          <t>s4446</t>
        </is>
      </c>
      <c r="B1268" s="19" t="inlineStr">
        <is>
          <t>Sports Movies</t>
        </is>
      </c>
      <c r="C1268" s="19">
        <f>IFERROR(INDEX(tblNetflix[type],MATCH($A1268,tblNetflix[show_id],0)),"")</f>
        <v/>
      </c>
      <c r="D1268" s="19">
        <f>IFERROR(INDEX(tblNetflix[rating],MATCH($A1268,tblNetflix[show_id],0)),"")</f>
        <v/>
      </c>
      <c r="E1268" s="19">
        <f>IFERROR(INDEX(tblNetflix[year_added],MATCH($A1268,tblNetflix[show_id],0)),"")</f>
        <v/>
      </c>
      <c r="F1268" s="19">
        <f>IF(AND(OR(YearFilter="All",$E1268=YearFilter),OR(RatingFilter="All",$D1268=RatingFilter),OR(TypeFilter="All",$C1268=TypeFilter)),1,0)</f>
        <v/>
      </c>
    </row>
    <row r="1269" ht="15" customHeight="1" s="20">
      <c r="A1269" s="19" t="inlineStr">
        <is>
          <t>s4447</t>
        </is>
      </c>
      <c r="B1269" s="19" t="inlineStr">
        <is>
          <t>Comedies</t>
        </is>
      </c>
      <c r="C1269" s="19">
        <f>IFERROR(INDEX(tblNetflix[type],MATCH($A1269,tblNetflix[show_id],0)),"")</f>
        <v/>
      </c>
      <c r="D1269" s="19">
        <f>IFERROR(INDEX(tblNetflix[rating],MATCH($A1269,tblNetflix[show_id],0)),"")</f>
        <v/>
      </c>
      <c r="E1269" s="19">
        <f>IFERROR(INDEX(tblNetflix[year_added],MATCH($A1269,tblNetflix[show_id],0)),"")</f>
        <v/>
      </c>
      <c r="F1269" s="19">
        <f>IF(AND(OR(YearFilter="All",$E1269=YearFilter),OR(RatingFilter="All",$D1269=RatingFilter),OR(TypeFilter="All",$C1269=TypeFilter)),1,0)</f>
        <v/>
      </c>
    </row>
    <row r="1270" ht="15" customHeight="1" s="20">
      <c r="A1270" s="19" t="inlineStr">
        <is>
          <t>s4447</t>
        </is>
      </c>
      <c r="B1270" s="19" t="inlineStr">
        <is>
          <t>International Movies</t>
        </is>
      </c>
      <c r="C1270" s="19">
        <f>IFERROR(INDEX(tblNetflix[type],MATCH($A1270,tblNetflix[show_id],0)),"")</f>
        <v/>
      </c>
      <c r="D1270" s="19">
        <f>IFERROR(INDEX(tblNetflix[rating],MATCH($A1270,tblNetflix[show_id],0)),"")</f>
        <v/>
      </c>
      <c r="E1270" s="19">
        <f>IFERROR(INDEX(tblNetflix[year_added],MATCH($A1270,tblNetflix[show_id],0)),"")</f>
        <v/>
      </c>
      <c r="F1270" s="19">
        <f>IF(AND(OR(YearFilter="All",$E1270=YearFilter),OR(RatingFilter="All",$D1270=RatingFilter),OR(TypeFilter="All",$C1270=TypeFilter)),1,0)</f>
        <v/>
      </c>
    </row>
    <row r="1271" ht="15" customHeight="1" s="20">
      <c r="A1271" s="19" t="inlineStr">
        <is>
          <t>s4447</t>
        </is>
      </c>
      <c r="B1271" s="19" t="inlineStr">
        <is>
          <t>Music &amp; Musicals</t>
        </is>
      </c>
      <c r="C1271" s="19">
        <f>IFERROR(INDEX(tblNetflix[type],MATCH($A1271,tblNetflix[show_id],0)),"")</f>
        <v/>
      </c>
      <c r="D1271" s="19">
        <f>IFERROR(INDEX(tblNetflix[rating],MATCH($A1271,tblNetflix[show_id],0)),"")</f>
        <v/>
      </c>
      <c r="E1271" s="19">
        <f>IFERROR(INDEX(tblNetflix[year_added],MATCH($A1271,tblNetflix[show_id],0)),"")</f>
        <v/>
      </c>
      <c r="F1271" s="19">
        <f>IF(AND(OR(YearFilter="All",$E1271=YearFilter),OR(RatingFilter="All",$D1271=RatingFilter),OR(TypeFilter="All",$C1271=TypeFilter)),1,0)</f>
        <v/>
      </c>
    </row>
    <row r="1272" ht="15" customHeight="1" s="20">
      <c r="A1272" s="19" t="inlineStr">
        <is>
          <t>s4449</t>
        </is>
      </c>
      <c r="B1272" s="19" t="inlineStr">
        <is>
          <t>Comedies</t>
        </is>
      </c>
      <c r="C1272" s="19">
        <f>IFERROR(INDEX(tblNetflix[type],MATCH($A1272,tblNetflix[show_id],0)),"")</f>
        <v/>
      </c>
      <c r="D1272" s="19">
        <f>IFERROR(INDEX(tblNetflix[rating],MATCH($A1272,tblNetflix[show_id],0)),"")</f>
        <v/>
      </c>
      <c r="E1272" s="19">
        <f>IFERROR(INDEX(tblNetflix[year_added],MATCH($A1272,tblNetflix[show_id],0)),"")</f>
        <v/>
      </c>
      <c r="F1272" s="19">
        <f>IF(AND(OR(YearFilter="All",$E1272=YearFilter),OR(RatingFilter="All",$D1272=RatingFilter),OR(TypeFilter="All",$C1272=TypeFilter)),1,0)</f>
        <v/>
      </c>
    </row>
    <row r="1273" ht="15" customHeight="1" s="20">
      <c r="A1273" s="19" t="inlineStr">
        <is>
          <t>s4449</t>
        </is>
      </c>
      <c r="B1273" s="19" t="inlineStr">
        <is>
          <t>Dramas</t>
        </is>
      </c>
      <c r="C1273" s="19">
        <f>IFERROR(INDEX(tblNetflix[type],MATCH($A1273,tblNetflix[show_id],0)),"")</f>
        <v/>
      </c>
      <c r="D1273" s="19">
        <f>IFERROR(INDEX(tblNetflix[rating],MATCH($A1273,tblNetflix[show_id],0)),"")</f>
        <v/>
      </c>
      <c r="E1273" s="19">
        <f>IFERROR(INDEX(tblNetflix[year_added],MATCH($A1273,tblNetflix[show_id],0)),"")</f>
        <v/>
      </c>
      <c r="F1273" s="19">
        <f>IF(AND(OR(YearFilter="All",$E1273=YearFilter),OR(RatingFilter="All",$D1273=RatingFilter),OR(TypeFilter="All",$C1273=TypeFilter)),1,0)</f>
        <v/>
      </c>
    </row>
    <row r="1274" ht="15" customHeight="1" s="20">
      <c r="A1274" s="19" t="inlineStr">
        <is>
          <t>s4449</t>
        </is>
      </c>
      <c r="B1274" s="19" t="inlineStr">
        <is>
          <t>International Movies</t>
        </is>
      </c>
      <c r="C1274" s="19">
        <f>IFERROR(INDEX(tblNetflix[type],MATCH($A1274,tblNetflix[show_id],0)),"")</f>
        <v/>
      </c>
      <c r="D1274" s="19">
        <f>IFERROR(INDEX(tblNetflix[rating],MATCH($A1274,tblNetflix[show_id],0)),"")</f>
        <v/>
      </c>
      <c r="E1274" s="19">
        <f>IFERROR(INDEX(tblNetflix[year_added],MATCH($A1274,tblNetflix[show_id],0)),"")</f>
        <v/>
      </c>
      <c r="F1274" s="19">
        <f>IF(AND(OR(YearFilter="All",$E1274=YearFilter),OR(RatingFilter="All",$D1274=RatingFilter),OR(TypeFilter="All",$C1274=TypeFilter)),1,0)</f>
        <v/>
      </c>
    </row>
    <row r="1275" ht="15" customHeight="1" s="20">
      <c r="A1275" s="19" t="inlineStr">
        <is>
          <t>s4450</t>
        </is>
      </c>
      <c r="B1275" s="19" t="inlineStr">
        <is>
          <t>Dramas</t>
        </is>
      </c>
      <c r="C1275" s="19">
        <f>IFERROR(INDEX(tblNetflix[type],MATCH($A1275,tblNetflix[show_id],0)),"")</f>
        <v/>
      </c>
      <c r="D1275" s="19">
        <f>IFERROR(INDEX(tblNetflix[rating],MATCH($A1275,tblNetflix[show_id],0)),"")</f>
        <v/>
      </c>
      <c r="E1275" s="19">
        <f>IFERROR(INDEX(tblNetflix[year_added],MATCH($A1275,tblNetflix[show_id],0)),"")</f>
        <v/>
      </c>
      <c r="F1275" s="19">
        <f>IF(AND(OR(YearFilter="All",$E1275=YearFilter),OR(RatingFilter="All",$D1275=RatingFilter),OR(TypeFilter="All",$C1275=TypeFilter)),1,0)</f>
        <v/>
      </c>
    </row>
    <row r="1276" ht="15" customHeight="1" s="20">
      <c r="A1276" s="19" t="inlineStr">
        <is>
          <t>s4450</t>
        </is>
      </c>
      <c r="B1276" s="19" t="inlineStr">
        <is>
          <t>International Movies</t>
        </is>
      </c>
      <c r="C1276" s="19">
        <f>IFERROR(INDEX(tblNetflix[type],MATCH($A1276,tblNetflix[show_id],0)),"")</f>
        <v/>
      </c>
      <c r="D1276" s="19">
        <f>IFERROR(INDEX(tblNetflix[rating],MATCH($A1276,tblNetflix[show_id],0)),"")</f>
        <v/>
      </c>
      <c r="E1276" s="19">
        <f>IFERROR(INDEX(tblNetflix[year_added],MATCH($A1276,tblNetflix[show_id],0)),"")</f>
        <v/>
      </c>
      <c r="F1276" s="19">
        <f>IF(AND(OR(YearFilter="All",$E1276=YearFilter),OR(RatingFilter="All",$D1276=RatingFilter),OR(TypeFilter="All",$C1276=TypeFilter)),1,0)</f>
        <v/>
      </c>
    </row>
    <row r="1277" ht="15" customHeight="1" s="20">
      <c r="A1277" s="19" t="inlineStr">
        <is>
          <t>s4450</t>
        </is>
      </c>
      <c r="B1277" s="19" t="inlineStr">
        <is>
          <t>Music &amp; Musicals</t>
        </is>
      </c>
      <c r="C1277" s="19">
        <f>IFERROR(INDEX(tblNetflix[type],MATCH($A1277,tblNetflix[show_id],0)),"")</f>
        <v/>
      </c>
      <c r="D1277" s="19">
        <f>IFERROR(INDEX(tblNetflix[rating],MATCH($A1277,tblNetflix[show_id],0)),"")</f>
        <v/>
      </c>
      <c r="E1277" s="19">
        <f>IFERROR(INDEX(tblNetflix[year_added],MATCH($A1277,tblNetflix[show_id],0)),"")</f>
        <v/>
      </c>
      <c r="F1277" s="19">
        <f>IF(AND(OR(YearFilter="All",$E1277=YearFilter),OR(RatingFilter="All",$D1277=RatingFilter),OR(TypeFilter="All",$C1277=TypeFilter)),1,0)</f>
        <v/>
      </c>
    </row>
    <row r="1278" ht="15" customHeight="1" s="20">
      <c r="A1278" s="19" t="inlineStr">
        <is>
          <t>s4452</t>
        </is>
      </c>
      <c r="B1278" s="19" t="inlineStr">
        <is>
          <t>Dramas</t>
        </is>
      </c>
      <c r="C1278" s="19">
        <f>IFERROR(INDEX(tblNetflix[type],MATCH($A1278,tblNetflix[show_id],0)),"")</f>
        <v/>
      </c>
      <c r="D1278" s="19">
        <f>IFERROR(INDEX(tblNetflix[rating],MATCH($A1278,tblNetflix[show_id],0)),"")</f>
        <v/>
      </c>
      <c r="E1278" s="19">
        <f>IFERROR(INDEX(tblNetflix[year_added],MATCH($A1278,tblNetflix[show_id],0)),"")</f>
        <v/>
      </c>
      <c r="F1278" s="19">
        <f>IF(AND(OR(YearFilter="All",$E1278=YearFilter),OR(RatingFilter="All",$D1278=RatingFilter),OR(TypeFilter="All",$C1278=TypeFilter)),1,0)</f>
        <v/>
      </c>
    </row>
    <row r="1279" ht="15" customHeight="1" s="20">
      <c r="A1279" s="19" t="inlineStr">
        <is>
          <t>s4452</t>
        </is>
      </c>
      <c r="B1279" s="19" t="inlineStr">
        <is>
          <t>International Movies</t>
        </is>
      </c>
      <c r="C1279" s="19">
        <f>IFERROR(INDEX(tblNetflix[type],MATCH($A1279,tblNetflix[show_id],0)),"")</f>
        <v/>
      </c>
      <c r="D1279" s="19">
        <f>IFERROR(INDEX(tblNetflix[rating],MATCH($A1279,tblNetflix[show_id],0)),"")</f>
        <v/>
      </c>
      <c r="E1279" s="19">
        <f>IFERROR(INDEX(tblNetflix[year_added],MATCH($A1279,tblNetflix[show_id],0)),"")</f>
        <v/>
      </c>
      <c r="F1279" s="19">
        <f>IF(AND(OR(YearFilter="All",$E1279=YearFilter),OR(RatingFilter="All",$D1279=RatingFilter),OR(TypeFilter="All",$C1279=TypeFilter)),1,0)</f>
        <v/>
      </c>
    </row>
    <row r="1280" ht="15" customHeight="1" s="20">
      <c r="A1280" s="19" t="inlineStr">
        <is>
          <t>s4453</t>
        </is>
      </c>
      <c r="B1280" s="19" t="inlineStr">
        <is>
          <t>Comedies</t>
        </is>
      </c>
      <c r="C1280" s="19">
        <f>IFERROR(INDEX(tblNetflix[type],MATCH($A1280,tblNetflix[show_id],0)),"")</f>
        <v/>
      </c>
      <c r="D1280" s="19">
        <f>IFERROR(INDEX(tblNetflix[rating],MATCH($A1280,tblNetflix[show_id],0)),"")</f>
        <v/>
      </c>
      <c r="E1280" s="19">
        <f>IFERROR(INDEX(tblNetflix[year_added],MATCH($A1280,tblNetflix[show_id],0)),"")</f>
        <v/>
      </c>
      <c r="F1280" s="19">
        <f>IF(AND(OR(YearFilter="All",$E1280=YearFilter),OR(RatingFilter="All",$D1280=RatingFilter),OR(TypeFilter="All",$C1280=TypeFilter)),1,0)</f>
        <v/>
      </c>
    </row>
    <row r="1281" ht="15" customHeight="1" s="20">
      <c r="A1281" s="19" t="inlineStr">
        <is>
          <t>s4453</t>
        </is>
      </c>
      <c r="B1281" s="19" t="inlineStr">
        <is>
          <t>International Movies</t>
        </is>
      </c>
      <c r="C1281" s="19">
        <f>IFERROR(INDEX(tblNetflix[type],MATCH($A1281,tblNetflix[show_id],0)),"")</f>
        <v/>
      </c>
      <c r="D1281" s="19">
        <f>IFERROR(INDEX(tblNetflix[rating],MATCH($A1281,tblNetflix[show_id],0)),"")</f>
        <v/>
      </c>
      <c r="E1281" s="19">
        <f>IFERROR(INDEX(tblNetflix[year_added],MATCH($A1281,tblNetflix[show_id],0)),"")</f>
        <v/>
      </c>
      <c r="F1281" s="19">
        <f>IF(AND(OR(YearFilter="All",$E1281=YearFilter),OR(RatingFilter="All",$D1281=RatingFilter),OR(TypeFilter="All",$C1281=TypeFilter)),1,0)</f>
        <v/>
      </c>
    </row>
    <row r="1282" ht="15" customHeight="1" s="20">
      <c r="A1282" s="19" t="inlineStr">
        <is>
          <t>s4453</t>
        </is>
      </c>
      <c r="B1282" s="19" t="inlineStr">
        <is>
          <t>Music &amp; Musicals</t>
        </is>
      </c>
      <c r="C1282" s="19">
        <f>IFERROR(INDEX(tblNetflix[type],MATCH($A1282,tblNetflix[show_id],0)),"")</f>
        <v/>
      </c>
      <c r="D1282" s="19">
        <f>IFERROR(INDEX(tblNetflix[rating],MATCH($A1282,tblNetflix[show_id],0)),"")</f>
        <v/>
      </c>
      <c r="E1282" s="19">
        <f>IFERROR(INDEX(tblNetflix[year_added],MATCH($A1282,tblNetflix[show_id],0)),"")</f>
        <v/>
      </c>
      <c r="F1282" s="19">
        <f>IF(AND(OR(YearFilter="All",$E1282=YearFilter),OR(RatingFilter="All",$D1282=RatingFilter),OR(TypeFilter="All",$C1282=TypeFilter)),1,0)</f>
        <v/>
      </c>
    </row>
    <row r="1283" ht="15" customHeight="1" s="20">
      <c r="A1283" s="19" t="inlineStr">
        <is>
          <t>s4454</t>
        </is>
      </c>
      <c r="B1283" s="19" t="inlineStr">
        <is>
          <t>Dramas</t>
        </is>
      </c>
      <c r="C1283" s="19">
        <f>IFERROR(INDEX(tblNetflix[type],MATCH($A1283,tblNetflix[show_id],0)),"")</f>
        <v/>
      </c>
      <c r="D1283" s="19">
        <f>IFERROR(INDEX(tblNetflix[rating],MATCH($A1283,tblNetflix[show_id],0)),"")</f>
        <v/>
      </c>
      <c r="E1283" s="19">
        <f>IFERROR(INDEX(tblNetflix[year_added],MATCH($A1283,tblNetflix[show_id],0)),"")</f>
        <v/>
      </c>
      <c r="F1283" s="19">
        <f>IF(AND(OR(YearFilter="All",$E1283=YearFilter),OR(RatingFilter="All",$D1283=RatingFilter),OR(TypeFilter="All",$C1283=TypeFilter)),1,0)</f>
        <v/>
      </c>
    </row>
    <row r="1284" ht="15" customHeight="1" s="20">
      <c r="A1284" s="19" t="inlineStr">
        <is>
          <t>s4454</t>
        </is>
      </c>
      <c r="B1284" s="19" t="inlineStr">
        <is>
          <t>International Movies</t>
        </is>
      </c>
      <c r="C1284" s="19">
        <f>IFERROR(INDEX(tblNetflix[type],MATCH($A1284,tblNetflix[show_id],0)),"")</f>
        <v/>
      </c>
      <c r="D1284" s="19">
        <f>IFERROR(INDEX(tblNetflix[rating],MATCH($A1284,tblNetflix[show_id],0)),"")</f>
        <v/>
      </c>
      <c r="E1284" s="19">
        <f>IFERROR(INDEX(tblNetflix[year_added],MATCH($A1284,tblNetflix[show_id],0)),"")</f>
        <v/>
      </c>
      <c r="F1284" s="19">
        <f>IF(AND(OR(YearFilter="All",$E1284=YearFilter),OR(RatingFilter="All",$D1284=RatingFilter),OR(TypeFilter="All",$C1284=TypeFilter)),1,0)</f>
        <v/>
      </c>
    </row>
    <row r="1285" ht="15" customHeight="1" s="20">
      <c r="A1285" s="19" t="inlineStr">
        <is>
          <t>s4455</t>
        </is>
      </c>
      <c r="B1285" s="19" t="inlineStr">
        <is>
          <t>Comedies</t>
        </is>
      </c>
      <c r="C1285" s="19">
        <f>IFERROR(INDEX(tblNetflix[type],MATCH($A1285,tblNetflix[show_id],0)),"")</f>
        <v/>
      </c>
      <c r="D1285" s="19">
        <f>IFERROR(INDEX(tblNetflix[rating],MATCH($A1285,tblNetflix[show_id],0)),"")</f>
        <v/>
      </c>
      <c r="E1285" s="19">
        <f>IFERROR(INDEX(tblNetflix[year_added],MATCH($A1285,tblNetflix[show_id],0)),"")</f>
        <v/>
      </c>
      <c r="F1285" s="19">
        <f>IF(AND(OR(YearFilter="All",$E1285=YearFilter),OR(RatingFilter="All",$D1285=RatingFilter),OR(TypeFilter="All",$C1285=TypeFilter)),1,0)</f>
        <v/>
      </c>
    </row>
    <row r="1286" ht="15" customHeight="1" s="20">
      <c r="A1286" s="19" t="inlineStr">
        <is>
          <t>s4455</t>
        </is>
      </c>
      <c r="B1286" s="19" t="inlineStr">
        <is>
          <t>Dramas</t>
        </is>
      </c>
      <c r="C1286" s="19">
        <f>IFERROR(INDEX(tblNetflix[type],MATCH($A1286,tblNetflix[show_id],0)),"")</f>
        <v/>
      </c>
      <c r="D1286" s="19">
        <f>IFERROR(INDEX(tblNetflix[rating],MATCH($A1286,tblNetflix[show_id],0)),"")</f>
        <v/>
      </c>
      <c r="E1286" s="19">
        <f>IFERROR(INDEX(tblNetflix[year_added],MATCH($A1286,tblNetflix[show_id],0)),"")</f>
        <v/>
      </c>
      <c r="F1286" s="19">
        <f>IF(AND(OR(YearFilter="All",$E1286=YearFilter),OR(RatingFilter="All",$D1286=RatingFilter),OR(TypeFilter="All",$C1286=TypeFilter)),1,0)</f>
        <v/>
      </c>
    </row>
    <row r="1287" ht="15" customHeight="1" s="20">
      <c r="A1287" s="19" t="inlineStr">
        <is>
          <t>s4455</t>
        </is>
      </c>
      <c r="B1287" s="19" t="inlineStr">
        <is>
          <t>International Movies</t>
        </is>
      </c>
      <c r="C1287" s="19">
        <f>IFERROR(INDEX(tblNetflix[type],MATCH($A1287,tblNetflix[show_id],0)),"")</f>
        <v/>
      </c>
      <c r="D1287" s="19">
        <f>IFERROR(INDEX(tblNetflix[rating],MATCH($A1287,tblNetflix[show_id],0)),"")</f>
        <v/>
      </c>
      <c r="E1287" s="19">
        <f>IFERROR(INDEX(tblNetflix[year_added],MATCH($A1287,tblNetflix[show_id],0)),"")</f>
        <v/>
      </c>
      <c r="F1287" s="19">
        <f>IF(AND(OR(YearFilter="All",$E1287=YearFilter),OR(RatingFilter="All",$D1287=RatingFilter),OR(TypeFilter="All",$C1287=TypeFilter)),1,0)</f>
        <v/>
      </c>
    </row>
    <row r="1288" ht="15" customHeight="1" s="20">
      <c r="A1288" s="19" t="inlineStr">
        <is>
          <t>s4456</t>
        </is>
      </c>
      <c r="B1288" s="19" t="inlineStr">
        <is>
          <t>Action &amp; Adventure</t>
        </is>
      </c>
      <c r="C1288" s="19">
        <f>IFERROR(INDEX(tblNetflix[type],MATCH($A1288,tblNetflix[show_id],0)),"")</f>
        <v/>
      </c>
      <c r="D1288" s="19">
        <f>IFERROR(INDEX(tblNetflix[rating],MATCH($A1288,tblNetflix[show_id],0)),"")</f>
        <v/>
      </c>
      <c r="E1288" s="19">
        <f>IFERROR(INDEX(tblNetflix[year_added],MATCH($A1288,tblNetflix[show_id],0)),"")</f>
        <v/>
      </c>
      <c r="F1288" s="19">
        <f>IF(AND(OR(YearFilter="All",$E1288=YearFilter),OR(RatingFilter="All",$D1288=RatingFilter),OR(TypeFilter="All",$C1288=TypeFilter)),1,0)</f>
        <v/>
      </c>
    </row>
    <row r="1289" ht="15" customHeight="1" s="20">
      <c r="A1289" s="19" t="inlineStr">
        <is>
          <t>s4456</t>
        </is>
      </c>
      <c r="B1289" s="19" t="inlineStr">
        <is>
          <t>Dramas</t>
        </is>
      </c>
      <c r="C1289" s="19">
        <f>IFERROR(INDEX(tblNetflix[type],MATCH($A1289,tblNetflix[show_id],0)),"")</f>
        <v/>
      </c>
      <c r="D1289" s="19">
        <f>IFERROR(INDEX(tblNetflix[rating],MATCH($A1289,tblNetflix[show_id],0)),"")</f>
        <v/>
      </c>
      <c r="E1289" s="19">
        <f>IFERROR(INDEX(tblNetflix[year_added],MATCH($A1289,tblNetflix[show_id],0)),"")</f>
        <v/>
      </c>
      <c r="F1289" s="19">
        <f>IF(AND(OR(YearFilter="All",$E1289=YearFilter),OR(RatingFilter="All",$D1289=RatingFilter),OR(TypeFilter="All",$C1289=TypeFilter)),1,0)</f>
        <v/>
      </c>
    </row>
    <row r="1290" ht="15" customHeight="1" s="20">
      <c r="A1290" s="19" t="inlineStr">
        <is>
          <t>s4456</t>
        </is>
      </c>
      <c r="B1290" s="19" t="inlineStr">
        <is>
          <t>International Movies</t>
        </is>
      </c>
      <c r="C1290" s="19">
        <f>IFERROR(INDEX(tblNetflix[type],MATCH($A1290,tblNetflix[show_id],0)),"")</f>
        <v/>
      </c>
      <c r="D1290" s="19">
        <f>IFERROR(INDEX(tblNetflix[rating],MATCH($A1290,tblNetflix[show_id],0)),"")</f>
        <v/>
      </c>
      <c r="E1290" s="19">
        <f>IFERROR(INDEX(tblNetflix[year_added],MATCH($A1290,tblNetflix[show_id],0)),"")</f>
        <v/>
      </c>
      <c r="F1290" s="19">
        <f>IF(AND(OR(YearFilter="All",$E1290=YearFilter),OR(RatingFilter="All",$D1290=RatingFilter),OR(TypeFilter="All",$C1290=TypeFilter)),1,0)</f>
        <v/>
      </c>
    </row>
    <row r="1291" ht="15" customHeight="1" s="20">
      <c r="A1291" s="19" t="inlineStr">
        <is>
          <t>s4457</t>
        </is>
      </c>
      <c r="B1291" s="19" t="inlineStr">
        <is>
          <t>Dramas</t>
        </is>
      </c>
      <c r="C1291" s="19">
        <f>IFERROR(INDEX(tblNetflix[type],MATCH($A1291,tblNetflix[show_id],0)),"")</f>
        <v/>
      </c>
      <c r="D1291" s="19">
        <f>IFERROR(INDEX(tblNetflix[rating],MATCH($A1291,tblNetflix[show_id],0)),"")</f>
        <v/>
      </c>
      <c r="E1291" s="19">
        <f>IFERROR(INDEX(tblNetflix[year_added],MATCH($A1291,tblNetflix[show_id],0)),"")</f>
        <v/>
      </c>
      <c r="F1291" s="19">
        <f>IF(AND(OR(YearFilter="All",$E1291=YearFilter),OR(RatingFilter="All",$D1291=RatingFilter),OR(TypeFilter="All",$C1291=TypeFilter)),1,0)</f>
        <v/>
      </c>
    </row>
    <row r="1292" ht="15" customHeight="1" s="20">
      <c r="A1292" s="19" t="inlineStr">
        <is>
          <t>s4457</t>
        </is>
      </c>
      <c r="B1292" s="19" t="inlineStr">
        <is>
          <t>International Movies</t>
        </is>
      </c>
      <c r="C1292" s="19">
        <f>IFERROR(INDEX(tblNetflix[type],MATCH($A1292,tblNetflix[show_id],0)),"")</f>
        <v/>
      </c>
      <c r="D1292" s="19">
        <f>IFERROR(INDEX(tblNetflix[rating],MATCH($A1292,tblNetflix[show_id],0)),"")</f>
        <v/>
      </c>
      <c r="E1292" s="19">
        <f>IFERROR(INDEX(tblNetflix[year_added],MATCH($A1292,tblNetflix[show_id],0)),"")</f>
        <v/>
      </c>
      <c r="F1292" s="19">
        <f>IF(AND(OR(YearFilter="All",$E1292=YearFilter),OR(RatingFilter="All",$D1292=RatingFilter),OR(TypeFilter="All",$C1292=TypeFilter)),1,0)</f>
        <v/>
      </c>
    </row>
    <row r="1293" ht="15" customHeight="1" s="20">
      <c r="A1293" s="19" t="inlineStr">
        <is>
          <t>s4457</t>
        </is>
      </c>
      <c r="B1293" s="19" t="inlineStr">
        <is>
          <t>Thrillers</t>
        </is>
      </c>
      <c r="C1293" s="19">
        <f>IFERROR(INDEX(tblNetflix[type],MATCH($A1293,tblNetflix[show_id],0)),"")</f>
        <v/>
      </c>
      <c r="D1293" s="19">
        <f>IFERROR(INDEX(tblNetflix[rating],MATCH($A1293,tblNetflix[show_id],0)),"")</f>
        <v/>
      </c>
      <c r="E1293" s="19">
        <f>IFERROR(INDEX(tblNetflix[year_added],MATCH($A1293,tblNetflix[show_id],0)),"")</f>
        <v/>
      </c>
      <c r="F1293" s="19">
        <f>IF(AND(OR(YearFilter="All",$E1293=YearFilter),OR(RatingFilter="All",$D1293=RatingFilter),OR(TypeFilter="All",$C1293=TypeFilter)),1,0)</f>
        <v/>
      </c>
    </row>
    <row r="1294" ht="15" customHeight="1" s="20">
      <c r="A1294" s="19" t="inlineStr">
        <is>
          <t>s4458</t>
        </is>
      </c>
      <c r="B1294" s="19" t="inlineStr">
        <is>
          <t>Dramas</t>
        </is>
      </c>
      <c r="C1294" s="19">
        <f>IFERROR(INDEX(tblNetflix[type],MATCH($A1294,tblNetflix[show_id],0)),"")</f>
        <v/>
      </c>
      <c r="D1294" s="19">
        <f>IFERROR(INDEX(tblNetflix[rating],MATCH($A1294,tblNetflix[show_id],0)),"")</f>
        <v/>
      </c>
      <c r="E1294" s="19">
        <f>IFERROR(INDEX(tblNetflix[year_added],MATCH($A1294,tblNetflix[show_id],0)),"")</f>
        <v/>
      </c>
      <c r="F1294" s="19">
        <f>IF(AND(OR(YearFilter="All",$E1294=YearFilter),OR(RatingFilter="All",$D1294=RatingFilter),OR(TypeFilter="All",$C1294=TypeFilter)),1,0)</f>
        <v/>
      </c>
    </row>
    <row r="1295" ht="15" customHeight="1" s="20">
      <c r="A1295" s="19" t="inlineStr">
        <is>
          <t>s4458</t>
        </is>
      </c>
      <c r="B1295" s="19" t="inlineStr">
        <is>
          <t>International Movies</t>
        </is>
      </c>
      <c r="C1295" s="19">
        <f>IFERROR(INDEX(tblNetflix[type],MATCH($A1295,tblNetflix[show_id],0)),"")</f>
        <v/>
      </c>
      <c r="D1295" s="19">
        <f>IFERROR(INDEX(tblNetflix[rating],MATCH($A1295,tblNetflix[show_id],0)),"")</f>
        <v/>
      </c>
      <c r="E1295" s="19">
        <f>IFERROR(INDEX(tblNetflix[year_added],MATCH($A1295,tblNetflix[show_id],0)),"")</f>
        <v/>
      </c>
      <c r="F1295" s="19">
        <f>IF(AND(OR(YearFilter="All",$E1295=YearFilter),OR(RatingFilter="All",$D1295=RatingFilter),OR(TypeFilter="All",$C1295=TypeFilter)),1,0)</f>
        <v/>
      </c>
    </row>
    <row r="1296" ht="15" customHeight="1" s="20">
      <c r="A1296" s="19" t="inlineStr">
        <is>
          <t>s4458</t>
        </is>
      </c>
      <c r="B1296" s="19" t="inlineStr">
        <is>
          <t>Music &amp; Musicals</t>
        </is>
      </c>
      <c r="C1296" s="19">
        <f>IFERROR(INDEX(tblNetflix[type],MATCH($A1296,tblNetflix[show_id],0)),"")</f>
        <v/>
      </c>
      <c r="D1296" s="19">
        <f>IFERROR(INDEX(tblNetflix[rating],MATCH($A1296,tblNetflix[show_id],0)),"")</f>
        <v/>
      </c>
      <c r="E1296" s="19">
        <f>IFERROR(INDEX(tblNetflix[year_added],MATCH($A1296,tblNetflix[show_id],0)),"")</f>
        <v/>
      </c>
      <c r="F1296" s="19">
        <f>IF(AND(OR(YearFilter="All",$E1296=YearFilter),OR(RatingFilter="All",$D1296=RatingFilter),OR(TypeFilter="All",$C1296=TypeFilter)),1,0)</f>
        <v/>
      </c>
    </row>
    <row r="1297" ht="15" customHeight="1" s="20">
      <c r="A1297" s="19" t="inlineStr">
        <is>
          <t>s4459</t>
        </is>
      </c>
      <c r="B1297" s="19" t="inlineStr">
        <is>
          <t>Comedies</t>
        </is>
      </c>
      <c r="C1297" s="19">
        <f>IFERROR(INDEX(tblNetflix[type],MATCH($A1297,tblNetflix[show_id],0)),"")</f>
        <v/>
      </c>
      <c r="D1297" s="19">
        <f>IFERROR(INDEX(tblNetflix[rating],MATCH($A1297,tblNetflix[show_id],0)),"")</f>
        <v/>
      </c>
      <c r="E1297" s="19">
        <f>IFERROR(INDEX(tblNetflix[year_added],MATCH($A1297,tblNetflix[show_id],0)),"")</f>
        <v/>
      </c>
      <c r="F1297" s="19">
        <f>IF(AND(OR(YearFilter="All",$E1297=YearFilter),OR(RatingFilter="All",$D1297=RatingFilter),OR(TypeFilter="All",$C1297=TypeFilter)),1,0)</f>
        <v/>
      </c>
    </row>
    <row r="1298" ht="15" customHeight="1" s="20">
      <c r="A1298" s="19" t="inlineStr">
        <is>
          <t>s4459</t>
        </is>
      </c>
      <c r="B1298" s="19" t="inlineStr">
        <is>
          <t>International Movies</t>
        </is>
      </c>
      <c r="C1298" s="19">
        <f>IFERROR(INDEX(tblNetflix[type],MATCH($A1298,tblNetflix[show_id],0)),"")</f>
        <v/>
      </c>
      <c r="D1298" s="19">
        <f>IFERROR(INDEX(tblNetflix[rating],MATCH($A1298,tblNetflix[show_id],0)),"")</f>
        <v/>
      </c>
      <c r="E1298" s="19">
        <f>IFERROR(INDEX(tblNetflix[year_added],MATCH($A1298,tblNetflix[show_id],0)),"")</f>
        <v/>
      </c>
      <c r="F1298" s="19">
        <f>IF(AND(OR(YearFilter="All",$E1298=YearFilter),OR(RatingFilter="All",$D1298=RatingFilter),OR(TypeFilter="All",$C1298=TypeFilter)),1,0)</f>
        <v/>
      </c>
    </row>
    <row r="1299" ht="15" customHeight="1" s="20">
      <c r="A1299" s="19" t="inlineStr">
        <is>
          <t>s4459</t>
        </is>
      </c>
      <c r="B1299" s="19" t="inlineStr">
        <is>
          <t>Music &amp; Musicals</t>
        </is>
      </c>
      <c r="C1299" s="19">
        <f>IFERROR(INDEX(tblNetflix[type],MATCH($A1299,tblNetflix[show_id],0)),"")</f>
        <v/>
      </c>
      <c r="D1299" s="19">
        <f>IFERROR(INDEX(tblNetflix[rating],MATCH($A1299,tblNetflix[show_id],0)),"")</f>
        <v/>
      </c>
      <c r="E1299" s="19">
        <f>IFERROR(INDEX(tblNetflix[year_added],MATCH($A1299,tblNetflix[show_id],0)),"")</f>
        <v/>
      </c>
      <c r="F1299" s="19">
        <f>IF(AND(OR(YearFilter="All",$E1299=YearFilter),OR(RatingFilter="All",$D1299=RatingFilter),OR(TypeFilter="All",$C1299=TypeFilter)),1,0)</f>
        <v/>
      </c>
    </row>
    <row r="1300" ht="15" customHeight="1" s="20">
      <c r="A1300" s="19" t="inlineStr">
        <is>
          <t>s4460</t>
        </is>
      </c>
      <c r="B1300" s="19" t="inlineStr">
        <is>
          <t>Dramas</t>
        </is>
      </c>
      <c r="C1300" s="19">
        <f>IFERROR(INDEX(tblNetflix[type],MATCH($A1300,tblNetflix[show_id],0)),"")</f>
        <v/>
      </c>
      <c r="D1300" s="19">
        <f>IFERROR(INDEX(tblNetflix[rating],MATCH($A1300,tblNetflix[show_id],0)),"")</f>
        <v/>
      </c>
      <c r="E1300" s="19">
        <f>IFERROR(INDEX(tblNetflix[year_added],MATCH($A1300,tblNetflix[show_id],0)),"")</f>
        <v/>
      </c>
      <c r="F1300" s="19">
        <f>IF(AND(OR(YearFilter="All",$E1300=YearFilter),OR(RatingFilter="All",$D1300=RatingFilter),OR(TypeFilter="All",$C1300=TypeFilter)),1,0)</f>
        <v/>
      </c>
    </row>
    <row r="1301" ht="15" customHeight="1" s="20">
      <c r="A1301" s="19" t="inlineStr">
        <is>
          <t>s4460</t>
        </is>
      </c>
      <c r="B1301" s="19" t="inlineStr">
        <is>
          <t>International Movies</t>
        </is>
      </c>
      <c r="C1301" s="19">
        <f>IFERROR(INDEX(tblNetflix[type],MATCH($A1301,tblNetflix[show_id],0)),"")</f>
        <v/>
      </c>
      <c r="D1301" s="19">
        <f>IFERROR(INDEX(tblNetflix[rating],MATCH($A1301,tblNetflix[show_id],0)),"")</f>
        <v/>
      </c>
      <c r="E1301" s="19">
        <f>IFERROR(INDEX(tblNetflix[year_added],MATCH($A1301,tblNetflix[show_id],0)),"")</f>
        <v/>
      </c>
      <c r="F1301" s="19">
        <f>IF(AND(OR(YearFilter="All",$E1301=YearFilter),OR(RatingFilter="All",$D1301=RatingFilter),OR(TypeFilter="All",$C1301=TypeFilter)),1,0)</f>
        <v/>
      </c>
    </row>
    <row r="1302" ht="15" customHeight="1" s="20">
      <c r="A1302" s="19" t="inlineStr">
        <is>
          <t>s4460</t>
        </is>
      </c>
      <c r="B1302" s="19" t="inlineStr">
        <is>
          <t>Thrillers</t>
        </is>
      </c>
      <c r="C1302" s="19">
        <f>IFERROR(INDEX(tblNetflix[type],MATCH($A1302,tblNetflix[show_id],0)),"")</f>
        <v/>
      </c>
      <c r="D1302" s="19">
        <f>IFERROR(INDEX(tblNetflix[rating],MATCH($A1302,tblNetflix[show_id],0)),"")</f>
        <v/>
      </c>
      <c r="E1302" s="19">
        <f>IFERROR(INDEX(tblNetflix[year_added],MATCH($A1302,tblNetflix[show_id],0)),"")</f>
        <v/>
      </c>
      <c r="F1302" s="19">
        <f>IF(AND(OR(YearFilter="All",$E1302=YearFilter),OR(RatingFilter="All",$D1302=RatingFilter),OR(TypeFilter="All",$C1302=TypeFilter)),1,0)</f>
        <v/>
      </c>
    </row>
    <row r="1303" ht="15" customHeight="1" s="20">
      <c r="A1303" s="19" t="inlineStr">
        <is>
          <t>s4465</t>
        </is>
      </c>
      <c r="B1303" s="19" t="inlineStr">
        <is>
          <t>Comedies</t>
        </is>
      </c>
      <c r="C1303" s="19">
        <f>IFERROR(INDEX(tblNetflix[type],MATCH($A1303,tblNetflix[show_id],0)),"")</f>
        <v/>
      </c>
      <c r="D1303" s="19">
        <f>IFERROR(INDEX(tblNetflix[rating],MATCH($A1303,tblNetflix[show_id],0)),"")</f>
        <v/>
      </c>
      <c r="E1303" s="19">
        <f>IFERROR(INDEX(tblNetflix[year_added],MATCH($A1303,tblNetflix[show_id],0)),"")</f>
        <v/>
      </c>
      <c r="F1303" s="19">
        <f>IF(AND(OR(YearFilter="All",$E1303=YearFilter),OR(RatingFilter="All",$D1303=RatingFilter),OR(TypeFilter="All",$C1303=TypeFilter)),1,0)</f>
        <v/>
      </c>
    </row>
    <row r="1304" ht="15" customHeight="1" s="20">
      <c r="A1304" s="19" t="inlineStr">
        <is>
          <t>s4465</t>
        </is>
      </c>
      <c r="B1304" s="19" t="inlineStr">
        <is>
          <t>Dramas</t>
        </is>
      </c>
      <c r="C1304" s="19">
        <f>IFERROR(INDEX(tblNetflix[type],MATCH($A1304,tblNetflix[show_id],0)),"")</f>
        <v/>
      </c>
      <c r="D1304" s="19">
        <f>IFERROR(INDEX(tblNetflix[rating],MATCH($A1304,tblNetflix[show_id],0)),"")</f>
        <v/>
      </c>
      <c r="E1304" s="19">
        <f>IFERROR(INDEX(tblNetflix[year_added],MATCH($A1304,tblNetflix[show_id],0)),"")</f>
        <v/>
      </c>
      <c r="F1304" s="19">
        <f>IF(AND(OR(YearFilter="All",$E1304=YearFilter),OR(RatingFilter="All",$D1304=RatingFilter),OR(TypeFilter="All",$C1304=TypeFilter)),1,0)</f>
        <v/>
      </c>
    </row>
    <row r="1305" ht="15" customHeight="1" s="20">
      <c r="A1305" s="19" t="inlineStr">
        <is>
          <t>s4465</t>
        </is>
      </c>
      <c r="B1305" s="19" t="inlineStr">
        <is>
          <t>International Movies</t>
        </is>
      </c>
      <c r="C1305" s="19">
        <f>IFERROR(INDEX(tblNetflix[type],MATCH($A1305,tblNetflix[show_id],0)),"")</f>
        <v/>
      </c>
      <c r="D1305" s="19">
        <f>IFERROR(INDEX(tblNetflix[rating],MATCH($A1305,tblNetflix[show_id],0)),"")</f>
        <v/>
      </c>
      <c r="E1305" s="19">
        <f>IFERROR(INDEX(tblNetflix[year_added],MATCH($A1305,tblNetflix[show_id],0)),"")</f>
        <v/>
      </c>
      <c r="F1305" s="19">
        <f>IF(AND(OR(YearFilter="All",$E1305=YearFilter),OR(RatingFilter="All",$D1305=RatingFilter),OR(TypeFilter="All",$C1305=TypeFilter)),1,0)</f>
        <v/>
      </c>
    </row>
    <row r="1306" ht="15" customHeight="1" s="20">
      <c r="A1306" s="19" t="inlineStr">
        <is>
          <t>s4466</t>
        </is>
      </c>
      <c r="B1306" s="19" t="inlineStr">
        <is>
          <t>Comedies</t>
        </is>
      </c>
      <c r="C1306" s="19">
        <f>IFERROR(INDEX(tblNetflix[type],MATCH($A1306,tblNetflix[show_id],0)),"")</f>
        <v/>
      </c>
      <c r="D1306" s="19">
        <f>IFERROR(INDEX(tblNetflix[rating],MATCH($A1306,tblNetflix[show_id],0)),"")</f>
        <v/>
      </c>
      <c r="E1306" s="19">
        <f>IFERROR(INDEX(tblNetflix[year_added],MATCH($A1306,tblNetflix[show_id],0)),"")</f>
        <v/>
      </c>
      <c r="F1306" s="19">
        <f>IF(AND(OR(YearFilter="All",$E1306=YearFilter),OR(RatingFilter="All",$D1306=RatingFilter),OR(TypeFilter="All",$C1306=TypeFilter)),1,0)</f>
        <v/>
      </c>
    </row>
    <row r="1307" ht="15" customHeight="1" s="20">
      <c r="A1307" s="19" t="inlineStr">
        <is>
          <t>s4466</t>
        </is>
      </c>
      <c r="B1307" s="19" t="inlineStr">
        <is>
          <t>Dramas</t>
        </is>
      </c>
      <c r="C1307" s="19">
        <f>IFERROR(INDEX(tblNetflix[type],MATCH($A1307,tblNetflix[show_id],0)),"")</f>
        <v/>
      </c>
      <c r="D1307" s="19">
        <f>IFERROR(INDEX(tblNetflix[rating],MATCH($A1307,tblNetflix[show_id],0)),"")</f>
        <v/>
      </c>
      <c r="E1307" s="19">
        <f>IFERROR(INDEX(tblNetflix[year_added],MATCH($A1307,tblNetflix[show_id],0)),"")</f>
        <v/>
      </c>
      <c r="F1307" s="19">
        <f>IF(AND(OR(YearFilter="All",$E1307=YearFilter),OR(RatingFilter="All",$D1307=RatingFilter),OR(TypeFilter="All",$C1307=TypeFilter)),1,0)</f>
        <v/>
      </c>
    </row>
    <row r="1308" ht="15" customHeight="1" s="20">
      <c r="A1308" s="19" t="inlineStr">
        <is>
          <t>s4466</t>
        </is>
      </c>
      <c r="B1308" s="19" t="inlineStr">
        <is>
          <t>Independent Movies</t>
        </is>
      </c>
      <c r="C1308" s="19">
        <f>IFERROR(INDEX(tblNetflix[type],MATCH($A1308,tblNetflix[show_id],0)),"")</f>
        <v/>
      </c>
      <c r="D1308" s="19">
        <f>IFERROR(INDEX(tblNetflix[rating],MATCH($A1308,tblNetflix[show_id],0)),"")</f>
        <v/>
      </c>
      <c r="E1308" s="19">
        <f>IFERROR(INDEX(tblNetflix[year_added],MATCH($A1308,tblNetflix[show_id],0)),"")</f>
        <v/>
      </c>
      <c r="F1308" s="19">
        <f>IF(AND(OR(YearFilter="All",$E1308=YearFilter),OR(RatingFilter="All",$D1308=RatingFilter),OR(TypeFilter="All",$C1308=TypeFilter)),1,0)</f>
        <v/>
      </c>
    </row>
    <row r="1309" ht="15" customHeight="1" s="20">
      <c r="A1309" s="19" t="inlineStr">
        <is>
          <t>s4467</t>
        </is>
      </c>
      <c r="B1309" s="19" t="inlineStr">
        <is>
          <t>Children &amp; Family Movies</t>
        </is>
      </c>
      <c r="C1309" s="19">
        <f>IFERROR(INDEX(tblNetflix[type],MATCH($A1309,tblNetflix[show_id],0)),"")</f>
        <v/>
      </c>
      <c r="D1309" s="19">
        <f>IFERROR(INDEX(tblNetflix[rating],MATCH($A1309,tblNetflix[show_id],0)),"")</f>
        <v/>
      </c>
      <c r="E1309" s="19">
        <f>IFERROR(INDEX(tblNetflix[year_added],MATCH($A1309,tblNetflix[show_id],0)),"")</f>
        <v/>
      </c>
      <c r="F1309" s="19">
        <f>IF(AND(OR(YearFilter="All",$E1309=YearFilter),OR(RatingFilter="All",$D1309=RatingFilter),OR(TypeFilter="All",$C1309=TypeFilter)),1,0)</f>
        <v/>
      </c>
    </row>
    <row r="1310" ht="15" customHeight="1" s="20">
      <c r="A1310" s="19" t="inlineStr">
        <is>
          <t>s4467</t>
        </is>
      </c>
      <c r="B1310" s="19" t="inlineStr">
        <is>
          <t>Dramas</t>
        </is>
      </c>
      <c r="C1310" s="19">
        <f>IFERROR(INDEX(tblNetflix[type],MATCH($A1310,tblNetflix[show_id],0)),"")</f>
        <v/>
      </c>
      <c r="D1310" s="19">
        <f>IFERROR(INDEX(tblNetflix[rating],MATCH($A1310,tblNetflix[show_id],0)),"")</f>
        <v/>
      </c>
      <c r="E1310" s="19">
        <f>IFERROR(INDEX(tblNetflix[year_added],MATCH($A1310,tblNetflix[show_id],0)),"")</f>
        <v/>
      </c>
      <c r="F1310" s="19">
        <f>IF(AND(OR(YearFilter="All",$E1310=YearFilter),OR(RatingFilter="All",$D1310=RatingFilter),OR(TypeFilter="All",$C1310=TypeFilter)),1,0)</f>
        <v/>
      </c>
    </row>
    <row r="1311" ht="15" customHeight="1" s="20">
      <c r="A1311" s="19" t="inlineStr">
        <is>
          <t>s4478</t>
        </is>
      </c>
      <c r="B1311" s="19" t="inlineStr">
        <is>
          <t>Dramas</t>
        </is>
      </c>
      <c r="C1311" s="19">
        <f>IFERROR(INDEX(tblNetflix[type],MATCH($A1311,tblNetflix[show_id],0)),"")</f>
        <v/>
      </c>
      <c r="D1311" s="19">
        <f>IFERROR(INDEX(tblNetflix[rating],MATCH($A1311,tblNetflix[show_id],0)),"")</f>
        <v/>
      </c>
      <c r="E1311" s="19">
        <f>IFERROR(INDEX(tblNetflix[year_added],MATCH($A1311,tblNetflix[show_id],0)),"")</f>
        <v/>
      </c>
      <c r="F1311" s="19">
        <f>IF(AND(OR(YearFilter="All",$E1311=YearFilter),OR(RatingFilter="All",$D1311=RatingFilter),OR(TypeFilter="All",$C1311=TypeFilter)),1,0)</f>
        <v/>
      </c>
    </row>
    <row r="1312" ht="15" customHeight="1" s="20">
      <c r="A1312" s="19" t="inlineStr">
        <is>
          <t>s4478</t>
        </is>
      </c>
      <c r="B1312" s="19" t="inlineStr">
        <is>
          <t>International Movies</t>
        </is>
      </c>
      <c r="C1312" s="19">
        <f>IFERROR(INDEX(tblNetflix[type],MATCH($A1312,tblNetflix[show_id],0)),"")</f>
        <v/>
      </c>
      <c r="D1312" s="19">
        <f>IFERROR(INDEX(tblNetflix[rating],MATCH($A1312,tblNetflix[show_id],0)),"")</f>
        <v/>
      </c>
      <c r="E1312" s="19">
        <f>IFERROR(INDEX(tblNetflix[year_added],MATCH($A1312,tblNetflix[show_id],0)),"")</f>
        <v/>
      </c>
      <c r="F1312" s="19">
        <f>IF(AND(OR(YearFilter="All",$E1312=YearFilter),OR(RatingFilter="All",$D1312=RatingFilter),OR(TypeFilter="All",$C1312=TypeFilter)),1,0)</f>
        <v/>
      </c>
    </row>
    <row r="1313" ht="15" customHeight="1" s="20">
      <c r="A1313" s="19" t="inlineStr">
        <is>
          <t>s4478</t>
        </is>
      </c>
      <c r="B1313" s="19" t="inlineStr">
        <is>
          <t>Thrillers</t>
        </is>
      </c>
      <c r="C1313" s="19">
        <f>IFERROR(INDEX(tblNetflix[type],MATCH($A1313,tblNetflix[show_id],0)),"")</f>
        <v/>
      </c>
      <c r="D1313" s="19">
        <f>IFERROR(INDEX(tblNetflix[rating],MATCH($A1313,tblNetflix[show_id],0)),"")</f>
        <v/>
      </c>
      <c r="E1313" s="19">
        <f>IFERROR(INDEX(tblNetflix[year_added],MATCH($A1313,tblNetflix[show_id],0)),"")</f>
        <v/>
      </c>
      <c r="F1313" s="19">
        <f>IF(AND(OR(YearFilter="All",$E1313=YearFilter),OR(RatingFilter="All",$D1313=RatingFilter),OR(TypeFilter="All",$C1313=TypeFilter)),1,0)</f>
        <v/>
      </c>
    </row>
    <row r="1314" ht="15" customHeight="1" s="20">
      <c r="A1314" s="19" t="inlineStr">
        <is>
          <t>s4497</t>
        </is>
      </c>
      <c r="B1314" s="19" t="inlineStr">
        <is>
          <t>Dramas</t>
        </is>
      </c>
      <c r="C1314" s="19">
        <f>IFERROR(INDEX(tblNetflix[type],MATCH($A1314,tblNetflix[show_id],0)),"")</f>
        <v/>
      </c>
      <c r="D1314" s="19">
        <f>IFERROR(INDEX(tblNetflix[rating],MATCH($A1314,tblNetflix[show_id],0)),"")</f>
        <v/>
      </c>
      <c r="E1314" s="19">
        <f>IFERROR(INDEX(tblNetflix[year_added],MATCH($A1314,tblNetflix[show_id],0)),"")</f>
        <v/>
      </c>
      <c r="F1314" s="19">
        <f>IF(AND(OR(YearFilter="All",$E1314=YearFilter),OR(RatingFilter="All",$D1314=RatingFilter),OR(TypeFilter="All",$C1314=TypeFilter)),1,0)</f>
        <v/>
      </c>
    </row>
    <row r="1315" ht="15" customHeight="1" s="20">
      <c r="A1315" s="19" t="inlineStr">
        <is>
          <t>s4497</t>
        </is>
      </c>
      <c r="B1315" s="19" t="inlineStr">
        <is>
          <t>International Movies</t>
        </is>
      </c>
      <c r="C1315" s="19">
        <f>IFERROR(INDEX(tblNetflix[type],MATCH($A1315,tblNetflix[show_id],0)),"")</f>
        <v/>
      </c>
      <c r="D1315" s="19">
        <f>IFERROR(INDEX(tblNetflix[rating],MATCH($A1315,tblNetflix[show_id],0)),"")</f>
        <v/>
      </c>
      <c r="E1315" s="19">
        <f>IFERROR(INDEX(tblNetflix[year_added],MATCH($A1315,tblNetflix[show_id],0)),"")</f>
        <v/>
      </c>
      <c r="F1315" s="19">
        <f>IF(AND(OR(YearFilter="All",$E1315=YearFilter),OR(RatingFilter="All",$D1315=RatingFilter),OR(TypeFilter="All",$C1315=TypeFilter)),1,0)</f>
        <v/>
      </c>
    </row>
    <row r="1316" ht="15" customHeight="1" s="20">
      <c r="A1316" s="19" t="inlineStr">
        <is>
          <t>s4503</t>
        </is>
      </c>
      <c r="B1316" s="19" t="inlineStr">
        <is>
          <t>Dramas</t>
        </is>
      </c>
      <c r="C1316" s="19">
        <f>IFERROR(INDEX(tblNetflix[type],MATCH($A1316,tblNetflix[show_id],0)),"")</f>
        <v/>
      </c>
      <c r="D1316" s="19">
        <f>IFERROR(INDEX(tblNetflix[rating],MATCH($A1316,tblNetflix[show_id],0)),"")</f>
        <v/>
      </c>
      <c r="E1316" s="19">
        <f>IFERROR(INDEX(tblNetflix[year_added],MATCH($A1316,tblNetflix[show_id],0)),"")</f>
        <v/>
      </c>
      <c r="F1316" s="19">
        <f>IF(AND(OR(YearFilter="All",$E1316=YearFilter),OR(RatingFilter="All",$D1316=RatingFilter),OR(TypeFilter="All",$C1316=TypeFilter)),1,0)</f>
        <v/>
      </c>
    </row>
    <row r="1317" ht="15" customHeight="1" s="20">
      <c r="A1317" s="19" t="inlineStr">
        <is>
          <t>s4503</t>
        </is>
      </c>
      <c r="B1317" s="19" t="inlineStr">
        <is>
          <t>International Movies</t>
        </is>
      </c>
      <c r="C1317" s="19">
        <f>IFERROR(INDEX(tblNetflix[type],MATCH($A1317,tblNetflix[show_id],0)),"")</f>
        <v/>
      </c>
      <c r="D1317" s="19">
        <f>IFERROR(INDEX(tblNetflix[rating],MATCH($A1317,tblNetflix[show_id],0)),"")</f>
        <v/>
      </c>
      <c r="E1317" s="19">
        <f>IFERROR(INDEX(tblNetflix[year_added],MATCH($A1317,tblNetflix[show_id],0)),"")</f>
        <v/>
      </c>
      <c r="F1317" s="19">
        <f>IF(AND(OR(YearFilter="All",$E1317=YearFilter),OR(RatingFilter="All",$D1317=RatingFilter),OR(TypeFilter="All",$C1317=TypeFilter)),1,0)</f>
        <v/>
      </c>
    </row>
    <row r="1318" ht="15" customHeight="1" s="20">
      <c r="A1318" s="19" t="inlineStr">
        <is>
          <t>s4503</t>
        </is>
      </c>
      <c r="B1318" s="19" t="inlineStr">
        <is>
          <t>Thrillers</t>
        </is>
      </c>
      <c r="C1318" s="19">
        <f>IFERROR(INDEX(tblNetflix[type],MATCH($A1318,tblNetflix[show_id],0)),"")</f>
        <v/>
      </c>
      <c r="D1318" s="19">
        <f>IFERROR(INDEX(tblNetflix[rating],MATCH($A1318,tblNetflix[show_id],0)),"")</f>
        <v/>
      </c>
      <c r="E1318" s="19">
        <f>IFERROR(INDEX(tblNetflix[year_added],MATCH($A1318,tblNetflix[show_id],0)),"")</f>
        <v/>
      </c>
      <c r="F1318" s="19">
        <f>IF(AND(OR(YearFilter="All",$E1318=YearFilter),OR(RatingFilter="All",$D1318=RatingFilter),OR(TypeFilter="All",$C1318=TypeFilter)),1,0)</f>
        <v/>
      </c>
    </row>
    <row r="1319" ht="15" customHeight="1" s="20">
      <c r="A1319" s="19" t="inlineStr">
        <is>
          <t>s4507</t>
        </is>
      </c>
      <c r="B1319" s="19" t="inlineStr">
        <is>
          <t>Dramas</t>
        </is>
      </c>
      <c r="C1319" s="19">
        <f>IFERROR(INDEX(tblNetflix[type],MATCH($A1319,tblNetflix[show_id],0)),"")</f>
        <v/>
      </c>
      <c r="D1319" s="19">
        <f>IFERROR(INDEX(tblNetflix[rating],MATCH($A1319,tblNetflix[show_id],0)),"")</f>
        <v/>
      </c>
      <c r="E1319" s="19">
        <f>IFERROR(INDEX(tblNetflix[year_added],MATCH($A1319,tblNetflix[show_id],0)),"")</f>
        <v/>
      </c>
      <c r="F1319" s="19">
        <f>IF(AND(OR(YearFilter="All",$E1319=YearFilter),OR(RatingFilter="All",$D1319=RatingFilter),OR(TypeFilter="All",$C1319=TypeFilter)),1,0)</f>
        <v/>
      </c>
    </row>
    <row r="1320" ht="15" customHeight="1" s="20">
      <c r="A1320" s="19" t="inlineStr">
        <is>
          <t>s4507</t>
        </is>
      </c>
      <c r="B1320" s="19" t="inlineStr">
        <is>
          <t>International Movies</t>
        </is>
      </c>
      <c r="C1320" s="19">
        <f>IFERROR(INDEX(tblNetflix[type],MATCH($A1320,tblNetflix[show_id],0)),"")</f>
        <v/>
      </c>
      <c r="D1320" s="19">
        <f>IFERROR(INDEX(tblNetflix[rating],MATCH($A1320,tblNetflix[show_id],0)),"")</f>
        <v/>
      </c>
      <c r="E1320" s="19">
        <f>IFERROR(INDEX(tblNetflix[year_added],MATCH($A1320,tblNetflix[show_id],0)),"")</f>
        <v/>
      </c>
      <c r="F1320" s="19">
        <f>IF(AND(OR(YearFilter="All",$E1320=YearFilter),OR(RatingFilter="All",$D1320=RatingFilter),OR(TypeFilter="All",$C1320=TypeFilter)),1,0)</f>
        <v/>
      </c>
    </row>
    <row r="1321" ht="15" customHeight="1" s="20">
      <c r="A1321" s="19" t="inlineStr">
        <is>
          <t>s4508</t>
        </is>
      </c>
      <c r="B1321" s="19" t="inlineStr">
        <is>
          <t>Dramas</t>
        </is>
      </c>
      <c r="C1321" s="19">
        <f>IFERROR(INDEX(tblNetflix[type],MATCH($A1321,tblNetflix[show_id],0)),"")</f>
        <v/>
      </c>
      <c r="D1321" s="19">
        <f>IFERROR(INDEX(tblNetflix[rating],MATCH($A1321,tblNetflix[show_id],0)),"")</f>
        <v/>
      </c>
      <c r="E1321" s="19">
        <f>IFERROR(INDEX(tblNetflix[year_added],MATCH($A1321,tblNetflix[show_id],0)),"")</f>
        <v/>
      </c>
      <c r="F1321" s="19">
        <f>IF(AND(OR(YearFilter="All",$E1321=YearFilter),OR(RatingFilter="All",$D1321=RatingFilter),OR(TypeFilter="All",$C1321=TypeFilter)),1,0)</f>
        <v/>
      </c>
    </row>
    <row r="1322" ht="15" customHeight="1" s="20">
      <c r="A1322" s="19" t="inlineStr">
        <is>
          <t>s4508</t>
        </is>
      </c>
      <c r="B1322" s="19" t="inlineStr">
        <is>
          <t>International Movies</t>
        </is>
      </c>
      <c r="C1322" s="19">
        <f>IFERROR(INDEX(tblNetflix[type],MATCH($A1322,tblNetflix[show_id],0)),"")</f>
        <v/>
      </c>
      <c r="D1322" s="19">
        <f>IFERROR(INDEX(tblNetflix[rating],MATCH($A1322,tblNetflix[show_id],0)),"")</f>
        <v/>
      </c>
      <c r="E1322" s="19">
        <f>IFERROR(INDEX(tblNetflix[year_added],MATCH($A1322,tblNetflix[show_id],0)),"")</f>
        <v/>
      </c>
      <c r="F1322" s="19">
        <f>IF(AND(OR(YearFilter="All",$E1322=YearFilter),OR(RatingFilter="All",$D1322=RatingFilter),OR(TypeFilter="All",$C1322=TypeFilter)),1,0)</f>
        <v/>
      </c>
    </row>
    <row r="1323" ht="15" customHeight="1" s="20">
      <c r="A1323" s="19" t="inlineStr">
        <is>
          <t>s4510</t>
        </is>
      </c>
      <c r="B1323" s="19" t="inlineStr">
        <is>
          <t>Dramas</t>
        </is>
      </c>
      <c r="C1323" s="19">
        <f>IFERROR(INDEX(tblNetflix[type],MATCH($A1323,tblNetflix[show_id],0)),"")</f>
        <v/>
      </c>
      <c r="D1323" s="19">
        <f>IFERROR(INDEX(tblNetflix[rating],MATCH($A1323,tblNetflix[show_id],0)),"")</f>
        <v/>
      </c>
      <c r="E1323" s="19">
        <f>IFERROR(INDEX(tblNetflix[year_added],MATCH($A1323,tblNetflix[show_id],0)),"")</f>
        <v/>
      </c>
      <c r="F1323" s="19">
        <f>IF(AND(OR(YearFilter="All",$E1323=YearFilter),OR(RatingFilter="All",$D1323=RatingFilter),OR(TypeFilter="All",$C1323=TypeFilter)),1,0)</f>
        <v/>
      </c>
    </row>
    <row r="1324" ht="15" customHeight="1" s="20">
      <c r="A1324" s="19" t="inlineStr">
        <is>
          <t>s4510</t>
        </is>
      </c>
      <c r="B1324" s="19" t="inlineStr">
        <is>
          <t>International Movies</t>
        </is>
      </c>
      <c r="C1324" s="19">
        <f>IFERROR(INDEX(tblNetflix[type],MATCH($A1324,tblNetflix[show_id],0)),"")</f>
        <v/>
      </c>
      <c r="D1324" s="19">
        <f>IFERROR(INDEX(tblNetflix[rating],MATCH($A1324,tblNetflix[show_id],0)),"")</f>
        <v/>
      </c>
      <c r="E1324" s="19">
        <f>IFERROR(INDEX(tblNetflix[year_added],MATCH($A1324,tblNetflix[show_id],0)),"")</f>
        <v/>
      </c>
      <c r="F1324" s="19">
        <f>IF(AND(OR(YearFilter="All",$E1324=YearFilter),OR(RatingFilter="All",$D1324=RatingFilter),OR(TypeFilter="All",$C1324=TypeFilter)),1,0)</f>
        <v/>
      </c>
    </row>
    <row r="1325" ht="15" customHeight="1" s="20">
      <c r="A1325" s="19" t="inlineStr">
        <is>
          <t>s4510</t>
        </is>
      </c>
      <c r="B1325" s="19" t="inlineStr">
        <is>
          <t>Sports Movies</t>
        </is>
      </c>
      <c r="C1325" s="19">
        <f>IFERROR(INDEX(tblNetflix[type],MATCH($A1325,tblNetflix[show_id],0)),"")</f>
        <v/>
      </c>
      <c r="D1325" s="19">
        <f>IFERROR(INDEX(tblNetflix[rating],MATCH($A1325,tblNetflix[show_id],0)),"")</f>
        <v/>
      </c>
      <c r="E1325" s="19">
        <f>IFERROR(INDEX(tblNetflix[year_added],MATCH($A1325,tblNetflix[show_id],0)),"")</f>
        <v/>
      </c>
      <c r="F1325" s="19">
        <f>IF(AND(OR(YearFilter="All",$E1325=YearFilter),OR(RatingFilter="All",$D1325=RatingFilter),OR(TypeFilter="All",$C1325=TypeFilter)),1,0)</f>
        <v/>
      </c>
    </row>
    <row r="1326" ht="15" customHeight="1" s="20">
      <c r="A1326" s="19" t="inlineStr">
        <is>
          <t>s4538</t>
        </is>
      </c>
      <c r="B1326" s="19" t="inlineStr">
        <is>
          <t>Dramas</t>
        </is>
      </c>
      <c r="C1326" s="19">
        <f>IFERROR(INDEX(tblNetflix[type],MATCH($A1326,tblNetflix[show_id],0)),"")</f>
        <v/>
      </c>
      <c r="D1326" s="19">
        <f>IFERROR(INDEX(tblNetflix[rating],MATCH($A1326,tblNetflix[show_id],0)),"")</f>
        <v/>
      </c>
      <c r="E1326" s="19">
        <f>IFERROR(INDEX(tblNetflix[year_added],MATCH($A1326,tblNetflix[show_id],0)),"")</f>
        <v/>
      </c>
      <c r="F1326" s="19">
        <f>IF(AND(OR(YearFilter="All",$E1326=YearFilter),OR(RatingFilter="All",$D1326=RatingFilter),OR(TypeFilter="All",$C1326=TypeFilter)),1,0)</f>
        <v/>
      </c>
    </row>
    <row r="1327" ht="15" customHeight="1" s="20">
      <c r="A1327" s="19" t="inlineStr">
        <is>
          <t>s4538</t>
        </is>
      </c>
      <c r="B1327" s="19" t="inlineStr">
        <is>
          <t>International Movies</t>
        </is>
      </c>
      <c r="C1327" s="19">
        <f>IFERROR(INDEX(tblNetflix[type],MATCH($A1327,tblNetflix[show_id],0)),"")</f>
        <v/>
      </c>
      <c r="D1327" s="19">
        <f>IFERROR(INDEX(tblNetflix[rating],MATCH($A1327,tblNetflix[show_id],0)),"")</f>
        <v/>
      </c>
      <c r="E1327" s="19">
        <f>IFERROR(INDEX(tblNetflix[year_added],MATCH($A1327,tblNetflix[show_id],0)),"")</f>
        <v/>
      </c>
      <c r="F1327" s="19">
        <f>IF(AND(OR(YearFilter="All",$E1327=YearFilter),OR(RatingFilter="All",$D1327=RatingFilter),OR(TypeFilter="All",$C1327=TypeFilter)),1,0)</f>
        <v/>
      </c>
    </row>
    <row r="1328" ht="15" customHeight="1" s="20">
      <c r="A1328" s="19" t="inlineStr">
        <is>
          <t>s4557</t>
        </is>
      </c>
      <c r="B1328" s="19" t="inlineStr">
        <is>
          <t>Action &amp; Adventure</t>
        </is>
      </c>
      <c r="C1328" s="19">
        <f>IFERROR(INDEX(tblNetflix[type],MATCH($A1328,tblNetflix[show_id],0)),"")</f>
        <v/>
      </c>
      <c r="D1328" s="19">
        <f>IFERROR(INDEX(tblNetflix[rating],MATCH($A1328,tblNetflix[show_id],0)),"")</f>
        <v/>
      </c>
      <c r="E1328" s="19">
        <f>IFERROR(INDEX(tblNetflix[year_added],MATCH($A1328,tblNetflix[show_id],0)),"")</f>
        <v/>
      </c>
      <c r="F1328" s="19">
        <f>IF(AND(OR(YearFilter="All",$E1328=YearFilter),OR(RatingFilter="All",$D1328=RatingFilter),OR(TypeFilter="All",$C1328=TypeFilter)),1,0)</f>
        <v/>
      </c>
    </row>
    <row r="1329" ht="15" customHeight="1" s="20">
      <c r="A1329" s="19" t="inlineStr">
        <is>
          <t>s4557</t>
        </is>
      </c>
      <c r="B1329" s="19" t="inlineStr">
        <is>
          <t>Dramas</t>
        </is>
      </c>
      <c r="C1329" s="19">
        <f>IFERROR(INDEX(tblNetflix[type],MATCH($A1329,tblNetflix[show_id],0)),"")</f>
        <v/>
      </c>
      <c r="D1329" s="19">
        <f>IFERROR(INDEX(tblNetflix[rating],MATCH($A1329,tblNetflix[show_id],0)),"")</f>
        <v/>
      </c>
      <c r="E1329" s="19">
        <f>IFERROR(INDEX(tblNetflix[year_added],MATCH($A1329,tblNetflix[show_id],0)),"")</f>
        <v/>
      </c>
      <c r="F1329" s="19">
        <f>IF(AND(OR(YearFilter="All",$E1329=YearFilter),OR(RatingFilter="All",$D1329=RatingFilter),OR(TypeFilter="All",$C1329=TypeFilter)),1,0)</f>
        <v/>
      </c>
    </row>
    <row r="1330" ht="15" customHeight="1" s="20">
      <c r="A1330" s="19" t="inlineStr">
        <is>
          <t>s4557</t>
        </is>
      </c>
      <c r="B1330" s="19" t="inlineStr">
        <is>
          <t>International Movies</t>
        </is>
      </c>
      <c r="C1330" s="19">
        <f>IFERROR(INDEX(tblNetflix[type],MATCH($A1330,tblNetflix[show_id],0)),"")</f>
        <v/>
      </c>
      <c r="D1330" s="19">
        <f>IFERROR(INDEX(tblNetflix[rating],MATCH($A1330,tblNetflix[show_id],0)),"")</f>
        <v/>
      </c>
      <c r="E1330" s="19">
        <f>IFERROR(INDEX(tblNetflix[year_added],MATCH($A1330,tblNetflix[show_id],0)),"")</f>
        <v/>
      </c>
      <c r="F1330" s="19">
        <f>IF(AND(OR(YearFilter="All",$E1330=YearFilter),OR(RatingFilter="All",$D1330=RatingFilter),OR(TypeFilter="All",$C1330=TypeFilter)),1,0)</f>
        <v/>
      </c>
    </row>
    <row r="1331" ht="15" customHeight="1" s="20">
      <c r="A1331" s="19" t="inlineStr">
        <is>
          <t>s4559</t>
        </is>
      </c>
      <c r="B1331" s="19" t="inlineStr">
        <is>
          <t>Horror Movies</t>
        </is>
      </c>
      <c r="C1331" s="19">
        <f>IFERROR(INDEX(tblNetflix[type],MATCH($A1331,tblNetflix[show_id],0)),"")</f>
        <v/>
      </c>
      <c r="D1331" s="19">
        <f>IFERROR(INDEX(tblNetflix[rating],MATCH($A1331,tblNetflix[show_id],0)),"")</f>
        <v/>
      </c>
      <c r="E1331" s="19">
        <f>IFERROR(INDEX(tblNetflix[year_added],MATCH($A1331,tblNetflix[show_id],0)),"")</f>
        <v/>
      </c>
      <c r="F1331" s="19">
        <f>IF(AND(OR(YearFilter="All",$E1331=YearFilter),OR(RatingFilter="All",$D1331=RatingFilter),OR(TypeFilter="All",$C1331=TypeFilter)),1,0)</f>
        <v/>
      </c>
    </row>
    <row r="1332" ht="15" customHeight="1" s="20">
      <c r="A1332" s="19" t="inlineStr">
        <is>
          <t>s4559</t>
        </is>
      </c>
      <c r="B1332" s="19" t="inlineStr">
        <is>
          <t>International Movies</t>
        </is>
      </c>
      <c r="C1332" s="19">
        <f>IFERROR(INDEX(tblNetflix[type],MATCH($A1332,tblNetflix[show_id],0)),"")</f>
        <v/>
      </c>
      <c r="D1332" s="19">
        <f>IFERROR(INDEX(tblNetflix[rating],MATCH($A1332,tblNetflix[show_id],0)),"")</f>
        <v/>
      </c>
      <c r="E1332" s="19">
        <f>IFERROR(INDEX(tblNetflix[year_added],MATCH($A1332,tblNetflix[show_id],0)),"")</f>
        <v/>
      </c>
      <c r="F1332" s="19">
        <f>IF(AND(OR(YearFilter="All",$E1332=YearFilter),OR(RatingFilter="All",$D1332=RatingFilter),OR(TypeFilter="All",$C1332=TypeFilter)),1,0)</f>
        <v/>
      </c>
    </row>
    <row r="1333" ht="15" customHeight="1" s="20">
      <c r="A1333" s="19" t="inlineStr">
        <is>
          <t>s4560</t>
        </is>
      </c>
      <c r="B1333" s="19" t="inlineStr">
        <is>
          <t>Action &amp; Adventure</t>
        </is>
      </c>
      <c r="C1333" s="19">
        <f>IFERROR(INDEX(tblNetflix[type],MATCH($A1333,tblNetflix[show_id],0)),"")</f>
        <v/>
      </c>
      <c r="D1333" s="19">
        <f>IFERROR(INDEX(tblNetflix[rating],MATCH($A1333,tblNetflix[show_id],0)),"")</f>
        <v/>
      </c>
      <c r="E1333" s="19">
        <f>IFERROR(INDEX(tblNetflix[year_added],MATCH($A1333,tblNetflix[show_id],0)),"")</f>
        <v/>
      </c>
      <c r="F1333" s="19">
        <f>IF(AND(OR(YearFilter="All",$E1333=YearFilter),OR(RatingFilter="All",$D1333=RatingFilter),OR(TypeFilter="All",$C1333=TypeFilter)),1,0)</f>
        <v/>
      </c>
    </row>
    <row r="1334" ht="15" customHeight="1" s="20">
      <c r="A1334" s="19" t="inlineStr">
        <is>
          <t>s4560</t>
        </is>
      </c>
      <c r="B1334" s="19" t="inlineStr">
        <is>
          <t>Dramas</t>
        </is>
      </c>
      <c r="C1334" s="19">
        <f>IFERROR(INDEX(tblNetflix[type],MATCH($A1334,tblNetflix[show_id],0)),"")</f>
        <v/>
      </c>
      <c r="D1334" s="19">
        <f>IFERROR(INDEX(tblNetflix[rating],MATCH($A1334,tblNetflix[show_id],0)),"")</f>
        <v/>
      </c>
      <c r="E1334" s="19">
        <f>IFERROR(INDEX(tblNetflix[year_added],MATCH($A1334,tblNetflix[show_id],0)),"")</f>
        <v/>
      </c>
      <c r="F1334" s="19">
        <f>IF(AND(OR(YearFilter="All",$E1334=YearFilter),OR(RatingFilter="All",$D1334=RatingFilter),OR(TypeFilter="All",$C1334=TypeFilter)),1,0)</f>
        <v/>
      </c>
    </row>
    <row r="1335" ht="15" customHeight="1" s="20">
      <c r="A1335" s="19" t="inlineStr">
        <is>
          <t>s4560</t>
        </is>
      </c>
      <c r="B1335" s="19" t="inlineStr">
        <is>
          <t>International Movies</t>
        </is>
      </c>
      <c r="C1335" s="19">
        <f>IFERROR(INDEX(tblNetflix[type],MATCH($A1335,tblNetflix[show_id],0)),"")</f>
        <v/>
      </c>
      <c r="D1335" s="19">
        <f>IFERROR(INDEX(tblNetflix[rating],MATCH($A1335,tblNetflix[show_id],0)),"")</f>
        <v/>
      </c>
      <c r="E1335" s="19">
        <f>IFERROR(INDEX(tblNetflix[year_added],MATCH($A1335,tblNetflix[show_id],0)),"")</f>
        <v/>
      </c>
      <c r="F1335" s="19">
        <f>IF(AND(OR(YearFilter="All",$E1335=YearFilter),OR(RatingFilter="All",$D1335=RatingFilter),OR(TypeFilter="All",$C1335=TypeFilter)),1,0)</f>
        <v/>
      </c>
    </row>
    <row r="1336" ht="15" customHeight="1" s="20">
      <c r="A1336" s="19" t="inlineStr">
        <is>
          <t>s4561</t>
        </is>
      </c>
      <c r="B1336" s="19" t="inlineStr">
        <is>
          <t>Dramas</t>
        </is>
      </c>
      <c r="C1336" s="19">
        <f>IFERROR(INDEX(tblNetflix[type],MATCH($A1336,tblNetflix[show_id],0)),"")</f>
        <v/>
      </c>
      <c r="D1336" s="19">
        <f>IFERROR(INDEX(tblNetflix[rating],MATCH($A1336,tblNetflix[show_id],0)),"")</f>
        <v/>
      </c>
      <c r="E1336" s="19">
        <f>IFERROR(INDEX(tblNetflix[year_added],MATCH($A1336,tblNetflix[show_id],0)),"")</f>
        <v/>
      </c>
      <c r="F1336" s="19">
        <f>IF(AND(OR(YearFilter="All",$E1336=YearFilter),OR(RatingFilter="All",$D1336=RatingFilter),OR(TypeFilter="All",$C1336=TypeFilter)),1,0)</f>
        <v/>
      </c>
    </row>
    <row r="1337" ht="15" customHeight="1" s="20">
      <c r="A1337" s="19" t="inlineStr">
        <is>
          <t>s4561</t>
        </is>
      </c>
      <c r="B1337" s="19" t="inlineStr">
        <is>
          <t>International Movies</t>
        </is>
      </c>
      <c r="C1337" s="19">
        <f>IFERROR(INDEX(tblNetflix[type],MATCH($A1337,tblNetflix[show_id],0)),"")</f>
        <v/>
      </c>
      <c r="D1337" s="19">
        <f>IFERROR(INDEX(tblNetflix[rating],MATCH($A1337,tblNetflix[show_id],0)),"")</f>
        <v/>
      </c>
      <c r="E1337" s="19">
        <f>IFERROR(INDEX(tblNetflix[year_added],MATCH($A1337,tblNetflix[show_id],0)),"")</f>
        <v/>
      </c>
      <c r="F1337" s="19">
        <f>IF(AND(OR(YearFilter="All",$E1337=YearFilter),OR(RatingFilter="All",$D1337=RatingFilter),OR(TypeFilter="All",$C1337=TypeFilter)),1,0)</f>
        <v/>
      </c>
    </row>
    <row r="1338" ht="15" customHeight="1" s="20">
      <c r="A1338" s="19" t="inlineStr">
        <is>
          <t>s4561</t>
        </is>
      </c>
      <c r="B1338" s="19" t="inlineStr">
        <is>
          <t>Sports Movies</t>
        </is>
      </c>
      <c r="C1338" s="19">
        <f>IFERROR(INDEX(tblNetflix[type],MATCH($A1338,tblNetflix[show_id],0)),"")</f>
        <v/>
      </c>
      <c r="D1338" s="19">
        <f>IFERROR(INDEX(tblNetflix[rating],MATCH($A1338,tblNetflix[show_id],0)),"")</f>
        <v/>
      </c>
      <c r="E1338" s="19">
        <f>IFERROR(INDEX(tblNetflix[year_added],MATCH($A1338,tblNetflix[show_id],0)),"")</f>
        <v/>
      </c>
      <c r="F1338" s="19">
        <f>IF(AND(OR(YearFilter="All",$E1338=YearFilter),OR(RatingFilter="All",$D1338=RatingFilter),OR(TypeFilter="All",$C1338=TypeFilter)),1,0)</f>
        <v/>
      </c>
    </row>
    <row r="1339" ht="15" customHeight="1" s="20">
      <c r="A1339" s="19" t="inlineStr">
        <is>
          <t>s4562</t>
        </is>
      </c>
      <c r="B1339" s="19" t="inlineStr">
        <is>
          <t>Dramas</t>
        </is>
      </c>
      <c r="C1339" s="19">
        <f>IFERROR(INDEX(tblNetflix[type],MATCH($A1339,tblNetflix[show_id],0)),"")</f>
        <v/>
      </c>
      <c r="D1339" s="19">
        <f>IFERROR(INDEX(tblNetflix[rating],MATCH($A1339,tblNetflix[show_id],0)),"")</f>
        <v/>
      </c>
      <c r="E1339" s="19">
        <f>IFERROR(INDEX(tblNetflix[year_added],MATCH($A1339,tblNetflix[show_id],0)),"")</f>
        <v/>
      </c>
      <c r="F1339" s="19">
        <f>IF(AND(OR(YearFilter="All",$E1339=YearFilter),OR(RatingFilter="All",$D1339=RatingFilter),OR(TypeFilter="All",$C1339=TypeFilter)),1,0)</f>
        <v/>
      </c>
    </row>
    <row r="1340" ht="15" customHeight="1" s="20">
      <c r="A1340" s="19" t="inlineStr">
        <is>
          <t>s4562</t>
        </is>
      </c>
      <c r="B1340" s="19" t="inlineStr">
        <is>
          <t>International Movies</t>
        </is>
      </c>
      <c r="C1340" s="19">
        <f>IFERROR(INDEX(tblNetflix[type],MATCH($A1340,tblNetflix[show_id],0)),"")</f>
        <v/>
      </c>
      <c r="D1340" s="19">
        <f>IFERROR(INDEX(tblNetflix[rating],MATCH($A1340,tblNetflix[show_id],0)),"")</f>
        <v/>
      </c>
      <c r="E1340" s="19">
        <f>IFERROR(INDEX(tblNetflix[year_added],MATCH($A1340,tblNetflix[show_id],0)),"")</f>
        <v/>
      </c>
      <c r="F1340" s="19">
        <f>IF(AND(OR(YearFilter="All",$E1340=YearFilter),OR(RatingFilter="All",$D1340=RatingFilter),OR(TypeFilter="All",$C1340=TypeFilter)),1,0)</f>
        <v/>
      </c>
    </row>
    <row r="1341" ht="15" customHeight="1" s="20">
      <c r="A1341" s="19" t="inlineStr">
        <is>
          <t>s4563</t>
        </is>
      </c>
      <c r="B1341" s="19" t="inlineStr">
        <is>
          <t>Dramas</t>
        </is>
      </c>
      <c r="C1341" s="19">
        <f>IFERROR(INDEX(tblNetflix[type],MATCH($A1341,tblNetflix[show_id],0)),"")</f>
        <v/>
      </c>
      <c r="D1341" s="19">
        <f>IFERROR(INDEX(tblNetflix[rating],MATCH($A1341,tblNetflix[show_id],0)),"")</f>
        <v/>
      </c>
      <c r="E1341" s="19">
        <f>IFERROR(INDEX(tblNetflix[year_added],MATCH($A1341,tblNetflix[show_id],0)),"")</f>
        <v/>
      </c>
      <c r="F1341" s="19">
        <f>IF(AND(OR(YearFilter="All",$E1341=YearFilter),OR(RatingFilter="All",$D1341=RatingFilter),OR(TypeFilter="All",$C1341=TypeFilter)),1,0)</f>
        <v/>
      </c>
    </row>
    <row r="1342" ht="15" customHeight="1" s="20">
      <c r="A1342" s="19" t="inlineStr">
        <is>
          <t>s4563</t>
        </is>
      </c>
      <c r="B1342" s="19" t="inlineStr">
        <is>
          <t>International Movies</t>
        </is>
      </c>
      <c r="C1342" s="19">
        <f>IFERROR(INDEX(tblNetflix[type],MATCH($A1342,tblNetflix[show_id],0)),"")</f>
        <v/>
      </c>
      <c r="D1342" s="19">
        <f>IFERROR(INDEX(tblNetflix[rating],MATCH($A1342,tblNetflix[show_id],0)),"")</f>
        <v/>
      </c>
      <c r="E1342" s="19">
        <f>IFERROR(INDEX(tblNetflix[year_added],MATCH($A1342,tblNetflix[show_id],0)),"")</f>
        <v/>
      </c>
      <c r="F1342" s="19">
        <f>IF(AND(OR(YearFilter="All",$E1342=YearFilter),OR(RatingFilter="All",$D1342=RatingFilter),OR(TypeFilter="All",$C1342=TypeFilter)),1,0)</f>
        <v/>
      </c>
    </row>
    <row r="1343" ht="15" customHeight="1" s="20">
      <c r="A1343" s="19" t="inlineStr">
        <is>
          <t>s4563</t>
        </is>
      </c>
      <c r="B1343" s="19" t="inlineStr">
        <is>
          <t>Romantic Movies</t>
        </is>
      </c>
      <c r="C1343" s="19">
        <f>IFERROR(INDEX(tblNetflix[type],MATCH($A1343,tblNetflix[show_id],0)),"")</f>
        <v/>
      </c>
      <c r="D1343" s="19">
        <f>IFERROR(INDEX(tblNetflix[rating],MATCH($A1343,tblNetflix[show_id],0)),"")</f>
        <v/>
      </c>
      <c r="E1343" s="19">
        <f>IFERROR(INDEX(tblNetflix[year_added],MATCH($A1343,tblNetflix[show_id],0)),"")</f>
        <v/>
      </c>
      <c r="F1343" s="19">
        <f>IF(AND(OR(YearFilter="All",$E1343=YearFilter),OR(RatingFilter="All",$D1343=RatingFilter),OR(TypeFilter="All",$C1343=TypeFilter)),1,0)</f>
        <v/>
      </c>
    </row>
    <row r="1344" ht="15" customHeight="1" s="20">
      <c r="A1344" s="19" t="inlineStr">
        <is>
          <t>s4564</t>
        </is>
      </c>
      <c r="B1344" s="19" t="inlineStr">
        <is>
          <t>International Movies</t>
        </is>
      </c>
      <c r="C1344" s="19">
        <f>IFERROR(INDEX(tblNetflix[type],MATCH($A1344,tblNetflix[show_id],0)),"")</f>
        <v/>
      </c>
      <c r="D1344" s="19">
        <f>IFERROR(INDEX(tblNetflix[rating],MATCH($A1344,tblNetflix[show_id],0)),"")</f>
        <v/>
      </c>
      <c r="E1344" s="19">
        <f>IFERROR(INDEX(tblNetflix[year_added],MATCH($A1344,tblNetflix[show_id],0)),"")</f>
        <v/>
      </c>
      <c r="F1344" s="19">
        <f>IF(AND(OR(YearFilter="All",$E1344=YearFilter),OR(RatingFilter="All",$D1344=RatingFilter),OR(TypeFilter="All",$C1344=TypeFilter)),1,0)</f>
        <v/>
      </c>
    </row>
    <row r="1345" ht="15" customHeight="1" s="20">
      <c r="A1345" s="19" t="inlineStr">
        <is>
          <t>s4564</t>
        </is>
      </c>
      <c r="B1345" s="19" t="inlineStr">
        <is>
          <t>Music &amp; Musicals</t>
        </is>
      </c>
      <c r="C1345" s="19">
        <f>IFERROR(INDEX(tblNetflix[type],MATCH($A1345,tblNetflix[show_id],0)),"")</f>
        <v/>
      </c>
      <c r="D1345" s="19">
        <f>IFERROR(INDEX(tblNetflix[rating],MATCH($A1345,tblNetflix[show_id],0)),"")</f>
        <v/>
      </c>
      <c r="E1345" s="19">
        <f>IFERROR(INDEX(tblNetflix[year_added],MATCH($A1345,tblNetflix[show_id],0)),"")</f>
        <v/>
      </c>
      <c r="F1345" s="19">
        <f>IF(AND(OR(YearFilter="All",$E1345=YearFilter),OR(RatingFilter="All",$D1345=RatingFilter),OR(TypeFilter="All",$C1345=TypeFilter)),1,0)</f>
        <v/>
      </c>
    </row>
    <row r="1346" ht="15" customHeight="1" s="20">
      <c r="A1346" s="19" t="inlineStr">
        <is>
          <t>s4564</t>
        </is>
      </c>
      <c r="B1346" s="19" t="inlineStr">
        <is>
          <t>Romantic Movies</t>
        </is>
      </c>
      <c r="C1346" s="19">
        <f>IFERROR(INDEX(tblNetflix[type],MATCH($A1346,tblNetflix[show_id],0)),"")</f>
        <v/>
      </c>
      <c r="D1346" s="19">
        <f>IFERROR(INDEX(tblNetflix[rating],MATCH($A1346,tblNetflix[show_id],0)),"")</f>
        <v/>
      </c>
      <c r="E1346" s="19">
        <f>IFERROR(INDEX(tblNetflix[year_added],MATCH($A1346,tblNetflix[show_id],0)),"")</f>
        <v/>
      </c>
      <c r="F1346" s="19">
        <f>IF(AND(OR(YearFilter="All",$E1346=YearFilter),OR(RatingFilter="All",$D1346=RatingFilter),OR(TypeFilter="All",$C1346=TypeFilter)),1,0)</f>
        <v/>
      </c>
    </row>
    <row r="1347" ht="15" customHeight="1" s="20">
      <c r="A1347" s="19" t="inlineStr">
        <is>
          <t>s4566</t>
        </is>
      </c>
      <c r="B1347" s="19" t="inlineStr">
        <is>
          <t>Comedies</t>
        </is>
      </c>
      <c r="C1347" s="19">
        <f>IFERROR(INDEX(tblNetflix[type],MATCH($A1347,tblNetflix[show_id],0)),"")</f>
        <v/>
      </c>
      <c r="D1347" s="19">
        <f>IFERROR(INDEX(tblNetflix[rating],MATCH($A1347,tblNetflix[show_id],0)),"")</f>
        <v/>
      </c>
      <c r="E1347" s="19">
        <f>IFERROR(INDEX(tblNetflix[year_added],MATCH($A1347,tblNetflix[show_id],0)),"")</f>
        <v/>
      </c>
      <c r="F1347" s="19">
        <f>IF(AND(OR(YearFilter="All",$E1347=YearFilter),OR(RatingFilter="All",$D1347=RatingFilter),OR(TypeFilter="All",$C1347=TypeFilter)),1,0)</f>
        <v/>
      </c>
    </row>
    <row r="1348" ht="15" customHeight="1" s="20">
      <c r="A1348" s="19" t="inlineStr">
        <is>
          <t>s4566</t>
        </is>
      </c>
      <c r="B1348" s="19" t="inlineStr">
        <is>
          <t>International Movies</t>
        </is>
      </c>
      <c r="C1348" s="19">
        <f>IFERROR(INDEX(tblNetflix[type],MATCH($A1348,tblNetflix[show_id],0)),"")</f>
        <v/>
      </c>
      <c r="D1348" s="19">
        <f>IFERROR(INDEX(tblNetflix[rating],MATCH($A1348,tblNetflix[show_id],0)),"")</f>
        <v/>
      </c>
      <c r="E1348" s="19">
        <f>IFERROR(INDEX(tblNetflix[year_added],MATCH($A1348,tblNetflix[show_id],0)),"")</f>
        <v/>
      </c>
      <c r="F1348" s="19">
        <f>IF(AND(OR(YearFilter="All",$E1348=YearFilter),OR(RatingFilter="All",$D1348=RatingFilter),OR(TypeFilter="All",$C1348=TypeFilter)),1,0)</f>
        <v/>
      </c>
    </row>
    <row r="1349" ht="15" customHeight="1" s="20">
      <c r="A1349" s="19" t="inlineStr">
        <is>
          <t>s4566</t>
        </is>
      </c>
      <c r="B1349" s="19" t="inlineStr">
        <is>
          <t>Romantic Movies</t>
        </is>
      </c>
      <c r="C1349" s="19">
        <f>IFERROR(INDEX(tblNetflix[type],MATCH($A1349,tblNetflix[show_id],0)),"")</f>
        <v/>
      </c>
      <c r="D1349" s="19">
        <f>IFERROR(INDEX(tblNetflix[rating],MATCH($A1349,tblNetflix[show_id],0)),"")</f>
        <v/>
      </c>
      <c r="E1349" s="19">
        <f>IFERROR(INDEX(tblNetflix[year_added],MATCH($A1349,tblNetflix[show_id],0)),"")</f>
        <v/>
      </c>
      <c r="F1349" s="19">
        <f>IF(AND(OR(YearFilter="All",$E1349=YearFilter),OR(RatingFilter="All",$D1349=RatingFilter),OR(TypeFilter="All",$C1349=TypeFilter)),1,0)</f>
        <v/>
      </c>
    </row>
    <row r="1350" ht="15" customHeight="1" s="20">
      <c r="A1350" s="19" t="inlineStr">
        <is>
          <t>s4568</t>
        </is>
      </c>
      <c r="B1350" s="19" t="inlineStr">
        <is>
          <t>Dramas</t>
        </is>
      </c>
      <c r="C1350" s="19">
        <f>IFERROR(INDEX(tblNetflix[type],MATCH($A1350,tblNetflix[show_id],0)),"")</f>
        <v/>
      </c>
      <c r="D1350" s="19">
        <f>IFERROR(INDEX(tblNetflix[rating],MATCH($A1350,tblNetflix[show_id],0)),"")</f>
        <v/>
      </c>
      <c r="E1350" s="19">
        <f>IFERROR(INDEX(tblNetflix[year_added],MATCH($A1350,tblNetflix[show_id],0)),"")</f>
        <v/>
      </c>
      <c r="F1350" s="19">
        <f>IF(AND(OR(YearFilter="All",$E1350=YearFilter),OR(RatingFilter="All",$D1350=RatingFilter),OR(TypeFilter="All",$C1350=TypeFilter)),1,0)</f>
        <v/>
      </c>
    </row>
    <row r="1351" ht="15" customHeight="1" s="20">
      <c r="A1351" s="19" t="inlineStr">
        <is>
          <t>s4568</t>
        </is>
      </c>
      <c r="B1351" s="19" t="inlineStr">
        <is>
          <t>International Movies</t>
        </is>
      </c>
      <c r="C1351" s="19">
        <f>IFERROR(INDEX(tblNetflix[type],MATCH($A1351,tblNetflix[show_id],0)),"")</f>
        <v/>
      </c>
      <c r="D1351" s="19">
        <f>IFERROR(INDEX(tblNetflix[rating],MATCH($A1351,tblNetflix[show_id],0)),"")</f>
        <v/>
      </c>
      <c r="E1351" s="19">
        <f>IFERROR(INDEX(tblNetflix[year_added],MATCH($A1351,tblNetflix[show_id],0)),"")</f>
        <v/>
      </c>
      <c r="F1351" s="19">
        <f>IF(AND(OR(YearFilter="All",$E1351=YearFilter),OR(RatingFilter="All",$D1351=RatingFilter),OR(TypeFilter="All",$C1351=TypeFilter)),1,0)</f>
        <v/>
      </c>
    </row>
    <row r="1352" ht="15" customHeight="1" s="20">
      <c r="A1352" s="19" t="inlineStr">
        <is>
          <t>s4568</t>
        </is>
      </c>
      <c r="B1352" s="19" t="inlineStr">
        <is>
          <t>Music &amp; Musicals</t>
        </is>
      </c>
      <c r="C1352" s="19">
        <f>IFERROR(INDEX(tblNetflix[type],MATCH($A1352,tblNetflix[show_id],0)),"")</f>
        <v/>
      </c>
      <c r="D1352" s="19">
        <f>IFERROR(INDEX(tblNetflix[rating],MATCH($A1352,tblNetflix[show_id],0)),"")</f>
        <v/>
      </c>
      <c r="E1352" s="19">
        <f>IFERROR(INDEX(tblNetflix[year_added],MATCH($A1352,tblNetflix[show_id],0)),"")</f>
        <v/>
      </c>
      <c r="F1352" s="19">
        <f>IF(AND(OR(YearFilter="All",$E1352=YearFilter),OR(RatingFilter="All",$D1352=RatingFilter),OR(TypeFilter="All",$C1352=TypeFilter)),1,0)</f>
        <v/>
      </c>
    </row>
    <row r="1353" ht="15" customHeight="1" s="20">
      <c r="A1353" s="19" t="inlineStr">
        <is>
          <t>s4569</t>
        </is>
      </c>
      <c r="B1353" s="19" t="inlineStr">
        <is>
          <t>Comedies</t>
        </is>
      </c>
      <c r="C1353" s="19">
        <f>IFERROR(INDEX(tblNetflix[type],MATCH($A1353,tblNetflix[show_id],0)),"")</f>
        <v/>
      </c>
      <c r="D1353" s="19">
        <f>IFERROR(INDEX(tblNetflix[rating],MATCH($A1353,tblNetflix[show_id],0)),"")</f>
        <v/>
      </c>
      <c r="E1353" s="19">
        <f>IFERROR(INDEX(tblNetflix[year_added],MATCH($A1353,tblNetflix[show_id],0)),"")</f>
        <v/>
      </c>
      <c r="F1353" s="19">
        <f>IF(AND(OR(YearFilter="All",$E1353=YearFilter),OR(RatingFilter="All",$D1353=RatingFilter),OR(TypeFilter="All",$C1353=TypeFilter)),1,0)</f>
        <v/>
      </c>
    </row>
    <row r="1354" ht="15" customHeight="1" s="20">
      <c r="A1354" s="19" t="inlineStr">
        <is>
          <t>s4569</t>
        </is>
      </c>
      <c r="B1354" s="19" t="inlineStr">
        <is>
          <t>International Movies</t>
        </is>
      </c>
      <c r="C1354" s="19">
        <f>IFERROR(INDEX(tblNetflix[type],MATCH($A1354,tblNetflix[show_id],0)),"")</f>
        <v/>
      </c>
      <c r="D1354" s="19">
        <f>IFERROR(INDEX(tblNetflix[rating],MATCH($A1354,tblNetflix[show_id],0)),"")</f>
        <v/>
      </c>
      <c r="E1354" s="19">
        <f>IFERROR(INDEX(tblNetflix[year_added],MATCH($A1354,tblNetflix[show_id],0)),"")</f>
        <v/>
      </c>
      <c r="F1354" s="19">
        <f>IF(AND(OR(YearFilter="All",$E1354=YearFilter),OR(RatingFilter="All",$D1354=RatingFilter),OR(TypeFilter="All",$C1354=TypeFilter)),1,0)</f>
        <v/>
      </c>
    </row>
    <row r="1355" ht="15" customHeight="1" s="20">
      <c r="A1355" s="19" t="inlineStr">
        <is>
          <t>s4569</t>
        </is>
      </c>
      <c r="B1355" s="19" t="inlineStr">
        <is>
          <t>Music &amp; Musicals</t>
        </is>
      </c>
      <c r="C1355" s="19">
        <f>IFERROR(INDEX(tblNetflix[type],MATCH($A1355,tblNetflix[show_id],0)),"")</f>
        <v/>
      </c>
      <c r="D1355" s="19">
        <f>IFERROR(INDEX(tblNetflix[rating],MATCH($A1355,tblNetflix[show_id],0)),"")</f>
        <v/>
      </c>
      <c r="E1355" s="19">
        <f>IFERROR(INDEX(tblNetflix[year_added],MATCH($A1355,tblNetflix[show_id],0)),"")</f>
        <v/>
      </c>
      <c r="F1355" s="19">
        <f>IF(AND(OR(YearFilter="All",$E1355=YearFilter),OR(RatingFilter="All",$D1355=RatingFilter),OR(TypeFilter="All",$C1355=TypeFilter)),1,0)</f>
        <v/>
      </c>
    </row>
    <row r="1356" ht="15" customHeight="1" s="20">
      <c r="A1356" s="19" t="inlineStr">
        <is>
          <t>s4570</t>
        </is>
      </c>
      <c r="B1356" s="19" t="inlineStr">
        <is>
          <t>Dramas</t>
        </is>
      </c>
      <c r="C1356" s="19">
        <f>IFERROR(INDEX(tblNetflix[type],MATCH($A1356,tblNetflix[show_id],0)),"")</f>
        <v/>
      </c>
      <c r="D1356" s="19">
        <f>IFERROR(INDEX(tblNetflix[rating],MATCH($A1356,tblNetflix[show_id],0)),"")</f>
        <v/>
      </c>
      <c r="E1356" s="19">
        <f>IFERROR(INDEX(tblNetflix[year_added],MATCH($A1356,tblNetflix[show_id],0)),"")</f>
        <v/>
      </c>
      <c r="F1356" s="19">
        <f>IF(AND(OR(YearFilter="All",$E1356=YearFilter),OR(RatingFilter="All",$D1356=RatingFilter),OR(TypeFilter="All",$C1356=TypeFilter)),1,0)</f>
        <v/>
      </c>
    </row>
    <row r="1357" ht="15" customHeight="1" s="20">
      <c r="A1357" s="19" t="inlineStr">
        <is>
          <t>s4570</t>
        </is>
      </c>
      <c r="B1357" s="19" t="inlineStr">
        <is>
          <t>International Movies</t>
        </is>
      </c>
      <c r="C1357" s="19">
        <f>IFERROR(INDEX(tblNetflix[type],MATCH($A1357,tblNetflix[show_id],0)),"")</f>
        <v/>
      </c>
      <c r="D1357" s="19">
        <f>IFERROR(INDEX(tblNetflix[rating],MATCH($A1357,tblNetflix[show_id],0)),"")</f>
        <v/>
      </c>
      <c r="E1357" s="19">
        <f>IFERROR(INDEX(tblNetflix[year_added],MATCH($A1357,tblNetflix[show_id],0)),"")</f>
        <v/>
      </c>
      <c r="F1357" s="19">
        <f>IF(AND(OR(YearFilter="All",$E1357=YearFilter),OR(RatingFilter="All",$D1357=RatingFilter),OR(TypeFilter="All",$C1357=TypeFilter)),1,0)</f>
        <v/>
      </c>
    </row>
    <row r="1358" ht="15" customHeight="1" s="20">
      <c r="A1358" s="19" t="inlineStr">
        <is>
          <t>s4572</t>
        </is>
      </c>
      <c r="B1358" s="19" t="inlineStr">
        <is>
          <t>Action &amp; Adventure</t>
        </is>
      </c>
      <c r="C1358" s="19">
        <f>IFERROR(INDEX(tblNetflix[type],MATCH($A1358,tblNetflix[show_id],0)),"")</f>
        <v/>
      </c>
      <c r="D1358" s="19">
        <f>IFERROR(INDEX(tblNetflix[rating],MATCH($A1358,tblNetflix[show_id],0)),"")</f>
        <v/>
      </c>
      <c r="E1358" s="19">
        <f>IFERROR(INDEX(tblNetflix[year_added],MATCH($A1358,tblNetflix[show_id],0)),"")</f>
        <v/>
      </c>
      <c r="F1358" s="19">
        <f>IF(AND(OR(YearFilter="All",$E1358=YearFilter),OR(RatingFilter="All",$D1358=RatingFilter),OR(TypeFilter="All",$C1358=TypeFilter)),1,0)</f>
        <v/>
      </c>
    </row>
    <row r="1359" ht="15" customHeight="1" s="20">
      <c r="A1359" s="19" t="inlineStr">
        <is>
          <t>s4572</t>
        </is>
      </c>
      <c r="B1359" s="19" t="inlineStr">
        <is>
          <t>Comedies</t>
        </is>
      </c>
      <c r="C1359" s="19">
        <f>IFERROR(INDEX(tblNetflix[type],MATCH($A1359,tblNetflix[show_id],0)),"")</f>
        <v/>
      </c>
      <c r="D1359" s="19">
        <f>IFERROR(INDEX(tblNetflix[rating],MATCH($A1359,tblNetflix[show_id],0)),"")</f>
        <v/>
      </c>
      <c r="E1359" s="19">
        <f>IFERROR(INDEX(tblNetflix[year_added],MATCH($A1359,tblNetflix[show_id],0)),"")</f>
        <v/>
      </c>
      <c r="F1359" s="19">
        <f>IF(AND(OR(YearFilter="All",$E1359=YearFilter),OR(RatingFilter="All",$D1359=RatingFilter),OR(TypeFilter="All",$C1359=TypeFilter)),1,0)</f>
        <v/>
      </c>
    </row>
    <row r="1360" ht="15" customHeight="1" s="20">
      <c r="A1360" s="19" t="inlineStr">
        <is>
          <t>s4572</t>
        </is>
      </c>
      <c r="B1360" s="19" t="inlineStr">
        <is>
          <t>International Movies</t>
        </is>
      </c>
      <c r="C1360" s="19">
        <f>IFERROR(INDEX(tblNetflix[type],MATCH($A1360,tblNetflix[show_id],0)),"")</f>
        <v/>
      </c>
      <c r="D1360" s="19">
        <f>IFERROR(INDEX(tblNetflix[rating],MATCH($A1360,tblNetflix[show_id],0)),"")</f>
        <v/>
      </c>
      <c r="E1360" s="19">
        <f>IFERROR(INDEX(tblNetflix[year_added],MATCH($A1360,tblNetflix[show_id],0)),"")</f>
        <v/>
      </c>
      <c r="F1360" s="19">
        <f>IF(AND(OR(YearFilter="All",$E1360=YearFilter),OR(RatingFilter="All",$D1360=RatingFilter),OR(TypeFilter="All",$C1360=TypeFilter)),1,0)</f>
        <v/>
      </c>
    </row>
    <row r="1361" ht="15" customHeight="1" s="20">
      <c r="A1361" s="19" t="inlineStr">
        <is>
          <t>s4573</t>
        </is>
      </c>
      <c r="B1361" s="19" t="inlineStr">
        <is>
          <t>Comedies</t>
        </is>
      </c>
      <c r="C1361" s="19">
        <f>IFERROR(INDEX(tblNetflix[type],MATCH($A1361,tblNetflix[show_id],0)),"")</f>
        <v/>
      </c>
      <c r="D1361" s="19">
        <f>IFERROR(INDEX(tblNetflix[rating],MATCH($A1361,tblNetflix[show_id],0)),"")</f>
        <v/>
      </c>
      <c r="E1361" s="19">
        <f>IFERROR(INDEX(tblNetflix[year_added],MATCH($A1361,tblNetflix[show_id],0)),"")</f>
        <v/>
      </c>
      <c r="F1361" s="19">
        <f>IF(AND(OR(YearFilter="All",$E1361=YearFilter),OR(RatingFilter="All",$D1361=RatingFilter),OR(TypeFilter="All",$C1361=TypeFilter)),1,0)</f>
        <v/>
      </c>
    </row>
    <row r="1362" ht="15" customHeight="1" s="20">
      <c r="A1362" s="19" t="inlineStr">
        <is>
          <t>s4573</t>
        </is>
      </c>
      <c r="B1362" s="19" t="inlineStr">
        <is>
          <t>Dramas</t>
        </is>
      </c>
      <c r="C1362" s="19">
        <f>IFERROR(INDEX(tblNetflix[type],MATCH($A1362,tblNetflix[show_id],0)),"")</f>
        <v/>
      </c>
      <c r="D1362" s="19">
        <f>IFERROR(INDEX(tblNetflix[rating],MATCH($A1362,tblNetflix[show_id],0)),"")</f>
        <v/>
      </c>
      <c r="E1362" s="19">
        <f>IFERROR(INDEX(tblNetflix[year_added],MATCH($A1362,tblNetflix[show_id],0)),"")</f>
        <v/>
      </c>
      <c r="F1362" s="19">
        <f>IF(AND(OR(YearFilter="All",$E1362=YearFilter),OR(RatingFilter="All",$D1362=RatingFilter),OR(TypeFilter="All",$C1362=TypeFilter)),1,0)</f>
        <v/>
      </c>
    </row>
    <row r="1363" ht="15" customHeight="1" s="20">
      <c r="A1363" s="19" t="inlineStr">
        <is>
          <t>s4573</t>
        </is>
      </c>
      <c r="B1363" s="19" t="inlineStr">
        <is>
          <t>International Movies</t>
        </is>
      </c>
      <c r="C1363" s="19">
        <f>IFERROR(INDEX(tblNetflix[type],MATCH($A1363,tblNetflix[show_id],0)),"")</f>
        <v/>
      </c>
      <c r="D1363" s="19">
        <f>IFERROR(INDEX(tblNetflix[rating],MATCH($A1363,tblNetflix[show_id],0)),"")</f>
        <v/>
      </c>
      <c r="E1363" s="19">
        <f>IFERROR(INDEX(tblNetflix[year_added],MATCH($A1363,tblNetflix[show_id],0)),"")</f>
        <v/>
      </c>
      <c r="F1363" s="19">
        <f>IF(AND(OR(YearFilter="All",$E1363=YearFilter),OR(RatingFilter="All",$D1363=RatingFilter),OR(TypeFilter="All",$C1363=TypeFilter)),1,0)</f>
        <v/>
      </c>
    </row>
    <row r="1364" ht="15" customHeight="1" s="20">
      <c r="A1364" s="19" t="inlineStr">
        <is>
          <t>s4574</t>
        </is>
      </c>
      <c r="B1364" s="19" t="inlineStr">
        <is>
          <t>Action &amp; Adventure</t>
        </is>
      </c>
      <c r="C1364" s="19">
        <f>IFERROR(INDEX(tblNetflix[type],MATCH($A1364,tblNetflix[show_id],0)),"")</f>
        <v/>
      </c>
      <c r="D1364" s="19">
        <f>IFERROR(INDEX(tblNetflix[rating],MATCH($A1364,tblNetflix[show_id],0)),"")</f>
        <v/>
      </c>
      <c r="E1364" s="19">
        <f>IFERROR(INDEX(tblNetflix[year_added],MATCH($A1364,tblNetflix[show_id],0)),"")</f>
        <v/>
      </c>
      <c r="F1364" s="19">
        <f>IF(AND(OR(YearFilter="All",$E1364=YearFilter),OR(RatingFilter="All",$D1364=RatingFilter),OR(TypeFilter="All",$C1364=TypeFilter)),1,0)</f>
        <v/>
      </c>
    </row>
    <row r="1365" ht="15" customHeight="1" s="20">
      <c r="A1365" s="19" t="inlineStr">
        <is>
          <t>s4574</t>
        </is>
      </c>
      <c r="B1365" s="19" t="inlineStr">
        <is>
          <t>Dramas</t>
        </is>
      </c>
      <c r="C1365" s="19">
        <f>IFERROR(INDEX(tblNetflix[type],MATCH($A1365,tblNetflix[show_id],0)),"")</f>
        <v/>
      </c>
      <c r="D1365" s="19">
        <f>IFERROR(INDEX(tblNetflix[rating],MATCH($A1365,tblNetflix[show_id],0)),"")</f>
        <v/>
      </c>
      <c r="E1365" s="19">
        <f>IFERROR(INDEX(tblNetflix[year_added],MATCH($A1365,tblNetflix[show_id],0)),"")</f>
        <v/>
      </c>
      <c r="F1365" s="19">
        <f>IF(AND(OR(YearFilter="All",$E1365=YearFilter),OR(RatingFilter="All",$D1365=RatingFilter),OR(TypeFilter="All",$C1365=TypeFilter)),1,0)</f>
        <v/>
      </c>
    </row>
    <row r="1366" ht="15" customHeight="1" s="20">
      <c r="A1366" s="19" t="inlineStr">
        <is>
          <t>s4574</t>
        </is>
      </c>
      <c r="B1366" s="19" t="inlineStr">
        <is>
          <t>International Movies</t>
        </is>
      </c>
      <c r="C1366" s="19">
        <f>IFERROR(INDEX(tblNetflix[type],MATCH($A1366,tblNetflix[show_id],0)),"")</f>
        <v/>
      </c>
      <c r="D1366" s="19">
        <f>IFERROR(INDEX(tblNetflix[rating],MATCH($A1366,tblNetflix[show_id],0)),"")</f>
        <v/>
      </c>
      <c r="E1366" s="19">
        <f>IFERROR(INDEX(tblNetflix[year_added],MATCH($A1366,tblNetflix[show_id],0)),"")</f>
        <v/>
      </c>
      <c r="F1366" s="19">
        <f>IF(AND(OR(YearFilter="All",$E1366=YearFilter),OR(RatingFilter="All",$D1366=RatingFilter),OR(TypeFilter="All",$C1366=TypeFilter)),1,0)</f>
        <v/>
      </c>
    </row>
    <row r="1367" ht="15" customHeight="1" s="20">
      <c r="A1367" s="19" t="inlineStr">
        <is>
          <t>s4575</t>
        </is>
      </c>
      <c r="B1367" s="19" t="inlineStr">
        <is>
          <t>Comedies</t>
        </is>
      </c>
      <c r="C1367" s="19">
        <f>IFERROR(INDEX(tblNetflix[type],MATCH($A1367,tblNetflix[show_id],0)),"")</f>
        <v/>
      </c>
      <c r="D1367" s="19">
        <f>IFERROR(INDEX(tblNetflix[rating],MATCH($A1367,tblNetflix[show_id],0)),"")</f>
        <v/>
      </c>
      <c r="E1367" s="19">
        <f>IFERROR(INDEX(tblNetflix[year_added],MATCH($A1367,tblNetflix[show_id],0)),"")</f>
        <v/>
      </c>
      <c r="F1367" s="19">
        <f>IF(AND(OR(YearFilter="All",$E1367=YearFilter),OR(RatingFilter="All",$D1367=RatingFilter),OR(TypeFilter="All",$C1367=TypeFilter)),1,0)</f>
        <v/>
      </c>
    </row>
    <row r="1368" ht="15" customHeight="1" s="20">
      <c r="A1368" s="19" t="inlineStr">
        <is>
          <t>s4575</t>
        </is>
      </c>
      <c r="B1368" s="19" t="inlineStr">
        <is>
          <t>Dramas</t>
        </is>
      </c>
      <c r="C1368" s="19">
        <f>IFERROR(INDEX(tblNetflix[type],MATCH($A1368,tblNetflix[show_id],0)),"")</f>
        <v/>
      </c>
      <c r="D1368" s="19">
        <f>IFERROR(INDEX(tblNetflix[rating],MATCH($A1368,tblNetflix[show_id],0)),"")</f>
        <v/>
      </c>
      <c r="E1368" s="19">
        <f>IFERROR(INDEX(tblNetflix[year_added],MATCH($A1368,tblNetflix[show_id],0)),"")</f>
        <v/>
      </c>
      <c r="F1368" s="19">
        <f>IF(AND(OR(YearFilter="All",$E1368=YearFilter),OR(RatingFilter="All",$D1368=RatingFilter),OR(TypeFilter="All",$C1368=TypeFilter)),1,0)</f>
        <v/>
      </c>
    </row>
    <row r="1369" ht="15" customHeight="1" s="20">
      <c r="A1369" s="19" t="inlineStr">
        <is>
          <t>s4575</t>
        </is>
      </c>
      <c r="B1369" s="19" t="inlineStr">
        <is>
          <t>International Movies</t>
        </is>
      </c>
      <c r="C1369" s="19">
        <f>IFERROR(INDEX(tblNetflix[type],MATCH($A1369,tblNetflix[show_id],0)),"")</f>
        <v/>
      </c>
      <c r="D1369" s="19">
        <f>IFERROR(INDEX(tblNetflix[rating],MATCH($A1369,tblNetflix[show_id],0)),"")</f>
        <v/>
      </c>
      <c r="E1369" s="19">
        <f>IFERROR(INDEX(tblNetflix[year_added],MATCH($A1369,tblNetflix[show_id],0)),"")</f>
        <v/>
      </c>
      <c r="F1369" s="19">
        <f>IF(AND(OR(YearFilter="All",$E1369=YearFilter),OR(RatingFilter="All",$D1369=RatingFilter),OR(TypeFilter="All",$C1369=TypeFilter)),1,0)</f>
        <v/>
      </c>
    </row>
    <row r="1370" ht="15" customHeight="1" s="20">
      <c r="A1370" s="19" t="inlineStr">
        <is>
          <t>s4576</t>
        </is>
      </c>
      <c r="B1370" s="19" t="inlineStr">
        <is>
          <t>Dramas</t>
        </is>
      </c>
      <c r="C1370" s="19">
        <f>IFERROR(INDEX(tblNetflix[type],MATCH($A1370,tblNetflix[show_id],0)),"")</f>
        <v/>
      </c>
      <c r="D1370" s="19">
        <f>IFERROR(INDEX(tblNetflix[rating],MATCH($A1370,tblNetflix[show_id],0)),"")</f>
        <v/>
      </c>
      <c r="E1370" s="19">
        <f>IFERROR(INDEX(tblNetflix[year_added],MATCH($A1370,tblNetflix[show_id],0)),"")</f>
        <v/>
      </c>
      <c r="F1370" s="19">
        <f>IF(AND(OR(YearFilter="All",$E1370=YearFilter),OR(RatingFilter="All",$D1370=RatingFilter),OR(TypeFilter="All",$C1370=TypeFilter)),1,0)</f>
        <v/>
      </c>
    </row>
    <row r="1371" ht="15" customHeight="1" s="20">
      <c r="A1371" s="19" t="inlineStr">
        <is>
          <t>s4576</t>
        </is>
      </c>
      <c r="B1371" s="19" t="inlineStr">
        <is>
          <t>International Movies</t>
        </is>
      </c>
      <c r="C1371" s="19">
        <f>IFERROR(INDEX(tblNetflix[type],MATCH($A1371,tblNetflix[show_id],0)),"")</f>
        <v/>
      </c>
      <c r="D1371" s="19">
        <f>IFERROR(INDEX(tblNetflix[rating],MATCH($A1371,tblNetflix[show_id],0)),"")</f>
        <v/>
      </c>
      <c r="E1371" s="19">
        <f>IFERROR(INDEX(tblNetflix[year_added],MATCH($A1371,tblNetflix[show_id],0)),"")</f>
        <v/>
      </c>
      <c r="F1371" s="19">
        <f>IF(AND(OR(YearFilter="All",$E1371=YearFilter),OR(RatingFilter="All",$D1371=RatingFilter),OR(TypeFilter="All",$C1371=TypeFilter)),1,0)</f>
        <v/>
      </c>
    </row>
    <row r="1372" ht="15" customHeight="1" s="20">
      <c r="A1372" s="19" t="inlineStr">
        <is>
          <t>s4576</t>
        </is>
      </c>
      <c r="B1372" s="19" t="inlineStr">
        <is>
          <t>Music &amp; Musicals</t>
        </is>
      </c>
      <c r="C1372" s="19">
        <f>IFERROR(INDEX(tblNetflix[type],MATCH($A1372,tblNetflix[show_id],0)),"")</f>
        <v/>
      </c>
      <c r="D1372" s="19">
        <f>IFERROR(INDEX(tblNetflix[rating],MATCH($A1372,tblNetflix[show_id],0)),"")</f>
        <v/>
      </c>
      <c r="E1372" s="19">
        <f>IFERROR(INDEX(tblNetflix[year_added],MATCH($A1372,tblNetflix[show_id],0)),"")</f>
        <v/>
      </c>
      <c r="F1372" s="19">
        <f>IF(AND(OR(YearFilter="All",$E1372=YearFilter),OR(RatingFilter="All",$D1372=RatingFilter),OR(TypeFilter="All",$C1372=TypeFilter)),1,0)</f>
        <v/>
      </c>
    </row>
    <row r="1373" ht="15" customHeight="1" s="20">
      <c r="A1373" s="19" t="inlineStr">
        <is>
          <t>s4577</t>
        </is>
      </c>
      <c r="B1373" s="19" t="inlineStr">
        <is>
          <t>Dramas</t>
        </is>
      </c>
      <c r="C1373" s="19">
        <f>IFERROR(INDEX(tblNetflix[type],MATCH($A1373,tblNetflix[show_id],0)),"")</f>
        <v/>
      </c>
      <c r="D1373" s="19">
        <f>IFERROR(INDEX(tblNetflix[rating],MATCH($A1373,tblNetflix[show_id],0)),"")</f>
        <v/>
      </c>
      <c r="E1373" s="19">
        <f>IFERROR(INDEX(tblNetflix[year_added],MATCH($A1373,tblNetflix[show_id],0)),"")</f>
        <v/>
      </c>
      <c r="F1373" s="19">
        <f>IF(AND(OR(YearFilter="All",$E1373=YearFilter),OR(RatingFilter="All",$D1373=RatingFilter),OR(TypeFilter="All",$C1373=TypeFilter)),1,0)</f>
        <v/>
      </c>
    </row>
    <row r="1374" ht="15" customHeight="1" s="20">
      <c r="A1374" s="19" t="inlineStr">
        <is>
          <t>s4577</t>
        </is>
      </c>
      <c r="B1374" s="19" t="inlineStr">
        <is>
          <t>International Movies</t>
        </is>
      </c>
      <c r="C1374" s="19">
        <f>IFERROR(INDEX(tblNetflix[type],MATCH($A1374,tblNetflix[show_id],0)),"")</f>
        <v/>
      </c>
      <c r="D1374" s="19">
        <f>IFERROR(INDEX(tblNetflix[rating],MATCH($A1374,tblNetflix[show_id],0)),"")</f>
        <v/>
      </c>
      <c r="E1374" s="19">
        <f>IFERROR(INDEX(tblNetflix[year_added],MATCH($A1374,tblNetflix[show_id],0)),"")</f>
        <v/>
      </c>
      <c r="F1374" s="19">
        <f>IF(AND(OR(YearFilter="All",$E1374=YearFilter),OR(RatingFilter="All",$D1374=RatingFilter),OR(TypeFilter="All",$C1374=TypeFilter)),1,0)</f>
        <v/>
      </c>
    </row>
    <row r="1375" ht="15" customHeight="1" s="20">
      <c r="A1375" s="19" t="inlineStr">
        <is>
          <t>s4577</t>
        </is>
      </c>
      <c r="B1375" s="19" t="inlineStr">
        <is>
          <t>Sports Movies</t>
        </is>
      </c>
      <c r="C1375" s="19">
        <f>IFERROR(INDEX(tblNetflix[type],MATCH($A1375,tblNetflix[show_id],0)),"")</f>
        <v/>
      </c>
      <c r="D1375" s="19">
        <f>IFERROR(INDEX(tblNetflix[rating],MATCH($A1375,tblNetflix[show_id],0)),"")</f>
        <v/>
      </c>
      <c r="E1375" s="19">
        <f>IFERROR(INDEX(tblNetflix[year_added],MATCH($A1375,tblNetflix[show_id],0)),"")</f>
        <v/>
      </c>
      <c r="F1375" s="19">
        <f>IF(AND(OR(YearFilter="All",$E1375=YearFilter),OR(RatingFilter="All",$D1375=RatingFilter),OR(TypeFilter="All",$C1375=TypeFilter)),1,0)</f>
        <v/>
      </c>
    </row>
    <row r="1376" ht="15" customHeight="1" s="20">
      <c r="A1376" s="19" t="inlineStr">
        <is>
          <t>s4578</t>
        </is>
      </c>
      <c r="B1376" s="19" t="inlineStr">
        <is>
          <t>Comedies</t>
        </is>
      </c>
      <c r="C1376" s="19">
        <f>IFERROR(INDEX(tblNetflix[type],MATCH($A1376,tblNetflix[show_id],0)),"")</f>
        <v/>
      </c>
      <c r="D1376" s="19">
        <f>IFERROR(INDEX(tblNetflix[rating],MATCH($A1376,tblNetflix[show_id],0)),"")</f>
        <v/>
      </c>
      <c r="E1376" s="19">
        <f>IFERROR(INDEX(tblNetflix[year_added],MATCH($A1376,tblNetflix[show_id],0)),"")</f>
        <v/>
      </c>
      <c r="F1376" s="19">
        <f>IF(AND(OR(YearFilter="All",$E1376=YearFilter),OR(RatingFilter="All",$D1376=RatingFilter),OR(TypeFilter="All",$C1376=TypeFilter)),1,0)</f>
        <v/>
      </c>
    </row>
    <row r="1377" ht="15" customHeight="1" s="20">
      <c r="A1377" s="19" t="inlineStr">
        <is>
          <t>s4578</t>
        </is>
      </c>
      <c r="B1377" s="19" t="inlineStr">
        <is>
          <t>International Movies</t>
        </is>
      </c>
      <c r="C1377" s="19">
        <f>IFERROR(INDEX(tblNetflix[type],MATCH($A1377,tblNetflix[show_id],0)),"")</f>
        <v/>
      </c>
      <c r="D1377" s="19">
        <f>IFERROR(INDEX(tblNetflix[rating],MATCH($A1377,tblNetflix[show_id],0)),"")</f>
        <v/>
      </c>
      <c r="E1377" s="19">
        <f>IFERROR(INDEX(tblNetflix[year_added],MATCH($A1377,tblNetflix[show_id],0)),"")</f>
        <v/>
      </c>
      <c r="F1377" s="19">
        <f>IF(AND(OR(YearFilter="All",$E1377=YearFilter),OR(RatingFilter="All",$D1377=RatingFilter),OR(TypeFilter="All",$C1377=TypeFilter)),1,0)</f>
        <v/>
      </c>
    </row>
    <row r="1378" ht="15" customHeight="1" s="20">
      <c r="A1378" s="19" t="inlineStr">
        <is>
          <t>s4578</t>
        </is>
      </c>
      <c r="B1378" s="19" t="inlineStr">
        <is>
          <t>Romantic Movies</t>
        </is>
      </c>
      <c r="C1378" s="19">
        <f>IFERROR(INDEX(tblNetflix[type],MATCH($A1378,tblNetflix[show_id],0)),"")</f>
        <v/>
      </c>
      <c r="D1378" s="19">
        <f>IFERROR(INDEX(tblNetflix[rating],MATCH($A1378,tblNetflix[show_id],0)),"")</f>
        <v/>
      </c>
      <c r="E1378" s="19">
        <f>IFERROR(INDEX(tblNetflix[year_added],MATCH($A1378,tblNetflix[show_id],0)),"")</f>
        <v/>
      </c>
      <c r="F1378" s="19">
        <f>IF(AND(OR(YearFilter="All",$E1378=YearFilter),OR(RatingFilter="All",$D1378=RatingFilter),OR(TypeFilter="All",$C1378=TypeFilter)),1,0)</f>
        <v/>
      </c>
    </row>
    <row r="1379" ht="15" customHeight="1" s="20">
      <c r="A1379" s="19" t="inlineStr">
        <is>
          <t>s4579</t>
        </is>
      </c>
      <c r="B1379" s="19" t="inlineStr">
        <is>
          <t>Action &amp; Adventure</t>
        </is>
      </c>
      <c r="C1379" s="19">
        <f>IFERROR(INDEX(tblNetflix[type],MATCH($A1379,tblNetflix[show_id],0)),"")</f>
        <v/>
      </c>
      <c r="D1379" s="19">
        <f>IFERROR(INDEX(tblNetflix[rating],MATCH($A1379,tblNetflix[show_id],0)),"")</f>
        <v/>
      </c>
      <c r="E1379" s="19">
        <f>IFERROR(INDEX(tblNetflix[year_added],MATCH($A1379,tblNetflix[show_id],0)),"")</f>
        <v/>
      </c>
      <c r="F1379" s="19">
        <f>IF(AND(OR(YearFilter="All",$E1379=YearFilter),OR(RatingFilter="All",$D1379=RatingFilter),OR(TypeFilter="All",$C1379=TypeFilter)),1,0)</f>
        <v/>
      </c>
    </row>
    <row r="1380" ht="15" customHeight="1" s="20">
      <c r="A1380" s="19" t="inlineStr">
        <is>
          <t>s4579</t>
        </is>
      </c>
      <c r="B1380" s="19" t="inlineStr">
        <is>
          <t>Dramas</t>
        </is>
      </c>
      <c r="C1380" s="19">
        <f>IFERROR(INDEX(tblNetflix[type],MATCH($A1380,tblNetflix[show_id],0)),"")</f>
        <v/>
      </c>
      <c r="D1380" s="19">
        <f>IFERROR(INDEX(tblNetflix[rating],MATCH($A1380,tblNetflix[show_id],0)),"")</f>
        <v/>
      </c>
      <c r="E1380" s="19">
        <f>IFERROR(INDEX(tblNetflix[year_added],MATCH($A1380,tblNetflix[show_id],0)),"")</f>
        <v/>
      </c>
      <c r="F1380" s="19">
        <f>IF(AND(OR(YearFilter="All",$E1380=YearFilter),OR(RatingFilter="All",$D1380=RatingFilter),OR(TypeFilter="All",$C1380=TypeFilter)),1,0)</f>
        <v/>
      </c>
    </row>
    <row r="1381" ht="15" customHeight="1" s="20">
      <c r="A1381" s="19" t="inlineStr">
        <is>
          <t>s4579</t>
        </is>
      </c>
      <c r="B1381" s="19" t="inlineStr">
        <is>
          <t>International Movies</t>
        </is>
      </c>
      <c r="C1381" s="19">
        <f>IFERROR(INDEX(tblNetflix[type],MATCH($A1381,tblNetflix[show_id],0)),"")</f>
        <v/>
      </c>
      <c r="D1381" s="19">
        <f>IFERROR(INDEX(tblNetflix[rating],MATCH($A1381,tblNetflix[show_id],0)),"")</f>
        <v/>
      </c>
      <c r="E1381" s="19">
        <f>IFERROR(INDEX(tblNetflix[year_added],MATCH($A1381,tblNetflix[show_id],0)),"")</f>
        <v/>
      </c>
      <c r="F1381" s="19">
        <f>IF(AND(OR(YearFilter="All",$E1381=YearFilter),OR(RatingFilter="All",$D1381=RatingFilter),OR(TypeFilter="All",$C1381=TypeFilter)),1,0)</f>
        <v/>
      </c>
    </row>
    <row r="1382" ht="15" customHeight="1" s="20">
      <c r="A1382" s="19" t="inlineStr">
        <is>
          <t>s4580</t>
        </is>
      </c>
      <c r="B1382" s="19" t="inlineStr">
        <is>
          <t>Comedies</t>
        </is>
      </c>
      <c r="C1382" s="19">
        <f>IFERROR(INDEX(tblNetflix[type],MATCH($A1382,tblNetflix[show_id],0)),"")</f>
        <v/>
      </c>
      <c r="D1382" s="19">
        <f>IFERROR(INDEX(tblNetflix[rating],MATCH($A1382,tblNetflix[show_id],0)),"")</f>
        <v/>
      </c>
      <c r="E1382" s="19">
        <f>IFERROR(INDEX(tblNetflix[year_added],MATCH($A1382,tblNetflix[show_id],0)),"")</f>
        <v/>
      </c>
      <c r="F1382" s="19">
        <f>IF(AND(OR(YearFilter="All",$E1382=YearFilter),OR(RatingFilter="All",$D1382=RatingFilter),OR(TypeFilter="All",$C1382=TypeFilter)),1,0)</f>
        <v/>
      </c>
    </row>
    <row r="1383" ht="15" customHeight="1" s="20">
      <c r="A1383" s="19" t="inlineStr">
        <is>
          <t>s4580</t>
        </is>
      </c>
      <c r="B1383" s="19" t="inlineStr">
        <is>
          <t>Dramas</t>
        </is>
      </c>
      <c r="C1383" s="19">
        <f>IFERROR(INDEX(tblNetflix[type],MATCH($A1383,tblNetflix[show_id],0)),"")</f>
        <v/>
      </c>
      <c r="D1383" s="19">
        <f>IFERROR(INDEX(tblNetflix[rating],MATCH($A1383,tblNetflix[show_id],0)),"")</f>
        <v/>
      </c>
      <c r="E1383" s="19">
        <f>IFERROR(INDEX(tblNetflix[year_added],MATCH($A1383,tblNetflix[show_id],0)),"")</f>
        <v/>
      </c>
      <c r="F1383" s="19">
        <f>IF(AND(OR(YearFilter="All",$E1383=YearFilter),OR(RatingFilter="All",$D1383=RatingFilter),OR(TypeFilter="All",$C1383=TypeFilter)),1,0)</f>
        <v/>
      </c>
    </row>
    <row r="1384" ht="15" customHeight="1" s="20">
      <c r="A1384" s="19" t="inlineStr">
        <is>
          <t>s4580</t>
        </is>
      </c>
      <c r="B1384" s="19" t="inlineStr">
        <is>
          <t>International Movies</t>
        </is>
      </c>
      <c r="C1384" s="19">
        <f>IFERROR(INDEX(tblNetflix[type],MATCH($A1384,tblNetflix[show_id],0)),"")</f>
        <v/>
      </c>
      <c r="D1384" s="19">
        <f>IFERROR(INDEX(tblNetflix[rating],MATCH($A1384,tblNetflix[show_id],0)),"")</f>
        <v/>
      </c>
      <c r="E1384" s="19">
        <f>IFERROR(INDEX(tblNetflix[year_added],MATCH($A1384,tblNetflix[show_id],0)),"")</f>
        <v/>
      </c>
      <c r="F1384" s="19">
        <f>IF(AND(OR(YearFilter="All",$E1384=YearFilter),OR(RatingFilter="All",$D1384=RatingFilter),OR(TypeFilter="All",$C1384=TypeFilter)),1,0)</f>
        <v/>
      </c>
    </row>
    <row r="1385" ht="15" customHeight="1" s="20">
      <c r="A1385" s="19" t="inlineStr">
        <is>
          <t>s4581</t>
        </is>
      </c>
      <c r="B1385" s="19" t="inlineStr">
        <is>
          <t>International Movies</t>
        </is>
      </c>
      <c r="C1385" s="19">
        <f>IFERROR(INDEX(tblNetflix[type],MATCH($A1385,tblNetflix[show_id],0)),"")</f>
        <v/>
      </c>
      <c r="D1385" s="19">
        <f>IFERROR(INDEX(tblNetflix[rating],MATCH($A1385,tblNetflix[show_id],0)),"")</f>
        <v/>
      </c>
      <c r="E1385" s="19">
        <f>IFERROR(INDEX(tblNetflix[year_added],MATCH($A1385,tblNetflix[show_id],0)),"")</f>
        <v/>
      </c>
      <c r="F1385" s="19">
        <f>IF(AND(OR(YearFilter="All",$E1385=YearFilter),OR(RatingFilter="All",$D1385=RatingFilter),OR(TypeFilter="All",$C1385=TypeFilter)),1,0)</f>
        <v/>
      </c>
    </row>
    <row r="1386" ht="15" customHeight="1" s="20">
      <c r="A1386" s="19" t="inlineStr">
        <is>
          <t>s4581</t>
        </is>
      </c>
      <c r="B1386" s="19" t="inlineStr">
        <is>
          <t>Thrillers</t>
        </is>
      </c>
      <c r="C1386" s="19">
        <f>IFERROR(INDEX(tblNetflix[type],MATCH($A1386,tblNetflix[show_id],0)),"")</f>
        <v/>
      </c>
      <c r="D1386" s="19">
        <f>IFERROR(INDEX(tblNetflix[rating],MATCH($A1386,tblNetflix[show_id],0)),"")</f>
        <v/>
      </c>
      <c r="E1386" s="19">
        <f>IFERROR(INDEX(tblNetflix[year_added],MATCH($A1386,tblNetflix[show_id],0)),"")</f>
        <v/>
      </c>
      <c r="F1386" s="19">
        <f>IF(AND(OR(YearFilter="All",$E1386=YearFilter),OR(RatingFilter="All",$D1386=RatingFilter),OR(TypeFilter="All",$C1386=TypeFilter)),1,0)</f>
        <v/>
      </c>
    </row>
    <row r="1387" ht="15" customHeight="1" s="20">
      <c r="A1387" s="19" t="inlineStr">
        <is>
          <t>s4582</t>
        </is>
      </c>
      <c r="B1387" s="19" t="inlineStr">
        <is>
          <t>Dramas</t>
        </is>
      </c>
      <c r="C1387" s="19">
        <f>IFERROR(INDEX(tblNetflix[type],MATCH($A1387,tblNetflix[show_id],0)),"")</f>
        <v/>
      </c>
      <c r="D1387" s="19">
        <f>IFERROR(INDEX(tblNetflix[rating],MATCH($A1387,tblNetflix[show_id],0)),"")</f>
        <v/>
      </c>
      <c r="E1387" s="19">
        <f>IFERROR(INDEX(tblNetflix[year_added],MATCH($A1387,tblNetflix[show_id],0)),"")</f>
        <v/>
      </c>
      <c r="F1387" s="19">
        <f>IF(AND(OR(YearFilter="All",$E1387=YearFilter),OR(RatingFilter="All",$D1387=RatingFilter),OR(TypeFilter="All",$C1387=TypeFilter)),1,0)</f>
        <v/>
      </c>
    </row>
    <row r="1388" ht="15" customHeight="1" s="20">
      <c r="A1388" s="19" t="inlineStr">
        <is>
          <t>s4582</t>
        </is>
      </c>
      <c r="B1388" s="19" t="inlineStr">
        <is>
          <t>International Movies</t>
        </is>
      </c>
      <c r="C1388" s="19">
        <f>IFERROR(INDEX(tblNetflix[type],MATCH($A1388,tblNetflix[show_id],0)),"")</f>
        <v/>
      </c>
      <c r="D1388" s="19">
        <f>IFERROR(INDEX(tblNetflix[rating],MATCH($A1388,tblNetflix[show_id],0)),"")</f>
        <v/>
      </c>
      <c r="E1388" s="19">
        <f>IFERROR(INDEX(tblNetflix[year_added],MATCH($A1388,tblNetflix[show_id],0)),"")</f>
        <v/>
      </c>
      <c r="F1388" s="19">
        <f>IF(AND(OR(YearFilter="All",$E1388=YearFilter),OR(RatingFilter="All",$D1388=RatingFilter),OR(TypeFilter="All",$C1388=TypeFilter)),1,0)</f>
        <v/>
      </c>
    </row>
    <row r="1389" ht="15" customHeight="1" s="20">
      <c r="A1389" s="19" t="inlineStr">
        <is>
          <t>s4583</t>
        </is>
      </c>
      <c r="B1389" s="19" t="inlineStr">
        <is>
          <t>Comedies</t>
        </is>
      </c>
      <c r="C1389" s="19">
        <f>IFERROR(INDEX(tblNetflix[type],MATCH($A1389,tblNetflix[show_id],0)),"")</f>
        <v/>
      </c>
      <c r="D1389" s="19">
        <f>IFERROR(INDEX(tblNetflix[rating],MATCH($A1389,tblNetflix[show_id],0)),"")</f>
        <v/>
      </c>
      <c r="E1389" s="19">
        <f>IFERROR(INDEX(tblNetflix[year_added],MATCH($A1389,tblNetflix[show_id],0)),"")</f>
        <v/>
      </c>
      <c r="F1389" s="19">
        <f>IF(AND(OR(YearFilter="All",$E1389=YearFilter),OR(RatingFilter="All",$D1389=RatingFilter),OR(TypeFilter="All",$C1389=TypeFilter)),1,0)</f>
        <v/>
      </c>
    </row>
    <row r="1390" ht="15" customHeight="1" s="20">
      <c r="A1390" s="19" t="inlineStr">
        <is>
          <t>s4583</t>
        </is>
      </c>
      <c r="B1390" s="19" t="inlineStr">
        <is>
          <t>International Movies</t>
        </is>
      </c>
      <c r="C1390" s="19">
        <f>IFERROR(INDEX(tblNetflix[type],MATCH($A1390,tblNetflix[show_id],0)),"")</f>
        <v/>
      </c>
      <c r="D1390" s="19">
        <f>IFERROR(INDEX(tblNetflix[rating],MATCH($A1390,tblNetflix[show_id],0)),"")</f>
        <v/>
      </c>
      <c r="E1390" s="19">
        <f>IFERROR(INDEX(tblNetflix[year_added],MATCH($A1390,tblNetflix[show_id],0)),"")</f>
        <v/>
      </c>
      <c r="F1390" s="19">
        <f>IF(AND(OR(YearFilter="All",$E1390=YearFilter),OR(RatingFilter="All",$D1390=RatingFilter),OR(TypeFilter="All",$C1390=TypeFilter)),1,0)</f>
        <v/>
      </c>
    </row>
    <row r="1391" ht="15" customHeight="1" s="20">
      <c r="A1391" s="19" t="inlineStr">
        <is>
          <t>s4583</t>
        </is>
      </c>
      <c r="B1391" s="19" t="inlineStr">
        <is>
          <t>Romantic Movies</t>
        </is>
      </c>
      <c r="C1391" s="19">
        <f>IFERROR(INDEX(tblNetflix[type],MATCH($A1391,tblNetflix[show_id],0)),"")</f>
        <v/>
      </c>
      <c r="D1391" s="19">
        <f>IFERROR(INDEX(tblNetflix[rating],MATCH($A1391,tblNetflix[show_id],0)),"")</f>
        <v/>
      </c>
      <c r="E1391" s="19">
        <f>IFERROR(INDEX(tblNetflix[year_added],MATCH($A1391,tblNetflix[show_id],0)),"")</f>
        <v/>
      </c>
      <c r="F1391" s="19">
        <f>IF(AND(OR(YearFilter="All",$E1391=YearFilter),OR(RatingFilter="All",$D1391=RatingFilter),OR(TypeFilter="All",$C1391=TypeFilter)),1,0)</f>
        <v/>
      </c>
    </row>
    <row r="1392" ht="15" customHeight="1" s="20">
      <c r="A1392" s="19" t="inlineStr">
        <is>
          <t>s4584</t>
        </is>
      </c>
      <c r="B1392" s="19" t="inlineStr">
        <is>
          <t>Comedies</t>
        </is>
      </c>
      <c r="C1392" s="19">
        <f>IFERROR(INDEX(tblNetflix[type],MATCH($A1392,tblNetflix[show_id],0)),"")</f>
        <v/>
      </c>
      <c r="D1392" s="19">
        <f>IFERROR(INDEX(tblNetflix[rating],MATCH($A1392,tblNetflix[show_id],0)),"")</f>
        <v/>
      </c>
      <c r="E1392" s="19">
        <f>IFERROR(INDEX(tblNetflix[year_added],MATCH($A1392,tblNetflix[show_id],0)),"")</f>
        <v/>
      </c>
      <c r="F1392" s="19">
        <f>IF(AND(OR(YearFilter="All",$E1392=YearFilter),OR(RatingFilter="All",$D1392=RatingFilter),OR(TypeFilter="All",$C1392=TypeFilter)),1,0)</f>
        <v/>
      </c>
    </row>
    <row r="1393" ht="15" customHeight="1" s="20">
      <c r="A1393" s="19" t="inlineStr">
        <is>
          <t>s4584</t>
        </is>
      </c>
      <c r="B1393" s="19" t="inlineStr">
        <is>
          <t>Dramas</t>
        </is>
      </c>
      <c r="C1393" s="19">
        <f>IFERROR(INDEX(tblNetflix[type],MATCH($A1393,tblNetflix[show_id],0)),"")</f>
        <v/>
      </c>
      <c r="D1393" s="19">
        <f>IFERROR(INDEX(tblNetflix[rating],MATCH($A1393,tblNetflix[show_id],0)),"")</f>
        <v/>
      </c>
      <c r="E1393" s="19">
        <f>IFERROR(INDEX(tblNetflix[year_added],MATCH($A1393,tblNetflix[show_id],0)),"")</f>
        <v/>
      </c>
      <c r="F1393" s="19">
        <f>IF(AND(OR(YearFilter="All",$E1393=YearFilter),OR(RatingFilter="All",$D1393=RatingFilter),OR(TypeFilter="All",$C1393=TypeFilter)),1,0)</f>
        <v/>
      </c>
    </row>
    <row r="1394" ht="15" customHeight="1" s="20">
      <c r="A1394" s="19" t="inlineStr">
        <is>
          <t>s4584</t>
        </is>
      </c>
      <c r="B1394" s="19" t="inlineStr">
        <is>
          <t>International Movies</t>
        </is>
      </c>
      <c r="C1394" s="19">
        <f>IFERROR(INDEX(tblNetflix[type],MATCH($A1394,tblNetflix[show_id],0)),"")</f>
        <v/>
      </c>
      <c r="D1394" s="19">
        <f>IFERROR(INDEX(tblNetflix[rating],MATCH($A1394,tblNetflix[show_id],0)),"")</f>
        <v/>
      </c>
      <c r="E1394" s="19">
        <f>IFERROR(INDEX(tblNetflix[year_added],MATCH($A1394,tblNetflix[show_id],0)),"")</f>
        <v/>
      </c>
      <c r="F1394" s="19">
        <f>IF(AND(OR(YearFilter="All",$E1394=YearFilter),OR(RatingFilter="All",$D1394=RatingFilter),OR(TypeFilter="All",$C1394=TypeFilter)),1,0)</f>
        <v/>
      </c>
    </row>
    <row r="1395" ht="15" customHeight="1" s="20">
      <c r="A1395" s="19" t="inlineStr">
        <is>
          <t>s4585</t>
        </is>
      </c>
      <c r="B1395" s="19" t="inlineStr">
        <is>
          <t>Comedies</t>
        </is>
      </c>
      <c r="C1395" s="19">
        <f>IFERROR(INDEX(tblNetflix[type],MATCH($A1395,tblNetflix[show_id],0)),"")</f>
        <v/>
      </c>
      <c r="D1395" s="19">
        <f>IFERROR(INDEX(tblNetflix[rating],MATCH($A1395,tblNetflix[show_id],0)),"")</f>
        <v/>
      </c>
      <c r="E1395" s="19">
        <f>IFERROR(INDEX(tblNetflix[year_added],MATCH($A1395,tblNetflix[show_id],0)),"")</f>
        <v/>
      </c>
      <c r="F1395" s="19">
        <f>IF(AND(OR(YearFilter="All",$E1395=YearFilter),OR(RatingFilter="All",$D1395=RatingFilter),OR(TypeFilter="All",$C1395=TypeFilter)),1,0)</f>
        <v/>
      </c>
    </row>
    <row r="1396" ht="15" customHeight="1" s="20">
      <c r="A1396" s="19" t="inlineStr">
        <is>
          <t>s4585</t>
        </is>
      </c>
      <c r="B1396" s="19" t="inlineStr">
        <is>
          <t>Dramas</t>
        </is>
      </c>
      <c r="C1396" s="19">
        <f>IFERROR(INDEX(tblNetflix[type],MATCH($A1396,tblNetflix[show_id],0)),"")</f>
        <v/>
      </c>
      <c r="D1396" s="19">
        <f>IFERROR(INDEX(tblNetflix[rating],MATCH($A1396,tblNetflix[show_id],0)),"")</f>
        <v/>
      </c>
      <c r="E1396" s="19">
        <f>IFERROR(INDEX(tblNetflix[year_added],MATCH($A1396,tblNetflix[show_id],0)),"")</f>
        <v/>
      </c>
      <c r="F1396" s="19">
        <f>IF(AND(OR(YearFilter="All",$E1396=YearFilter),OR(RatingFilter="All",$D1396=RatingFilter),OR(TypeFilter="All",$C1396=TypeFilter)),1,0)</f>
        <v/>
      </c>
    </row>
    <row r="1397" ht="15" customHeight="1" s="20">
      <c r="A1397" s="19" t="inlineStr">
        <is>
          <t>s4585</t>
        </is>
      </c>
      <c r="B1397" s="19" t="inlineStr">
        <is>
          <t>International Movies</t>
        </is>
      </c>
      <c r="C1397" s="19">
        <f>IFERROR(INDEX(tblNetflix[type],MATCH($A1397,tblNetflix[show_id],0)),"")</f>
        <v/>
      </c>
      <c r="D1397" s="19">
        <f>IFERROR(INDEX(tblNetflix[rating],MATCH($A1397,tblNetflix[show_id],0)),"")</f>
        <v/>
      </c>
      <c r="E1397" s="19">
        <f>IFERROR(INDEX(tblNetflix[year_added],MATCH($A1397,tblNetflix[show_id],0)),"")</f>
        <v/>
      </c>
      <c r="F1397" s="19">
        <f>IF(AND(OR(YearFilter="All",$E1397=YearFilter),OR(RatingFilter="All",$D1397=RatingFilter),OR(TypeFilter="All",$C1397=TypeFilter)),1,0)</f>
        <v/>
      </c>
    </row>
    <row r="1398" ht="15" customHeight="1" s="20">
      <c r="A1398" s="19" t="inlineStr">
        <is>
          <t>s4586</t>
        </is>
      </c>
      <c r="B1398" s="19" t="inlineStr">
        <is>
          <t>Comedies</t>
        </is>
      </c>
      <c r="C1398" s="19">
        <f>IFERROR(INDEX(tblNetflix[type],MATCH($A1398,tblNetflix[show_id],0)),"")</f>
        <v/>
      </c>
      <c r="D1398" s="19">
        <f>IFERROR(INDEX(tblNetflix[rating],MATCH($A1398,tblNetflix[show_id],0)),"")</f>
        <v/>
      </c>
      <c r="E1398" s="19">
        <f>IFERROR(INDEX(tblNetflix[year_added],MATCH($A1398,tblNetflix[show_id],0)),"")</f>
        <v/>
      </c>
      <c r="F1398" s="19">
        <f>IF(AND(OR(YearFilter="All",$E1398=YearFilter),OR(RatingFilter="All",$D1398=RatingFilter),OR(TypeFilter="All",$C1398=TypeFilter)),1,0)</f>
        <v/>
      </c>
    </row>
    <row r="1399" ht="15" customHeight="1" s="20">
      <c r="A1399" s="19" t="inlineStr">
        <is>
          <t>s4586</t>
        </is>
      </c>
      <c r="B1399" s="19" t="inlineStr">
        <is>
          <t>International Movies</t>
        </is>
      </c>
      <c r="C1399" s="19">
        <f>IFERROR(INDEX(tblNetflix[type],MATCH($A1399,tblNetflix[show_id],0)),"")</f>
        <v/>
      </c>
      <c r="D1399" s="19">
        <f>IFERROR(INDEX(tblNetflix[rating],MATCH($A1399,tblNetflix[show_id],0)),"")</f>
        <v/>
      </c>
      <c r="E1399" s="19">
        <f>IFERROR(INDEX(tblNetflix[year_added],MATCH($A1399,tblNetflix[show_id],0)),"")</f>
        <v/>
      </c>
      <c r="F1399" s="19">
        <f>IF(AND(OR(YearFilter="All",$E1399=YearFilter),OR(RatingFilter="All",$D1399=RatingFilter),OR(TypeFilter="All",$C1399=TypeFilter)),1,0)</f>
        <v/>
      </c>
    </row>
    <row r="1400" ht="15" customHeight="1" s="20">
      <c r="A1400" s="19" t="inlineStr">
        <is>
          <t>s4587</t>
        </is>
      </c>
      <c r="B1400" s="19" t="inlineStr">
        <is>
          <t>Action &amp; Adventure</t>
        </is>
      </c>
      <c r="C1400" s="19">
        <f>IFERROR(INDEX(tblNetflix[type],MATCH($A1400,tblNetflix[show_id],0)),"")</f>
        <v/>
      </c>
      <c r="D1400" s="19">
        <f>IFERROR(INDEX(tblNetflix[rating],MATCH($A1400,tblNetflix[show_id],0)),"")</f>
        <v/>
      </c>
      <c r="E1400" s="19">
        <f>IFERROR(INDEX(tblNetflix[year_added],MATCH($A1400,tblNetflix[show_id],0)),"")</f>
        <v/>
      </c>
      <c r="F1400" s="19">
        <f>IF(AND(OR(YearFilter="All",$E1400=YearFilter),OR(RatingFilter="All",$D1400=RatingFilter),OR(TypeFilter="All",$C1400=TypeFilter)),1,0)</f>
        <v/>
      </c>
    </row>
    <row r="1401" ht="15" customHeight="1" s="20">
      <c r="A1401" s="19" t="inlineStr">
        <is>
          <t>s4587</t>
        </is>
      </c>
      <c r="B1401" s="19" t="inlineStr">
        <is>
          <t>International Movies</t>
        </is>
      </c>
      <c r="C1401" s="19">
        <f>IFERROR(INDEX(tblNetflix[type],MATCH($A1401,tblNetflix[show_id],0)),"")</f>
        <v/>
      </c>
      <c r="D1401" s="19">
        <f>IFERROR(INDEX(tblNetflix[rating],MATCH($A1401,tblNetflix[show_id],0)),"")</f>
        <v/>
      </c>
      <c r="E1401" s="19">
        <f>IFERROR(INDEX(tblNetflix[year_added],MATCH($A1401,tblNetflix[show_id],0)),"")</f>
        <v/>
      </c>
      <c r="F1401" s="19">
        <f>IF(AND(OR(YearFilter="All",$E1401=YearFilter),OR(RatingFilter="All",$D1401=RatingFilter),OR(TypeFilter="All",$C1401=TypeFilter)),1,0)</f>
        <v/>
      </c>
    </row>
    <row r="1402" ht="15" customHeight="1" s="20">
      <c r="A1402" s="19" t="inlineStr">
        <is>
          <t>s4588</t>
        </is>
      </c>
      <c r="B1402" s="19" t="inlineStr">
        <is>
          <t>Action &amp; Adventure</t>
        </is>
      </c>
      <c r="C1402" s="19">
        <f>IFERROR(INDEX(tblNetflix[type],MATCH($A1402,tblNetflix[show_id],0)),"")</f>
        <v/>
      </c>
      <c r="D1402" s="19">
        <f>IFERROR(INDEX(tblNetflix[rating],MATCH($A1402,tblNetflix[show_id],0)),"")</f>
        <v/>
      </c>
      <c r="E1402" s="19">
        <f>IFERROR(INDEX(tblNetflix[year_added],MATCH($A1402,tblNetflix[show_id],0)),"")</f>
        <v/>
      </c>
      <c r="F1402" s="19">
        <f>IF(AND(OR(YearFilter="All",$E1402=YearFilter),OR(RatingFilter="All",$D1402=RatingFilter),OR(TypeFilter="All",$C1402=TypeFilter)),1,0)</f>
        <v/>
      </c>
    </row>
    <row r="1403" ht="15" customHeight="1" s="20">
      <c r="A1403" s="19" t="inlineStr">
        <is>
          <t>s4588</t>
        </is>
      </c>
      <c r="B1403" s="19" t="inlineStr">
        <is>
          <t>International Movies</t>
        </is>
      </c>
      <c r="C1403" s="19">
        <f>IFERROR(INDEX(tblNetflix[type],MATCH($A1403,tblNetflix[show_id],0)),"")</f>
        <v/>
      </c>
      <c r="D1403" s="19">
        <f>IFERROR(INDEX(tblNetflix[rating],MATCH($A1403,tblNetflix[show_id],0)),"")</f>
        <v/>
      </c>
      <c r="E1403" s="19">
        <f>IFERROR(INDEX(tblNetflix[year_added],MATCH($A1403,tblNetflix[show_id],0)),"")</f>
        <v/>
      </c>
      <c r="F1403" s="19">
        <f>IF(AND(OR(YearFilter="All",$E1403=YearFilter),OR(RatingFilter="All",$D1403=RatingFilter),OR(TypeFilter="All",$C1403=TypeFilter)),1,0)</f>
        <v/>
      </c>
    </row>
    <row r="1404" ht="15" customHeight="1" s="20">
      <c r="A1404" s="19" t="inlineStr">
        <is>
          <t>s4589</t>
        </is>
      </c>
      <c r="B1404" s="19" t="inlineStr">
        <is>
          <t>Comedies</t>
        </is>
      </c>
      <c r="C1404" s="19">
        <f>IFERROR(INDEX(tblNetflix[type],MATCH($A1404,tblNetflix[show_id],0)),"")</f>
        <v/>
      </c>
      <c r="D1404" s="19">
        <f>IFERROR(INDEX(tblNetflix[rating],MATCH($A1404,tblNetflix[show_id],0)),"")</f>
        <v/>
      </c>
      <c r="E1404" s="19">
        <f>IFERROR(INDEX(tblNetflix[year_added],MATCH($A1404,tblNetflix[show_id],0)),"")</f>
        <v/>
      </c>
      <c r="F1404" s="19">
        <f>IF(AND(OR(YearFilter="All",$E1404=YearFilter),OR(RatingFilter="All",$D1404=RatingFilter),OR(TypeFilter="All",$C1404=TypeFilter)),1,0)</f>
        <v/>
      </c>
    </row>
    <row r="1405" ht="15" customHeight="1" s="20">
      <c r="A1405" s="19" t="inlineStr">
        <is>
          <t>s4589</t>
        </is>
      </c>
      <c r="B1405" s="19" t="inlineStr">
        <is>
          <t>International Movies</t>
        </is>
      </c>
      <c r="C1405" s="19">
        <f>IFERROR(INDEX(tblNetflix[type],MATCH($A1405,tblNetflix[show_id],0)),"")</f>
        <v/>
      </c>
      <c r="D1405" s="19">
        <f>IFERROR(INDEX(tblNetflix[rating],MATCH($A1405,tblNetflix[show_id],0)),"")</f>
        <v/>
      </c>
      <c r="E1405" s="19">
        <f>IFERROR(INDEX(tblNetflix[year_added],MATCH($A1405,tblNetflix[show_id],0)),"")</f>
        <v/>
      </c>
      <c r="F1405" s="19">
        <f>IF(AND(OR(YearFilter="All",$E1405=YearFilter),OR(RatingFilter="All",$D1405=RatingFilter),OR(TypeFilter="All",$C1405=TypeFilter)),1,0)</f>
        <v/>
      </c>
    </row>
    <row r="1406" ht="15" customHeight="1" s="20">
      <c r="A1406" s="19" t="inlineStr">
        <is>
          <t>s4589</t>
        </is>
      </c>
      <c r="B1406" s="19" t="inlineStr">
        <is>
          <t>Sci-Fi &amp; Fantasy</t>
        </is>
      </c>
      <c r="C1406" s="19">
        <f>IFERROR(INDEX(tblNetflix[type],MATCH($A1406,tblNetflix[show_id],0)),"")</f>
        <v/>
      </c>
      <c r="D1406" s="19">
        <f>IFERROR(INDEX(tblNetflix[rating],MATCH($A1406,tblNetflix[show_id],0)),"")</f>
        <v/>
      </c>
      <c r="E1406" s="19">
        <f>IFERROR(INDEX(tblNetflix[year_added],MATCH($A1406,tblNetflix[show_id],0)),"")</f>
        <v/>
      </c>
      <c r="F1406" s="19">
        <f>IF(AND(OR(YearFilter="All",$E1406=YearFilter),OR(RatingFilter="All",$D1406=RatingFilter),OR(TypeFilter="All",$C1406=TypeFilter)),1,0)</f>
        <v/>
      </c>
    </row>
    <row r="1407" ht="15" customHeight="1" s="20">
      <c r="A1407" s="19" t="inlineStr">
        <is>
          <t>s4593</t>
        </is>
      </c>
      <c r="B1407" s="19" t="inlineStr">
        <is>
          <t>Action &amp; Adventure</t>
        </is>
      </c>
      <c r="C1407" s="19">
        <f>IFERROR(INDEX(tblNetflix[type],MATCH($A1407,tblNetflix[show_id],0)),"")</f>
        <v/>
      </c>
      <c r="D1407" s="19">
        <f>IFERROR(INDEX(tblNetflix[rating],MATCH($A1407,tblNetflix[show_id],0)),"")</f>
        <v/>
      </c>
      <c r="E1407" s="19">
        <f>IFERROR(INDEX(tblNetflix[year_added],MATCH($A1407,tblNetflix[show_id],0)),"")</f>
        <v/>
      </c>
      <c r="F1407" s="19">
        <f>IF(AND(OR(YearFilter="All",$E1407=YearFilter),OR(RatingFilter="All",$D1407=RatingFilter),OR(TypeFilter="All",$C1407=TypeFilter)),1,0)</f>
        <v/>
      </c>
    </row>
    <row r="1408" ht="15" customHeight="1" s="20">
      <c r="A1408" s="19" t="inlineStr">
        <is>
          <t>s4593</t>
        </is>
      </c>
      <c r="B1408" s="19" t="inlineStr">
        <is>
          <t>Dramas</t>
        </is>
      </c>
      <c r="C1408" s="19">
        <f>IFERROR(INDEX(tblNetflix[type],MATCH($A1408,tblNetflix[show_id],0)),"")</f>
        <v/>
      </c>
      <c r="D1408" s="19">
        <f>IFERROR(INDEX(tblNetflix[rating],MATCH($A1408,tblNetflix[show_id],0)),"")</f>
        <v/>
      </c>
      <c r="E1408" s="19">
        <f>IFERROR(INDEX(tblNetflix[year_added],MATCH($A1408,tblNetflix[show_id],0)),"")</f>
        <v/>
      </c>
      <c r="F1408" s="19">
        <f>IF(AND(OR(YearFilter="All",$E1408=YearFilter),OR(RatingFilter="All",$D1408=RatingFilter),OR(TypeFilter="All",$C1408=TypeFilter)),1,0)</f>
        <v/>
      </c>
    </row>
    <row r="1409" ht="15" customHeight="1" s="20">
      <c r="A1409" s="19" t="inlineStr">
        <is>
          <t>s4593</t>
        </is>
      </c>
      <c r="B1409" s="19" t="inlineStr">
        <is>
          <t>International Movies</t>
        </is>
      </c>
      <c r="C1409" s="19">
        <f>IFERROR(INDEX(tblNetflix[type],MATCH($A1409,tblNetflix[show_id],0)),"")</f>
        <v/>
      </c>
      <c r="D1409" s="19">
        <f>IFERROR(INDEX(tblNetflix[rating],MATCH($A1409,tblNetflix[show_id],0)),"")</f>
        <v/>
      </c>
      <c r="E1409" s="19">
        <f>IFERROR(INDEX(tblNetflix[year_added],MATCH($A1409,tblNetflix[show_id],0)),"")</f>
        <v/>
      </c>
      <c r="F1409" s="19">
        <f>IF(AND(OR(YearFilter="All",$E1409=YearFilter),OR(RatingFilter="All",$D1409=RatingFilter),OR(TypeFilter="All",$C1409=TypeFilter)),1,0)</f>
        <v/>
      </c>
    </row>
    <row r="1410" ht="15" customHeight="1" s="20">
      <c r="A1410" s="19" t="inlineStr">
        <is>
          <t>s4594</t>
        </is>
      </c>
      <c r="B1410" s="19" t="inlineStr">
        <is>
          <t>Dramas</t>
        </is>
      </c>
      <c r="C1410" s="19">
        <f>IFERROR(INDEX(tblNetflix[type],MATCH($A1410,tblNetflix[show_id],0)),"")</f>
        <v/>
      </c>
      <c r="D1410" s="19">
        <f>IFERROR(INDEX(tblNetflix[rating],MATCH($A1410,tblNetflix[show_id],0)),"")</f>
        <v/>
      </c>
      <c r="E1410" s="19">
        <f>IFERROR(INDEX(tblNetflix[year_added],MATCH($A1410,tblNetflix[show_id],0)),"")</f>
        <v/>
      </c>
      <c r="F1410" s="19">
        <f>IF(AND(OR(YearFilter="All",$E1410=YearFilter),OR(RatingFilter="All",$D1410=RatingFilter),OR(TypeFilter="All",$C1410=TypeFilter)),1,0)</f>
        <v/>
      </c>
    </row>
    <row r="1411" ht="15" customHeight="1" s="20">
      <c r="A1411" s="19" t="inlineStr">
        <is>
          <t>s4594</t>
        </is>
      </c>
      <c r="B1411" s="19" t="inlineStr">
        <is>
          <t>International Movies</t>
        </is>
      </c>
      <c r="C1411" s="19">
        <f>IFERROR(INDEX(tblNetflix[type],MATCH($A1411,tblNetflix[show_id],0)),"")</f>
        <v/>
      </c>
      <c r="D1411" s="19">
        <f>IFERROR(INDEX(tblNetflix[rating],MATCH($A1411,tblNetflix[show_id],0)),"")</f>
        <v/>
      </c>
      <c r="E1411" s="19">
        <f>IFERROR(INDEX(tblNetflix[year_added],MATCH($A1411,tblNetflix[show_id],0)),"")</f>
        <v/>
      </c>
      <c r="F1411" s="19">
        <f>IF(AND(OR(YearFilter="All",$E1411=YearFilter),OR(RatingFilter="All",$D1411=RatingFilter),OR(TypeFilter="All",$C1411=TypeFilter)),1,0)</f>
        <v/>
      </c>
    </row>
    <row r="1412" ht="15" customHeight="1" s="20">
      <c r="A1412" s="19" t="inlineStr">
        <is>
          <t>s4594</t>
        </is>
      </c>
      <c r="B1412" s="19" t="inlineStr">
        <is>
          <t>Romantic Movies</t>
        </is>
      </c>
      <c r="C1412" s="19">
        <f>IFERROR(INDEX(tblNetflix[type],MATCH($A1412,tblNetflix[show_id],0)),"")</f>
        <v/>
      </c>
      <c r="D1412" s="19">
        <f>IFERROR(INDEX(tblNetflix[rating],MATCH($A1412,tblNetflix[show_id],0)),"")</f>
        <v/>
      </c>
      <c r="E1412" s="19">
        <f>IFERROR(INDEX(tblNetflix[year_added],MATCH($A1412,tblNetflix[show_id],0)),"")</f>
        <v/>
      </c>
      <c r="F1412" s="19">
        <f>IF(AND(OR(YearFilter="All",$E1412=YearFilter),OR(RatingFilter="All",$D1412=RatingFilter),OR(TypeFilter="All",$C1412=TypeFilter)),1,0)</f>
        <v/>
      </c>
    </row>
    <row r="1413" ht="15" customHeight="1" s="20">
      <c r="A1413" s="19" t="inlineStr">
        <is>
          <t>s4595</t>
        </is>
      </c>
      <c r="B1413" s="19" t="inlineStr">
        <is>
          <t>Comedies</t>
        </is>
      </c>
      <c r="C1413" s="19">
        <f>IFERROR(INDEX(tblNetflix[type],MATCH($A1413,tblNetflix[show_id],0)),"")</f>
        <v/>
      </c>
      <c r="D1413" s="19">
        <f>IFERROR(INDEX(tblNetflix[rating],MATCH($A1413,tblNetflix[show_id],0)),"")</f>
        <v/>
      </c>
      <c r="E1413" s="19">
        <f>IFERROR(INDEX(tblNetflix[year_added],MATCH($A1413,tblNetflix[show_id],0)),"")</f>
        <v/>
      </c>
      <c r="F1413" s="19">
        <f>IF(AND(OR(YearFilter="All",$E1413=YearFilter),OR(RatingFilter="All",$D1413=RatingFilter),OR(TypeFilter="All",$C1413=TypeFilter)),1,0)</f>
        <v/>
      </c>
    </row>
    <row r="1414" ht="15" customHeight="1" s="20">
      <c r="A1414" s="19" t="inlineStr">
        <is>
          <t>s4595</t>
        </is>
      </c>
      <c r="B1414" s="19" t="inlineStr">
        <is>
          <t>International Movies</t>
        </is>
      </c>
      <c r="C1414" s="19">
        <f>IFERROR(INDEX(tblNetflix[type],MATCH($A1414,tblNetflix[show_id],0)),"")</f>
        <v/>
      </c>
      <c r="D1414" s="19">
        <f>IFERROR(INDEX(tblNetflix[rating],MATCH($A1414,tblNetflix[show_id],0)),"")</f>
        <v/>
      </c>
      <c r="E1414" s="19">
        <f>IFERROR(INDEX(tblNetflix[year_added],MATCH($A1414,tblNetflix[show_id],0)),"")</f>
        <v/>
      </c>
      <c r="F1414" s="19">
        <f>IF(AND(OR(YearFilter="All",$E1414=YearFilter),OR(RatingFilter="All",$D1414=RatingFilter),OR(TypeFilter="All",$C1414=TypeFilter)),1,0)</f>
        <v/>
      </c>
    </row>
    <row r="1415" ht="15" customHeight="1" s="20">
      <c r="A1415" s="19" t="inlineStr">
        <is>
          <t>s4595</t>
        </is>
      </c>
      <c r="B1415" s="19" t="inlineStr">
        <is>
          <t>Music &amp; Musicals</t>
        </is>
      </c>
      <c r="C1415" s="19">
        <f>IFERROR(INDEX(tblNetflix[type],MATCH($A1415,tblNetflix[show_id],0)),"")</f>
        <v/>
      </c>
      <c r="D1415" s="19">
        <f>IFERROR(INDEX(tblNetflix[rating],MATCH($A1415,tblNetflix[show_id],0)),"")</f>
        <v/>
      </c>
      <c r="E1415" s="19">
        <f>IFERROR(INDEX(tblNetflix[year_added],MATCH($A1415,tblNetflix[show_id],0)),"")</f>
        <v/>
      </c>
      <c r="F1415" s="19">
        <f>IF(AND(OR(YearFilter="All",$E1415=YearFilter),OR(RatingFilter="All",$D1415=RatingFilter),OR(TypeFilter="All",$C1415=TypeFilter)),1,0)</f>
        <v/>
      </c>
    </row>
    <row r="1416" ht="15" customHeight="1" s="20">
      <c r="A1416" s="19" t="inlineStr">
        <is>
          <t>s4596</t>
        </is>
      </c>
      <c r="B1416" s="19" t="inlineStr">
        <is>
          <t>Action &amp; Adventure</t>
        </is>
      </c>
      <c r="C1416" s="19">
        <f>IFERROR(INDEX(tblNetflix[type],MATCH($A1416,tblNetflix[show_id],0)),"")</f>
        <v/>
      </c>
      <c r="D1416" s="19">
        <f>IFERROR(INDEX(tblNetflix[rating],MATCH($A1416,tblNetflix[show_id],0)),"")</f>
        <v/>
      </c>
      <c r="E1416" s="19">
        <f>IFERROR(INDEX(tblNetflix[year_added],MATCH($A1416,tblNetflix[show_id],0)),"")</f>
        <v/>
      </c>
      <c r="F1416" s="19">
        <f>IF(AND(OR(YearFilter="All",$E1416=YearFilter),OR(RatingFilter="All",$D1416=RatingFilter),OR(TypeFilter="All",$C1416=TypeFilter)),1,0)</f>
        <v/>
      </c>
    </row>
    <row r="1417" ht="15" customHeight="1" s="20">
      <c r="A1417" s="19" t="inlineStr">
        <is>
          <t>s4596</t>
        </is>
      </c>
      <c r="B1417" s="19" t="inlineStr">
        <is>
          <t>Dramas</t>
        </is>
      </c>
      <c r="C1417" s="19">
        <f>IFERROR(INDEX(tblNetflix[type],MATCH($A1417,tblNetflix[show_id],0)),"")</f>
        <v/>
      </c>
      <c r="D1417" s="19">
        <f>IFERROR(INDEX(tblNetflix[rating],MATCH($A1417,tblNetflix[show_id],0)),"")</f>
        <v/>
      </c>
      <c r="E1417" s="19">
        <f>IFERROR(INDEX(tblNetflix[year_added],MATCH($A1417,tblNetflix[show_id],0)),"")</f>
        <v/>
      </c>
      <c r="F1417" s="19">
        <f>IF(AND(OR(YearFilter="All",$E1417=YearFilter),OR(RatingFilter="All",$D1417=RatingFilter),OR(TypeFilter="All",$C1417=TypeFilter)),1,0)</f>
        <v/>
      </c>
    </row>
    <row r="1418" ht="15" customHeight="1" s="20">
      <c r="A1418" s="19" t="inlineStr">
        <is>
          <t>s4596</t>
        </is>
      </c>
      <c r="B1418" s="19" t="inlineStr">
        <is>
          <t>International Movies</t>
        </is>
      </c>
      <c r="C1418" s="19">
        <f>IFERROR(INDEX(tblNetflix[type],MATCH($A1418,tblNetflix[show_id],0)),"")</f>
        <v/>
      </c>
      <c r="D1418" s="19">
        <f>IFERROR(INDEX(tblNetflix[rating],MATCH($A1418,tblNetflix[show_id],0)),"")</f>
        <v/>
      </c>
      <c r="E1418" s="19">
        <f>IFERROR(INDEX(tblNetflix[year_added],MATCH($A1418,tblNetflix[show_id],0)),"")</f>
        <v/>
      </c>
      <c r="F1418" s="19">
        <f>IF(AND(OR(YearFilter="All",$E1418=YearFilter),OR(RatingFilter="All",$D1418=RatingFilter),OR(TypeFilter="All",$C1418=TypeFilter)),1,0)</f>
        <v/>
      </c>
    </row>
    <row r="1419" ht="15" customHeight="1" s="20">
      <c r="A1419" s="19" t="inlineStr">
        <is>
          <t>s4597</t>
        </is>
      </c>
      <c r="B1419" s="19" t="inlineStr">
        <is>
          <t>Comedies</t>
        </is>
      </c>
      <c r="C1419" s="19">
        <f>IFERROR(INDEX(tblNetflix[type],MATCH($A1419,tblNetflix[show_id],0)),"")</f>
        <v/>
      </c>
      <c r="D1419" s="19">
        <f>IFERROR(INDEX(tblNetflix[rating],MATCH($A1419,tblNetflix[show_id],0)),"")</f>
        <v/>
      </c>
      <c r="E1419" s="19">
        <f>IFERROR(INDEX(tblNetflix[year_added],MATCH($A1419,tblNetflix[show_id],0)),"")</f>
        <v/>
      </c>
      <c r="F1419" s="19">
        <f>IF(AND(OR(YearFilter="All",$E1419=YearFilter),OR(RatingFilter="All",$D1419=RatingFilter),OR(TypeFilter="All",$C1419=TypeFilter)),1,0)</f>
        <v/>
      </c>
    </row>
    <row r="1420" ht="15" customHeight="1" s="20">
      <c r="A1420" s="19" t="inlineStr">
        <is>
          <t>s4597</t>
        </is>
      </c>
      <c r="B1420" s="19" t="inlineStr">
        <is>
          <t>Dramas</t>
        </is>
      </c>
      <c r="C1420" s="19">
        <f>IFERROR(INDEX(tblNetflix[type],MATCH($A1420,tblNetflix[show_id],0)),"")</f>
        <v/>
      </c>
      <c r="D1420" s="19">
        <f>IFERROR(INDEX(tblNetflix[rating],MATCH($A1420,tblNetflix[show_id],0)),"")</f>
        <v/>
      </c>
      <c r="E1420" s="19">
        <f>IFERROR(INDEX(tblNetflix[year_added],MATCH($A1420,tblNetflix[show_id],0)),"")</f>
        <v/>
      </c>
      <c r="F1420" s="19">
        <f>IF(AND(OR(YearFilter="All",$E1420=YearFilter),OR(RatingFilter="All",$D1420=RatingFilter),OR(TypeFilter="All",$C1420=TypeFilter)),1,0)</f>
        <v/>
      </c>
    </row>
    <row r="1421" ht="15" customHeight="1" s="20">
      <c r="A1421" s="19" t="inlineStr">
        <is>
          <t>s4597</t>
        </is>
      </c>
      <c r="B1421" s="19" t="inlineStr">
        <is>
          <t>Independent Movies</t>
        </is>
      </c>
      <c r="C1421" s="19">
        <f>IFERROR(INDEX(tblNetflix[type],MATCH($A1421,tblNetflix[show_id],0)),"")</f>
        <v/>
      </c>
      <c r="D1421" s="19">
        <f>IFERROR(INDEX(tblNetflix[rating],MATCH($A1421,tblNetflix[show_id],0)),"")</f>
        <v/>
      </c>
      <c r="E1421" s="19">
        <f>IFERROR(INDEX(tblNetflix[year_added],MATCH($A1421,tblNetflix[show_id],0)),"")</f>
        <v/>
      </c>
      <c r="F1421" s="19">
        <f>IF(AND(OR(YearFilter="All",$E1421=YearFilter),OR(RatingFilter="All",$D1421=RatingFilter),OR(TypeFilter="All",$C1421=TypeFilter)),1,0)</f>
        <v/>
      </c>
    </row>
    <row r="1422" ht="15" customHeight="1" s="20">
      <c r="A1422" s="19" t="inlineStr">
        <is>
          <t>s4598</t>
        </is>
      </c>
      <c r="B1422" s="19" t="inlineStr">
        <is>
          <t>Action &amp; Adventure</t>
        </is>
      </c>
      <c r="C1422" s="19">
        <f>IFERROR(INDEX(tblNetflix[type],MATCH($A1422,tblNetflix[show_id],0)),"")</f>
        <v/>
      </c>
      <c r="D1422" s="19">
        <f>IFERROR(INDEX(tblNetflix[rating],MATCH($A1422,tblNetflix[show_id],0)),"")</f>
        <v/>
      </c>
      <c r="E1422" s="19">
        <f>IFERROR(INDEX(tblNetflix[year_added],MATCH($A1422,tblNetflix[show_id],0)),"")</f>
        <v/>
      </c>
      <c r="F1422" s="19">
        <f>IF(AND(OR(YearFilter="All",$E1422=YearFilter),OR(RatingFilter="All",$D1422=RatingFilter),OR(TypeFilter="All",$C1422=TypeFilter)),1,0)</f>
        <v/>
      </c>
    </row>
    <row r="1423" ht="15" customHeight="1" s="20">
      <c r="A1423" s="19" t="inlineStr">
        <is>
          <t>s4598</t>
        </is>
      </c>
      <c r="B1423" s="19" t="inlineStr">
        <is>
          <t>International Movies</t>
        </is>
      </c>
      <c r="C1423" s="19">
        <f>IFERROR(INDEX(tblNetflix[type],MATCH($A1423,tblNetflix[show_id],0)),"")</f>
        <v/>
      </c>
      <c r="D1423" s="19">
        <f>IFERROR(INDEX(tblNetflix[rating],MATCH($A1423,tblNetflix[show_id],0)),"")</f>
        <v/>
      </c>
      <c r="E1423" s="19">
        <f>IFERROR(INDEX(tblNetflix[year_added],MATCH($A1423,tblNetflix[show_id],0)),"")</f>
        <v/>
      </c>
      <c r="F1423" s="19">
        <f>IF(AND(OR(YearFilter="All",$E1423=YearFilter),OR(RatingFilter="All",$D1423=RatingFilter),OR(TypeFilter="All",$C1423=TypeFilter)),1,0)</f>
        <v/>
      </c>
    </row>
    <row r="1424" ht="15" customHeight="1" s="20">
      <c r="A1424" s="19" t="inlineStr">
        <is>
          <t>s4599</t>
        </is>
      </c>
      <c r="B1424" s="19" t="inlineStr">
        <is>
          <t>Horror Movies</t>
        </is>
      </c>
      <c r="C1424" s="19">
        <f>IFERROR(INDEX(tblNetflix[type],MATCH($A1424,tblNetflix[show_id],0)),"")</f>
        <v/>
      </c>
      <c r="D1424" s="19">
        <f>IFERROR(INDEX(tblNetflix[rating],MATCH($A1424,tblNetflix[show_id],0)),"")</f>
        <v/>
      </c>
      <c r="E1424" s="19">
        <f>IFERROR(INDEX(tblNetflix[year_added],MATCH($A1424,tblNetflix[show_id],0)),"")</f>
        <v/>
      </c>
      <c r="F1424" s="19">
        <f>IF(AND(OR(YearFilter="All",$E1424=YearFilter),OR(RatingFilter="All",$D1424=RatingFilter),OR(TypeFilter="All",$C1424=TypeFilter)),1,0)</f>
        <v/>
      </c>
    </row>
    <row r="1425" ht="15" customHeight="1" s="20">
      <c r="A1425" s="19" t="inlineStr">
        <is>
          <t>s4599</t>
        </is>
      </c>
      <c r="B1425" s="19" t="inlineStr">
        <is>
          <t>International Movies</t>
        </is>
      </c>
      <c r="C1425" s="19">
        <f>IFERROR(INDEX(tblNetflix[type],MATCH($A1425,tblNetflix[show_id],0)),"")</f>
        <v/>
      </c>
      <c r="D1425" s="19">
        <f>IFERROR(INDEX(tblNetflix[rating],MATCH($A1425,tblNetflix[show_id],0)),"")</f>
        <v/>
      </c>
      <c r="E1425" s="19">
        <f>IFERROR(INDEX(tblNetflix[year_added],MATCH($A1425,tblNetflix[show_id],0)),"")</f>
        <v/>
      </c>
      <c r="F1425" s="19">
        <f>IF(AND(OR(YearFilter="All",$E1425=YearFilter),OR(RatingFilter="All",$D1425=RatingFilter),OR(TypeFilter="All",$C1425=TypeFilter)),1,0)</f>
        <v/>
      </c>
    </row>
    <row r="1426" ht="15" customHeight="1" s="20">
      <c r="A1426" s="19" t="inlineStr">
        <is>
          <t>s4599</t>
        </is>
      </c>
      <c r="B1426" s="19" t="inlineStr">
        <is>
          <t>Thrillers</t>
        </is>
      </c>
      <c r="C1426" s="19">
        <f>IFERROR(INDEX(tblNetflix[type],MATCH($A1426,tblNetflix[show_id],0)),"")</f>
        <v/>
      </c>
      <c r="D1426" s="19">
        <f>IFERROR(INDEX(tblNetflix[rating],MATCH($A1426,tblNetflix[show_id],0)),"")</f>
        <v/>
      </c>
      <c r="E1426" s="19">
        <f>IFERROR(INDEX(tblNetflix[year_added],MATCH($A1426,tblNetflix[show_id],0)),"")</f>
        <v/>
      </c>
      <c r="F1426" s="19">
        <f>IF(AND(OR(YearFilter="All",$E1426=YearFilter),OR(RatingFilter="All",$D1426=RatingFilter),OR(TypeFilter="All",$C1426=TypeFilter)),1,0)</f>
        <v/>
      </c>
    </row>
    <row r="1427" ht="15" customHeight="1" s="20">
      <c r="A1427" s="19" t="inlineStr">
        <is>
          <t>s4600</t>
        </is>
      </c>
      <c r="B1427" s="19" t="inlineStr">
        <is>
          <t>Comedies</t>
        </is>
      </c>
      <c r="C1427" s="19">
        <f>IFERROR(INDEX(tblNetflix[type],MATCH($A1427,tblNetflix[show_id],0)),"")</f>
        <v/>
      </c>
      <c r="D1427" s="19">
        <f>IFERROR(INDEX(tblNetflix[rating],MATCH($A1427,tblNetflix[show_id],0)),"")</f>
        <v/>
      </c>
      <c r="E1427" s="19">
        <f>IFERROR(INDEX(tblNetflix[year_added],MATCH($A1427,tblNetflix[show_id],0)),"")</f>
        <v/>
      </c>
      <c r="F1427" s="19">
        <f>IF(AND(OR(YearFilter="All",$E1427=YearFilter),OR(RatingFilter="All",$D1427=RatingFilter),OR(TypeFilter="All",$C1427=TypeFilter)),1,0)</f>
        <v/>
      </c>
    </row>
    <row r="1428" ht="15" customHeight="1" s="20">
      <c r="A1428" s="19" t="inlineStr">
        <is>
          <t>s4600</t>
        </is>
      </c>
      <c r="B1428" s="19" t="inlineStr">
        <is>
          <t>International Movies</t>
        </is>
      </c>
      <c r="C1428" s="19">
        <f>IFERROR(INDEX(tblNetflix[type],MATCH($A1428,tblNetflix[show_id],0)),"")</f>
        <v/>
      </c>
      <c r="D1428" s="19">
        <f>IFERROR(INDEX(tblNetflix[rating],MATCH($A1428,tblNetflix[show_id],0)),"")</f>
        <v/>
      </c>
      <c r="E1428" s="19">
        <f>IFERROR(INDEX(tblNetflix[year_added],MATCH($A1428,tblNetflix[show_id],0)),"")</f>
        <v/>
      </c>
      <c r="F1428" s="19">
        <f>IF(AND(OR(YearFilter="All",$E1428=YearFilter),OR(RatingFilter="All",$D1428=RatingFilter),OR(TypeFilter="All",$C1428=TypeFilter)),1,0)</f>
        <v/>
      </c>
    </row>
    <row r="1429" ht="15" customHeight="1" s="20">
      <c r="A1429" s="19" t="inlineStr">
        <is>
          <t>s4600</t>
        </is>
      </c>
      <c r="B1429" s="19" t="inlineStr">
        <is>
          <t>Music &amp; Musicals</t>
        </is>
      </c>
      <c r="C1429" s="19">
        <f>IFERROR(INDEX(tblNetflix[type],MATCH($A1429,tblNetflix[show_id],0)),"")</f>
        <v/>
      </c>
      <c r="D1429" s="19">
        <f>IFERROR(INDEX(tblNetflix[rating],MATCH($A1429,tblNetflix[show_id],0)),"")</f>
        <v/>
      </c>
      <c r="E1429" s="19">
        <f>IFERROR(INDEX(tblNetflix[year_added],MATCH($A1429,tblNetflix[show_id],0)),"")</f>
        <v/>
      </c>
      <c r="F1429" s="19">
        <f>IF(AND(OR(YearFilter="All",$E1429=YearFilter),OR(RatingFilter="All",$D1429=RatingFilter),OR(TypeFilter="All",$C1429=TypeFilter)),1,0)</f>
        <v/>
      </c>
    </row>
    <row r="1430" ht="15" customHeight="1" s="20">
      <c r="A1430" s="19" t="inlineStr">
        <is>
          <t>s4601</t>
        </is>
      </c>
      <c r="B1430" s="19" t="inlineStr">
        <is>
          <t>Action &amp; Adventure</t>
        </is>
      </c>
      <c r="C1430" s="19">
        <f>IFERROR(INDEX(tblNetflix[type],MATCH($A1430,tblNetflix[show_id],0)),"")</f>
        <v/>
      </c>
      <c r="D1430" s="19">
        <f>IFERROR(INDEX(tblNetflix[rating],MATCH($A1430,tblNetflix[show_id],0)),"")</f>
        <v/>
      </c>
      <c r="E1430" s="19">
        <f>IFERROR(INDEX(tblNetflix[year_added],MATCH($A1430,tblNetflix[show_id],0)),"")</f>
        <v/>
      </c>
      <c r="F1430" s="19">
        <f>IF(AND(OR(YearFilter="All",$E1430=YearFilter),OR(RatingFilter="All",$D1430=RatingFilter),OR(TypeFilter="All",$C1430=TypeFilter)),1,0)</f>
        <v/>
      </c>
    </row>
    <row r="1431" ht="15" customHeight="1" s="20">
      <c r="A1431" s="19" t="inlineStr">
        <is>
          <t>s4601</t>
        </is>
      </c>
      <c r="B1431" s="19" t="inlineStr">
        <is>
          <t>International Movies</t>
        </is>
      </c>
      <c r="C1431" s="19">
        <f>IFERROR(INDEX(tblNetflix[type],MATCH($A1431,tblNetflix[show_id],0)),"")</f>
        <v/>
      </c>
      <c r="D1431" s="19">
        <f>IFERROR(INDEX(tblNetflix[rating],MATCH($A1431,tblNetflix[show_id],0)),"")</f>
        <v/>
      </c>
      <c r="E1431" s="19">
        <f>IFERROR(INDEX(tblNetflix[year_added],MATCH($A1431,tblNetflix[show_id],0)),"")</f>
        <v/>
      </c>
      <c r="F1431" s="19">
        <f>IF(AND(OR(YearFilter="All",$E1431=YearFilter),OR(RatingFilter="All",$D1431=RatingFilter),OR(TypeFilter="All",$C1431=TypeFilter)),1,0)</f>
        <v/>
      </c>
    </row>
    <row r="1432" ht="15" customHeight="1" s="20">
      <c r="A1432" s="19" t="inlineStr">
        <is>
          <t>s4601</t>
        </is>
      </c>
      <c r="B1432" s="19" t="inlineStr">
        <is>
          <t>Music &amp; Musicals</t>
        </is>
      </c>
      <c r="C1432" s="19">
        <f>IFERROR(INDEX(tblNetflix[type],MATCH($A1432,tblNetflix[show_id],0)),"")</f>
        <v/>
      </c>
      <c r="D1432" s="19">
        <f>IFERROR(INDEX(tblNetflix[rating],MATCH($A1432,tblNetflix[show_id],0)),"")</f>
        <v/>
      </c>
      <c r="E1432" s="19">
        <f>IFERROR(INDEX(tblNetflix[year_added],MATCH($A1432,tblNetflix[show_id],0)),"")</f>
        <v/>
      </c>
      <c r="F1432" s="19">
        <f>IF(AND(OR(YearFilter="All",$E1432=YearFilter),OR(RatingFilter="All",$D1432=RatingFilter),OR(TypeFilter="All",$C1432=TypeFilter)),1,0)</f>
        <v/>
      </c>
    </row>
    <row r="1433" ht="15" customHeight="1" s="20">
      <c r="A1433" s="19" t="inlineStr">
        <is>
          <t>s4602</t>
        </is>
      </c>
      <c r="B1433" s="19" t="inlineStr">
        <is>
          <t>Action &amp; Adventure</t>
        </is>
      </c>
      <c r="C1433" s="19">
        <f>IFERROR(INDEX(tblNetflix[type],MATCH($A1433,tblNetflix[show_id],0)),"")</f>
        <v/>
      </c>
      <c r="D1433" s="19">
        <f>IFERROR(INDEX(tblNetflix[rating],MATCH($A1433,tblNetflix[show_id],0)),"")</f>
        <v/>
      </c>
      <c r="E1433" s="19">
        <f>IFERROR(INDEX(tblNetflix[year_added],MATCH($A1433,tblNetflix[show_id],0)),"")</f>
        <v/>
      </c>
      <c r="F1433" s="19">
        <f>IF(AND(OR(YearFilter="All",$E1433=YearFilter),OR(RatingFilter="All",$D1433=RatingFilter),OR(TypeFilter="All",$C1433=TypeFilter)),1,0)</f>
        <v/>
      </c>
    </row>
    <row r="1434" ht="15" customHeight="1" s="20">
      <c r="A1434" s="19" t="inlineStr">
        <is>
          <t>s4602</t>
        </is>
      </c>
      <c r="B1434" s="19" t="inlineStr">
        <is>
          <t>International Movies</t>
        </is>
      </c>
      <c r="C1434" s="19">
        <f>IFERROR(INDEX(tblNetflix[type],MATCH($A1434,tblNetflix[show_id],0)),"")</f>
        <v/>
      </c>
      <c r="D1434" s="19">
        <f>IFERROR(INDEX(tblNetflix[rating],MATCH($A1434,tblNetflix[show_id],0)),"")</f>
        <v/>
      </c>
      <c r="E1434" s="19">
        <f>IFERROR(INDEX(tblNetflix[year_added],MATCH($A1434,tblNetflix[show_id],0)),"")</f>
        <v/>
      </c>
      <c r="F1434" s="19">
        <f>IF(AND(OR(YearFilter="All",$E1434=YearFilter),OR(RatingFilter="All",$D1434=RatingFilter),OR(TypeFilter="All",$C1434=TypeFilter)),1,0)</f>
        <v/>
      </c>
    </row>
    <row r="1435" ht="15" customHeight="1" s="20">
      <c r="A1435" s="19" t="inlineStr">
        <is>
          <t>s4602</t>
        </is>
      </c>
      <c r="B1435" s="19" t="inlineStr">
        <is>
          <t>Music &amp; Musicals</t>
        </is>
      </c>
      <c r="C1435" s="19">
        <f>IFERROR(INDEX(tblNetflix[type],MATCH($A1435,tblNetflix[show_id],0)),"")</f>
        <v/>
      </c>
      <c r="D1435" s="19">
        <f>IFERROR(INDEX(tblNetflix[rating],MATCH($A1435,tblNetflix[show_id],0)),"")</f>
        <v/>
      </c>
      <c r="E1435" s="19">
        <f>IFERROR(INDEX(tblNetflix[year_added],MATCH($A1435,tblNetflix[show_id],0)),"")</f>
        <v/>
      </c>
      <c r="F1435" s="19">
        <f>IF(AND(OR(YearFilter="All",$E1435=YearFilter),OR(RatingFilter="All",$D1435=RatingFilter),OR(TypeFilter="All",$C1435=TypeFilter)),1,0)</f>
        <v/>
      </c>
    </row>
    <row r="1436" ht="15" customHeight="1" s="20">
      <c r="A1436" s="19" t="inlineStr">
        <is>
          <t>s4603</t>
        </is>
      </c>
      <c r="B1436" s="19" t="inlineStr">
        <is>
          <t>Comedies</t>
        </is>
      </c>
      <c r="C1436" s="19">
        <f>IFERROR(INDEX(tblNetflix[type],MATCH($A1436,tblNetflix[show_id],0)),"")</f>
        <v/>
      </c>
      <c r="D1436" s="19">
        <f>IFERROR(INDEX(tblNetflix[rating],MATCH($A1436,tblNetflix[show_id],0)),"")</f>
        <v/>
      </c>
      <c r="E1436" s="19">
        <f>IFERROR(INDEX(tblNetflix[year_added],MATCH($A1436,tblNetflix[show_id],0)),"")</f>
        <v/>
      </c>
      <c r="F1436" s="19">
        <f>IF(AND(OR(YearFilter="All",$E1436=YearFilter),OR(RatingFilter="All",$D1436=RatingFilter),OR(TypeFilter="All",$C1436=TypeFilter)),1,0)</f>
        <v/>
      </c>
    </row>
    <row r="1437" ht="15" customHeight="1" s="20">
      <c r="A1437" s="19" t="inlineStr">
        <is>
          <t>s4603</t>
        </is>
      </c>
      <c r="B1437" s="19" t="inlineStr">
        <is>
          <t>Dramas</t>
        </is>
      </c>
      <c r="C1437" s="19">
        <f>IFERROR(INDEX(tblNetflix[type],MATCH($A1437,tblNetflix[show_id],0)),"")</f>
        <v/>
      </c>
      <c r="D1437" s="19">
        <f>IFERROR(INDEX(tblNetflix[rating],MATCH($A1437,tblNetflix[show_id],0)),"")</f>
        <v/>
      </c>
      <c r="E1437" s="19">
        <f>IFERROR(INDEX(tblNetflix[year_added],MATCH($A1437,tblNetflix[show_id],0)),"")</f>
        <v/>
      </c>
      <c r="F1437" s="19">
        <f>IF(AND(OR(YearFilter="All",$E1437=YearFilter),OR(RatingFilter="All",$D1437=RatingFilter),OR(TypeFilter="All",$C1437=TypeFilter)),1,0)</f>
        <v/>
      </c>
    </row>
    <row r="1438" ht="15" customHeight="1" s="20">
      <c r="A1438" s="19" t="inlineStr">
        <is>
          <t>s4603</t>
        </is>
      </c>
      <c r="B1438" s="19" t="inlineStr">
        <is>
          <t>International Movies</t>
        </is>
      </c>
      <c r="C1438" s="19">
        <f>IFERROR(INDEX(tblNetflix[type],MATCH($A1438,tblNetflix[show_id],0)),"")</f>
        <v/>
      </c>
      <c r="D1438" s="19">
        <f>IFERROR(INDEX(tblNetflix[rating],MATCH($A1438,tblNetflix[show_id],0)),"")</f>
        <v/>
      </c>
      <c r="E1438" s="19">
        <f>IFERROR(INDEX(tblNetflix[year_added],MATCH($A1438,tblNetflix[show_id],0)),"")</f>
        <v/>
      </c>
      <c r="F1438" s="19">
        <f>IF(AND(OR(YearFilter="All",$E1438=YearFilter),OR(RatingFilter="All",$D1438=RatingFilter),OR(TypeFilter="All",$C1438=TypeFilter)),1,0)</f>
        <v/>
      </c>
    </row>
    <row r="1439" ht="15" customHeight="1" s="20">
      <c r="A1439" s="19" t="inlineStr">
        <is>
          <t>s4604</t>
        </is>
      </c>
      <c r="B1439" s="19" t="inlineStr">
        <is>
          <t>Comedies</t>
        </is>
      </c>
      <c r="C1439" s="19">
        <f>IFERROR(INDEX(tblNetflix[type],MATCH($A1439,tblNetflix[show_id],0)),"")</f>
        <v/>
      </c>
      <c r="D1439" s="19">
        <f>IFERROR(INDEX(tblNetflix[rating],MATCH($A1439,tblNetflix[show_id],0)),"")</f>
        <v/>
      </c>
      <c r="E1439" s="19">
        <f>IFERROR(INDEX(tblNetflix[year_added],MATCH($A1439,tblNetflix[show_id],0)),"")</f>
        <v/>
      </c>
      <c r="F1439" s="19">
        <f>IF(AND(OR(YearFilter="All",$E1439=YearFilter),OR(RatingFilter="All",$D1439=RatingFilter),OR(TypeFilter="All",$C1439=TypeFilter)),1,0)</f>
        <v/>
      </c>
    </row>
    <row r="1440" ht="15" customHeight="1" s="20">
      <c r="A1440" s="19" t="inlineStr">
        <is>
          <t>s4604</t>
        </is>
      </c>
      <c r="B1440" s="19" t="inlineStr">
        <is>
          <t>Dramas</t>
        </is>
      </c>
      <c r="C1440" s="19">
        <f>IFERROR(INDEX(tblNetflix[type],MATCH($A1440,tblNetflix[show_id],0)),"")</f>
        <v/>
      </c>
      <c r="D1440" s="19">
        <f>IFERROR(INDEX(tblNetflix[rating],MATCH($A1440,tblNetflix[show_id],0)),"")</f>
        <v/>
      </c>
      <c r="E1440" s="19">
        <f>IFERROR(INDEX(tblNetflix[year_added],MATCH($A1440,tblNetflix[show_id],0)),"")</f>
        <v/>
      </c>
      <c r="F1440" s="19">
        <f>IF(AND(OR(YearFilter="All",$E1440=YearFilter),OR(RatingFilter="All",$D1440=RatingFilter),OR(TypeFilter="All",$C1440=TypeFilter)),1,0)</f>
        <v/>
      </c>
    </row>
    <row r="1441" ht="15" customHeight="1" s="20">
      <c r="A1441" s="19" t="inlineStr">
        <is>
          <t>s4604</t>
        </is>
      </c>
      <c r="B1441" s="19" t="inlineStr">
        <is>
          <t>International Movies</t>
        </is>
      </c>
      <c r="C1441" s="19">
        <f>IFERROR(INDEX(tblNetflix[type],MATCH($A1441,tblNetflix[show_id],0)),"")</f>
        <v/>
      </c>
      <c r="D1441" s="19">
        <f>IFERROR(INDEX(tblNetflix[rating],MATCH($A1441,tblNetflix[show_id],0)),"")</f>
        <v/>
      </c>
      <c r="E1441" s="19">
        <f>IFERROR(INDEX(tblNetflix[year_added],MATCH($A1441,tblNetflix[show_id],0)),"")</f>
        <v/>
      </c>
      <c r="F1441" s="19">
        <f>IF(AND(OR(YearFilter="All",$E1441=YearFilter),OR(RatingFilter="All",$D1441=RatingFilter),OR(TypeFilter="All",$C1441=TypeFilter)),1,0)</f>
        <v/>
      </c>
    </row>
    <row r="1442" ht="15" customHeight="1" s="20">
      <c r="A1442" s="19" t="inlineStr">
        <is>
          <t>s4606</t>
        </is>
      </c>
      <c r="B1442" s="19" t="inlineStr">
        <is>
          <t>Action &amp; Adventure</t>
        </is>
      </c>
      <c r="C1442" s="19">
        <f>IFERROR(INDEX(tblNetflix[type],MATCH($A1442,tblNetflix[show_id],0)),"")</f>
        <v/>
      </c>
      <c r="D1442" s="19">
        <f>IFERROR(INDEX(tblNetflix[rating],MATCH($A1442,tblNetflix[show_id],0)),"")</f>
        <v/>
      </c>
      <c r="E1442" s="19">
        <f>IFERROR(INDEX(tblNetflix[year_added],MATCH($A1442,tblNetflix[show_id],0)),"")</f>
        <v/>
      </c>
      <c r="F1442" s="19">
        <f>IF(AND(OR(YearFilter="All",$E1442=YearFilter),OR(RatingFilter="All",$D1442=RatingFilter),OR(TypeFilter="All",$C1442=TypeFilter)),1,0)</f>
        <v/>
      </c>
    </row>
    <row r="1443" ht="15" customHeight="1" s="20">
      <c r="A1443" s="19" t="inlineStr">
        <is>
          <t>s4606</t>
        </is>
      </c>
      <c r="B1443" s="19" t="inlineStr">
        <is>
          <t>International Movies</t>
        </is>
      </c>
      <c r="C1443" s="19">
        <f>IFERROR(INDEX(tblNetflix[type],MATCH($A1443,tblNetflix[show_id],0)),"")</f>
        <v/>
      </c>
      <c r="D1443" s="19">
        <f>IFERROR(INDEX(tblNetflix[rating],MATCH($A1443,tblNetflix[show_id],0)),"")</f>
        <v/>
      </c>
      <c r="E1443" s="19">
        <f>IFERROR(INDEX(tblNetflix[year_added],MATCH($A1443,tblNetflix[show_id],0)),"")</f>
        <v/>
      </c>
      <c r="F1443" s="19">
        <f>IF(AND(OR(YearFilter="All",$E1443=YearFilter),OR(RatingFilter="All",$D1443=RatingFilter),OR(TypeFilter="All",$C1443=TypeFilter)),1,0)</f>
        <v/>
      </c>
    </row>
    <row r="1444" ht="15" customHeight="1" s="20">
      <c r="A1444" s="19" t="inlineStr">
        <is>
          <t>s4606</t>
        </is>
      </c>
      <c r="B1444" s="19" t="inlineStr">
        <is>
          <t>Music &amp; Musicals</t>
        </is>
      </c>
      <c r="C1444" s="19">
        <f>IFERROR(INDEX(tblNetflix[type],MATCH($A1444,tblNetflix[show_id],0)),"")</f>
        <v/>
      </c>
      <c r="D1444" s="19">
        <f>IFERROR(INDEX(tblNetflix[rating],MATCH($A1444,tblNetflix[show_id],0)),"")</f>
        <v/>
      </c>
      <c r="E1444" s="19">
        <f>IFERROR(INDEX(tblNetflix[year_added],MATCH($A1444,tblNetflix[show_id],0)),"")</f>
        <v/>
      </c>
      <c r="F1444" s="19">
        <f>IF(AND(OR(YearFilter="All",$E1444=YearFilter),OR(RatingFilter="All",$D1444=RatingFilter),OR(TypeFilter="All",$C1444=TypeFilter)),1,0)</f>
        <v/>
      </c>
    </row>
    <row r="1445" ht="15" customHeight="1" s="20">
      <c r="A1445" s="19" t="inlineStr">
        <is>
          <t>s4608</t>
        </is>
      </c>
      <c r="B1445" s="19" t="inlineStr">
        <is>
          <t>Comedies</t>
        </is>
      </c>
      <c r="C1445" s="19">
        <f>IFERROR(INDEX(tblNetflix[type],MATCH($A1445,tblNetflix[show_id],0)),"")</f>
        <v/>
      </c>
      <c r="D1445" s="19">
        <f>IFERROR(INDEX(tblNetflix[rating],MATCH($A1445,tblNetflix[show_id],0)),"")</f>
        <v/>
      </c>
      <c r="E1445" s="19">
        <f>IFERROR(INDEX(tblNetflix[year_added],MATCH($A1445,tblNetflix[show_id],0)),"")</f>
        <v/>
      </c>
      <c r="F1445" s="19">
        <f>IF(AND(OR(YearFilter="All",$E1445=YearFilter),OR(RatingFilter="All",$D1445=RatingFilter),OR(TypeFilter="All",$C1445=TypeFilter)),1,0)</f>
        <v/>
      </c>
    </row>
    <row r="1446" ht="15" customHeight="1" s="20">
      <c r="A1446" s="19" t="inlineStr">
        <is>
          <t>s4608</t>
        </is>
      </c>
      <c r="B1446" s="19" t="inlineStr">
        <is>
          <t>International Movies</t>
        </is>
      </c>
      <c r="C1446" s="19">
        <f>IFERROR(INDEX(tblNetflix[type],MATCH($A1446,tblNetflix[show_id],0)),"")</f>
        <v/>
      </c>
      <c r="D1446" s="19">
        <f>IFERROR(INDEX(tblNetflix[rating],MATCH($A1446,tblNetflix[show_id],0)),"")</f>
        <v/>
      </c>
      <c r="E1446" s="19">
        <f>IFERROR(INDEX(tblNetflix[year_added],MATCH($A1446,tblNetflix[show_id],0)),"")</f>
        <v/>
      </c>
      <c r="F1446" s="19">
        <f>IF(AND(OR(YearFilter="All",$E1446=YearFilter),OR(RatingFilter="All",$D1446=RatingFilter),OR(TypeFilter="All",$C1446=TypeFilter)),1,0)</f>
        <v/>
      </c>
    </row>
    <row r="1447" ht="15" customHeight="1" s="20">
      <c r="A1447" s="19" t="inlineStr">
        <is>
          <t>s4608</t>
        </is>
      </c>
      <c r="B1447" s="19" t="inlineStr">
        <is>
          <t>Music &amp; Musicals</t>
        </is>
      </c>
      <c r="C1447" s="19">
        <f>IFERROR(INDEX(tblNetflix[type],MATCH($A1447,tblNetflix[show_id],0)),"")</f>
        <v/>
      </c>
      <c r="D1447" s="19">
        <f>IFERROR(INDEX(tblNetflix[rating],MATCH($A1447,tblNetflix[show_id],0)),"")</f>
        <v/>
      </c>
      <c r="E1447" s="19">
        <f>IFERROR(INDEX(tblNetflix[year_added],MATCH($A1447,tblNetflix[show_id],0)),"")</f>
        <v/>
      </c>
      <c r="F1447" s="19">
        <f>IF(AND(OR(YearFilter="All",$E1447=YearFilter),OR(RatingFilter="All",$D1447=RatingFilter),OR(TypeFilter="All",$C1447=TypeFilter)),1,0)</f>
        <v/>
      </c>
    </row>
    <row r="1448" ht="15" customHeight="1" s="20">
      <c r="A1448" s="19" t="inlineStr">
        <is>
          <t>s4610</t>
        </is>
      </c>
      <c r="B1448" s="19" t="inlineStr">
        <is>
          <t>Action &amp; Adventure</t>
        </is>
      </c>
      <c r="C1448" s="19">
        <f>IFERROR(INDEX(tblNetflix[type],MATCH($A1448,tblNetflix[show_id],0)),"")</f>
        <v/>
      </c>
      <c r="D1448" s="19">
        <f>IFERROR(INDEX(tblNetflix[rating],MATCH($A1448,tblNetflix[show_id],0)),"")</f>
        <v/>
      </c>
      <c r="E1448" s="19">
        <f>IFERROR(INDEX(tblNetflix[year_added],MATCH($A1448,tblNetflix[show_id],0)),"")</f>
        <v/>
      </c>
      <c r="F1448" s="19">
        <f>IF(AND(OR(YearFilter="All",$E1448=YearFilter),OR(RatingFilter="All",$D1448=RatingFilter),OR(TypeFilter="All",$C1448=TypeFilter)),1,0)</f>
        <v/>
      </c>
    </row>
    <row r="1449" ht="15" customHeight="1" s="20">
      <c r="A1449" s="19" t="inlineStr">
        <is>
          <t>s4610</t>
        </is>
      </c>
      <c r="B1449" s="19" t="inlineStr">
        <is>
          <t>Dramas</t>
        </is>
      </c>
      <c r="C1449" s="19">
        <f>IFERROR(INDEX(tblNetflix[type],MATCH($A1449,tblNetflix[show_id],0)),"")</f>
        <v/>
      </c>
      <c r="D1449" s="19">
        <f>IFERROR(INDEX(tblNetflix[rating],MATCH($A1449,tblNetflix[show_id],0)),"")</f>
        <v/>
      </c>
      <c r="E1449" s="19">
        <f>IFERROR(INDEX(tblNetflix[year_added],MATCH($A1449,tblNetflix[show_id],0)),"")</f>
        <v/>
      </c>
      <c r="F1449" s="19">
        <f>IF(AND(OR(YearFilter="All",$E1449=YearFilter),OR(RatingFilter="All",$D1449=RatingFilter),OR(TypeFilter="All",$C1449=TypeFilter)),1,0)</f>
        <v/>
      </c>
    </row>
    <row r="1450" ht="15" customHeight="1" s="20">
      <c r="A1450" s="19" t="inlineStr">
        <is>
          <t>s4610</t>
        </is>
      </c>
      <c r="B1450" s="19" t="inlineStr">
        <is>
          <t>International Movies</t>
        </is>
      </c>
      <c r="C1450" s="19">
        <f>IFERROR(INDEX(tblNetflix[type],MATCH($A1450,tblNetflix[show_id],0)),"")</f>
        <v/>
      </c>
      <c r="D1450" s="19">
        <f>IFERROR(INDEX(tblNetflix[rating],MATCH($A1450,tblNetflix[show_id],0)),"")</f>
        <v/>
      </c>
      <c r="E1450" s="19">
        <f>IFERROR(INDEX(tblNetflix[year_added],MATCH($A1450,tblNetflix[show_id],0)),"")</f>
        <v/>
      </c>
      <c r="F1450" s="19">
        <f>IF(AND(OR(YearFilter="All",$E1450=YearFilter),OR(RatingFilter="All",$D1450=RatingFilter),OR(TypeFilter="All",$C1450=TypeFilter)),1,0)</f>
        <v/>
      </c>
    </row>
    <row r="1451" ht="15" customHeight="1" s="20">
      <c r="A1451" s="19" t="inlineStr">
        <is>
          <t>s4611</t>
        </is>
      </c>
      <c r="B1451" s="19" t="inlineStr">
        <is>
          <t>Dramas</t>
        </is>
      </c>
      <c r="C1451" s="19">
        <f>IFERROR(INDEX(tblNetflix[type],MATCH($A1451,tblNetflix[show_id],0)),"")</f>
        <v/>
      </c>
      <c r="D1451" s="19">
        <f>IFERROR(INDEX(tblNetflix[rating],MATCH($A1451,tblNetflix[show_id],0)),"")</f>
        <v/>
      </c>
      <c r="E1451" s="19">
        <f>IFERROR(INDEX(tblNetflix[year_added],MATCH($A1451,tblNetflix[show_id],0)),"")</f>
        <v/>
      </c>
      <c r="F1451" s="19">
        <f>IF(AND(OR(YearFilter="All",$E1451=YearFilter),OR(RatingFilter="All",$D1451=RatingFilter),OR(TypeFilter="All",$C1451=TypeFilter)),1,0)</f>
        <v/>
      </c>
    </row>
    <row r="1452" ht="15" customHeight="1" s="20">
      <c r="A1452" s="19" t="inlineStr">
        <is>
          <t>s4611</t>
        </is>
      </c>
      <c r="B1452" s="19" t="inlineStr">
        <is>
          <t>Independent Movies</t>
        </is>
      </c>
      <c r="C1452" s="19">
        <f>IFERROR(INDEX(tblNetflix[type],MATCH($A1452,tblNetflix[show_id],0)),"")</f>
        <v/>
      </c>
      <c r="D1452" s="19">
        <f>IFERROR(INDEX(tblNetflix[rating],MATCH($A1452,tblNetflix[show_id],0)),"")</f>
        <v/>
      </c>
      <c r="E1452" s="19">
        <f>IFERROR(INDEX(tblNetflix[year_added],MATCH($A1452,tblNetflix[show_id],0)),"")</f>
        <v/>
      </c>
      <c r="F1452" s="19">
        <f>IF(AND(OR(YearFilter="All",$E1452=YearFilter),OR(RatingFilter="All",$D1452=RatingFilter),OR(TypeFilter="All",$C1452=TypeFilter)),1,0)</f>
        <v/>
      </c>
    </row>
    <row r="1453" ht="15" customHeight="1" s="20">
      <c r="A1453" s="19" t="inlineStr">
        <is>
          <t>s4611</t>
        </is>
      </c>
      <c r="B1453" s="19" t="inlineStr">
        <is>
          <t>International Movies</t>
        </is>
      </c>
      <c r="C1453" s="19">
        <f>IFERROR(INDEX(tblNetflix[type],MATCH($A1453,tblNetflix[show_id],0)),"")</f>
        <v/>
      </c>
      <c r="D1453" s="19">
        <f>IFERROR(INDEX(tblNetflix[rating],MATCH($A1453,tblNetflix[show_id],0)),"")</f>
        <v/>
      </c>
      <c r="E1453" s="19">
        <f>IFERROR(INDEX(tblNetflix[year_added],MATCH($A1453,tblNetflix[show_id],0)),"")</f>
        <v/>
      </c>
      <c r="F1453" s="19">
        <f>IF(AND(OR(YearFilter="All",$E1453=YearFilter),OR(RatingFilter="All",$D1453=RatingFilter),OR(TypeFilter="All",$C1453=TypeFilter)),1,0)</f>
        <v/>
      </c>
    </row>
    <row r="1454" ht="15" customHeight="1" s="20">
      <c r="A1454" s="19" t="inlineStr">
        <is>
          <t>s4612</t>
        </is>
      </c>
      <c r="B1454" s="19" t="inlineStr">
        <is>
          <t>Action &amp; Adventure</t>
        </is>
      </c>
      <c r="C1454" s="19">
        <f>IFERROR(INDEX(tblNetflix[type],MATCH($A1454,tblNetflix[show_id],0)),"")</f>
        <v/>
      </c>
      <c r="D1454" s="19">
        <f>IFERROR(INDEX(tblNetflix[rating],MATCH($A1454,tblNetflix[show_id],0)),"")</f>
        <v/>
      </c>
      <c r="E1454" s="19">
        <f>IFERROR(INDEX(tblNetflix[year_added],MATCH($A1454,tblNetflix[show_id],0)),"")</f>
        <v/>
      </c>
      <c r="F1454" s="19">
        <f>IF(AND(OR(YearFilter="All",$E1454=YearFilter),OR(RatingFilter="All",$D1454=RatingFilter),OR(TypeFilter="All",$C1454=TypeFilter)),1,0)</f>
        <v/>
      </c>
    </row>
    <row r="1455" ht="15" customHeight="1" s="20">
      <c r="A1455" s="19" t="inlineStr">
        <is>
          <t>s4612</t>
        </is>
      </c>
      <c r="B1455" s="19" t="inlineStr">
        <is>
          <t>International Movies</t>
        </is>
      </c>
      <c r="C1455" s="19">
        <f>IFERROR(INDEX(tblNetflix[type],MATCH($A1455,tblNetflix[show_id],0)),"")</f>
        <v/>
      </c>
      <c r="D1455" s="19">
        <f>IFERROR(INDEX(tblNetflix[rating],MATCH($A1455,tblNetflix[show_id],0)),"")</f>
        <v/>
      </c>
      <c r="E1455" s="19">
        <f>IFERROR(INDEX(tblNetflix[year_added],MATCH($A1455,tblNetflix[show_id],0)),"")</f>
        <v/>
      </c>
      <c r="F1455" s="19">
        <f>IF(AND(OR(YearFilter="All",$E1455=YearFilter),OR(RatingFilter="All",$D1455=RatingFilter),OR(TypeFilter="All",$C1455=TypeFilter)),1,0)</f>
        <v/>
      </c>
    </row>
    <row r="1456" ht="15" customHeight="1" s="20">
      <c r="A1456" s="19" t="inlineStr">
        <is>
          <t>s4612</t>
        </is>
      </c>
      <c r="B1456" s="19" t="inlineStr">
        <is>
          <t>Music &amp; Musicals</t>
        </is>
      </c>
      <c r="C1456" s="19">
        <f>IFERROR(INDEX(tblNetflix[type],MATCH($A1456,tblNetflix[show_id],0)),"")</f>
        <v/>
      </c>
      <c r="D1456" s="19">
        <f>IFERROR(INDEX(tblNetflix[rating],MATCH($A1456,tblNetflix[show_id],0)),"")</f>
        <v/>
      </c>
      <c r="E1456" s="19">
        <f>IFERROR(INDEX(tblNetflix[year_added],MATCH($A1456,tblNetflix[show_id],0)),"")</f>
        <v/>
      </c>
      <c r="F1456" s="19">
        <f>IF(AND(OR(YearFilter="All",$E1456=YearFilter),OR(RatingFilter="All",$D1456=RatingFilter),OR(TypeFilter="All",$C1456=TypeFilter)),1,0)</f>
        <v/>
      </c>
    </row>
    <row r="1457" ht="15" customHeight="1" s="20">
      <c r="A1457" s="19" t="inlineStr">
        <is>
          <t>s4613</t>
        </is>
      </c>
      <c r="B1457" s="19" t="inlineStr">
        <is>
          <t>Comedies</t>
        </is>
      </c>
      <c r="C1457" s="19">
        <f>IFERROR(INDEX(tblNetflix[type],MATCH($A1457,tblNetflix[show_id],0)),"")</f>
        <v/>
      </c>
      <c r="D1457" s="19">
        <f>IFERROR(INDEX(tblNetflix[rating],MATCH($A1457,tblNetflix[show_id],0)),"")</f>
        <v/>
      </c>
      <c r="E1457" s="19">
        <f>IFERROR(INDEX(tblNetflix[year_added],MATCH($A1457,tblNetflix[show_id],0)),"")</f>
        <v/>
      </c>
      <c r="F1457" s="19">
        <f>IF(AND(OR(YearFilter="All",$E1457=YearFilter),OR(RatingFilter="All",$D1457=RatingFilter),OR(TypeFilter="All",$C1457=TypeFilter)),1,0)</f>
        <v/>
      </c>
    </row>
    <row r="1458" ht="15" customHeight="1" s="20">
      <c r="A1458" s="19" t="inlineStr">
        <is>
          <t>s4613</t>
        </is>
      </c>
      <c r="B1458" s="19" t="inlineStr">
        <is>
          <t>International Movies</t>
        </is>
      </c>
      <c r="C1458" s="19">
        <f>IFERROR(INDEX(tblNetflix[type],MATCH($A1458,tblNetflix[show_id],0)),"")</f>
        <v/>
      </c>
      <c r="D1458" s="19">
        <f>IFERROR(INDEX(tblNetflix[rating],MATCH($A1458,tblNetflix[show_id],0)),"")</f>
        <v/>
      </c>
      <c r="E1458" s="19">
        <f>IFERROR(INDEX(tblNetflix[year_added],MATCH($A1458,tblNetflix[show_id],0)),"")</f>
        <v/>
      </c>
      <c r="F1458" s="19">
        <f>IF(AND(OR(YearFilter="All",$E1458=YearFilter),OR(RatingFilter="All",$D1458=RatingFilter),OR(TypeFilter="All",$C1458=TypeFilter)),1,0)</f>
        <v/>
      </c>
    </row>
    <row r="1459" ht="15" customHeight="1" s="20">
      <c r="A1459" s="19" t="inlineStr">
        <is>
          <t>s4613</t>
        </is>
      </c>
      <c r="B1459" s="19" t="inlineStr">
        <is>
          <t>Romantic Movies</t>
        </is>
      </c>
      <c r="C1459" s="19">
        <f>IFERROR(INDEX(tblNetflix[type],MATCH($A1459,tblNetflix[show_id],0)),"")</f>
        <v/>
      </c>
      <c r="D1459" s="19">
        <f>IFERROR(INDEX(tblNetflix[rating],MATCH($A1459,tblNetflix[show_id],0)),"")</f>
        <v/>
      </c>
      <c r="E1459" s="19">
        <f>IFERROR(INDEX(tblNetflix[year_added],MATCH($A1459,tblNetflix[show_id],0)),"")</f>
        <v/>
      </c>
      <c r="F1459" s="19">
        <f>IF(AND(OR(YearFilter="All",$E1459=YearFilter),OR(RatingFilter="All",$D1459=RatingFilter),OR(TypeFilter="All",$C1459=TypeFilter)),1,0)</f>
        <v/>
      </c>
    </row>
    <row r="1460" ht="15" customHeight="1" s="20">
      <c r="A1460" s="19" t="inlineStr">
        <is>
          <t>s4614</t>
        </is>
      </c>
      <c r="B1460" s="19" t="inlineStr">
        <is>
          <t>Dramas</t>
        </is>
      </c>
      <c r="C1460" s="19">
        <f>IFERROR(INDEX(tblNetflix[type],MATCH($A1460,tblNetflix[show_id],0)),"")</f>
        <v/>
      </c>
      <c r="D1460" s="19">
        <f>IFERROR(INDEX(tblNetflix[rating],MATCH($A1460,tblNetflix[show_id],0)),"")</f>
        <v/>
      </c>
      <c r="E1460" s="19">
        <f>IFERROR(INDEX(tblNetflix[year_added],MATCH($A1460,tblNetflix[show_id],0)),"")</f>
        <v/>
      </c>
      <c r="F1460" s="19">
        <f>IF(AND(OR(YearFilter="All",$E1460=YearFilter),OR(RatingFilter="All",$D1460=RatingFilter),OR(TypeFilter="All",$C1460=TypeFilter)),1,0)</f>
        <v/>
      </c>
    </row>
    <row r="1461" ht="15" customHeight="1" s="20">
      <c r="A1461" s="19" t="inlineStr">
        <is>
          <t>s4614</t>
        </is>
      </c>
      <c r="B1461" s="19" t="inlineStr">
        <is>
          <t>International Movies</t>
        </is>
      </c>
      <c r="C1461" s="19">
        <f>IFERROR(INDEX(tblNetflix[type],MATCH($A1461,tblNetflix[show_id],0)),"")</f>
        <v/>
      </c>
      <c r="D1461" s="19">
        <f>IFERROR(INDEX(tblNetflix[rating],MATCH($A1461,tblNetflix[show_id],0)),"")</f>
        <v/>
      </c>
      <c r="E1461" s="19">
        <f>IFERROR(INDEX(tblNetflix[year_added],MATCH($A1461,tblNetflix[show_id],0)),"")</f>
        <v/>
      </c>
      <c r="F1461" s="19">
        <f>IF(AND(OR(YearFilter="All",$E1461=YearFilter),OR(RatingFilter="All",$D1461=RatingFilter),OR(TypeFilter="All",$C1461=TypeFilter)),1,0)</f>
        <v/>
      </c>
    </row>
    <row r="1462" ht="15" customHeight="1" s="20">
      <c r="A1462" s="19" t="inlineStr">
        <is>
          <t>s4615</t>
        </is>
      </c>
      <c r="B1462" s="19" t="inlineStr">
        <is>
          <t>Comedies</t>
        </is>
      </c>
      <c r="C1462" s="19">
        <f>IFERROR(INDEX(tblNetflix[type],MATCH($A1462,tblNetflix[show_id],0)),"")</f>
        <v/>
      </c>
      <c r="D1462" s="19">
        <f>IFERROR(INDEX(tblNetflix[rating],MATCH($A1462,tblNetflix[show_id],0)),"")</f>
        <v/>
      </c>
      <c r="E1462" s="19">
        <f>IFERROR(INDEX(tblNetflix[year_added],MATCH($A1462,tblNetflix[show_id],0)),"")</f>
        <v/>
      </c>
      <c r="F1462" s="19">
        <f>IF(AND(OR(YearFilter="All",$E1462=YearFilter),OR(RatingFilter="All",$D1462=RatingFilter),OR(TypeFilter="All",$C1462=TypeFilter)),1,0)</f>
        <v/>
      </c>
    </row>
    <row r="1463" ht="15" customHeight="1" s="20">
      <c r="A1463" s="19" t="inlineStr">
        <is>
          <t>s4615</t>
        </is>
      </c>
      <c r="B1463" s="19" t="inlineStr">
        <is>
          <t>International Movies</t>
        </is>
      </c>
      <c r="C1463" s="19">
        <f>IFERROR(INDEX(tblNetflix[type],MATCH($A1463,tblNetflix[show_id],0)),"")</f>
        <v/>
      </c>
      <c r="D1463" s="19">
        <f>IFERROR(INDEX(tblNetflix[rating],MATCH($A1463,tblNetflix[show_id],0)),"")</f>
        <v/>
      </c>
      <c r="E1463" s="19">
        <f>IFERROR(INDEX(tblNetflix[year_added],MATCH($A1463,tblNetflix[show_id],0)),"")</f>
        <v/>
      </c>
      <c r="F1463" s="19">
        <f>IF(AND(OR(YearFilter="All",$E1463=YearFilter),OR(RatingFilter="All",$D1463=RatingFilter),OR(TypeFilter="All",$C1463=TypeFilter)),1,0)</f>
        <v/>
      </c>
    </row>
    <row r="1464" ht="15" customHeight="1" s="20">
      <c r="A1464" s="19" t="inlineStr">
        <is>
          <t>s4615</t>
        </is>
      </c>
      <c r="B1464" s="19" t="inlineStr">
        <is>
          <t>Romantic Movies</t>
        </is>
      </c>
      <c r="C1464" s="19">
        <f>IFERROR(INDEX(tblNetflix[type],MATCH($A1464,tblNetflix[show_id],0)),"")</f>
        <v/>
      </c>
      <c r="D1464" s="19">
        <f>IFERROR(INDEX(tblNetflix[rating],MATCH($A1464,tblNetflix[show_id],0)),"")</f>
        <v/>
      </c>
      <c r="E1464" s="19">
        <f>IFERROR(INDEX(tblNetflix[year_added],MATCH($A1464,tblNetflix[show_id],0)),"")</f>
        <v/>
      </c>
      <c r="F1464" s="19">
        <f>IF(AND(OR(YearFilter="All",$E1464=YearFilter),OR(RatingFilter="All",$D1464=RatingFilter),OR(TypeFilter="All",$C1464=TypeFilter)),1,0)</f>
        <v/>
      </c>
    </row>
    <row r="1465" ht="15" customHeight="1" s="20">
      <c r="A1465" s="19" t="inlineStr">
        <is>
          <t>s4661</t>
        </is>
      </c>
      <c r="B1465" s="19" t="inlineStr">
        <is>
          <t>Comedies</t>
        </is>
      </c>
      <c r="C1465" s="19">
        <f>IFERROR(INDEX(tblNetflix[type],MATCH($A1465,tblNetflix[show_id],0)),"")</f>
        <v/>
      </c>
      <c r="D1465" s="19">
        <f>IFERROR(INDEX(tblNetflix[rating],MATCH($A1465,tblNetflix[show_id],0)),"")</f>
        <v/>
      </c>
      <c r="E1465" s="19">
        <f>IFERROR(INDEX(tblNetflix[year_added],MATCH($A1465,tblNetflix[show_id],0)),"")</f>
        <v/>
      </c>
      <c r="F1465" s="19">
        <f>IF(AND(OR(YearFilter="All",$E1465=YearFilter),OR(RatingFilter="All",$D1465=RatingFilter),OR(TypeFilter="All",$C1465=TypeFilter)),1,0)</f>
        <v/>
      </c>
    </row>
    <row r="1466" ht="15" customHeight="1" s="20">
      <c r="A1466" s="19" t="inlineStr">
        <is>
          <t>s4661</t>
        </is>
      </c>
      <c r="B1466" s="19" t="inlineStr">
        <is>
          <t>Dramas</t>
        </is>
      </c>
      <c r="C1466" s="19">
        <f>IFERROR(INDEX(tblNetflix[type],MATCH($A1466,tblNetflix[show_id],0)),"")</f>
        <v/>
      </c>
      <c r="D1466" s="19">
        <f>IFERROR(INDEX(tblNetflix[rating],MATCH($A1466,tblNetflix[show_id],0)),"")</f>
        <v/>
      </c>
      <c r="E1466" s="19">
        <f>IFERROR(INDEX(tblNetflix[year_added],MATCH($A1466,tblNetflix[show_id],0)),"")</f>
        <v/>
      </c>
      <c r="F1466" s="19">
        <f>IF(AND(OR(YearFilter="All",$E1466=YearFilter),OR(RatingFilter="All",$D1466=RatingFilter),OR(TypeFilter="All",$C1466=TypeFilter)),1,0)</f>
        <v/>
      </c>
    </row>
    <row r="1467" ht="15" customHeight="1" s="20">
      <c r="A1467" s="19" t="inlineStr">
        <is>
          <t>s4661</t>
        </is>
      </c>
      <c r="B1467" s="19" t="inlineStr">
        <is>
          <t>International Movies</t>
        </is>
      </c>
      <c r="C1467" s="19">
        <f>IFERROR(INDEX(tblNetflix[type],MATCH($A1467,tblNetflix[show_id],0)),"")</f>
        <v/>
      </c>
      <c r="D1467" s="19">
        <f>IFERROR(INDEX(tblNetflix[rating],MATCH($A1467,tblNetflix[show_id],0)),"")</f>
        <v/>
      </c>
      <c r="E1467" s="19">
        <f>IFERROR(INDEX(tblNetflix[year_added],MATCH($A1467,tblNetflix[show_id],0)),"")</f>
        <v/>
      </c>
      <c r="F1467" s="19">
        <f>IF(AND(OR(YearFilter="All",$E1467=YearFilter),OR(RatingFilter="All",$D1467=RatingFilter),OR(TypeFilter="All",$C1467=TypeFilter)),1,0)</f>
        <v/>
      </c>
    </row>
    <row r="1468" ht="15" customHeight="1" s="20">
      <c r="A1468" s="19" t="inlineStr">
        <is>
          <t>s4667</t>
        </is>
      </c>
      <c r="B1468" s="19" t="inlineStr">
        <is>
          <t>Dramas</t>
        </is>
      </c>
      <c r="C1468" s="19">
        <f>IFERROR(INDEX(tblNetflix[type],MATCH($A1468,tblNetflix[show_id],0)),"")</f>
        <v/>
      </c>
      <c r="D1468" s="19">
        <f>IFERROR(INDEX(tblNetflix[rating],MATCH($A1468,tblNetflix[show_id],0)),"")</f>
        <v/>
      </c>
      <c r="E1468" s="19">
        <f>IFERROR(INDEX(tblNetflix[year_added],MATCH($A1468,tblNetflix[show_id],0)),"")</f>
        <v/>
      </c>
      <c r="F1468" s="19">
        <f>IF(AND(OR(YearFilter="All",$E1468=YearFilter),OR(RatingFilter="All",$D1468=RatingFilter),OR(TypeFilter="All",$C1468=TypeFilter)),1,0)</f>
        <v/>
      </c>
    </row>
    <row r="1469" ht="15" customHeight="1" s="20">
      <c r="A1469" s="19" t="inlineStr">
        <is>
          <t>s4667</t>
        </is>
      </c>
      <c r="B1469" s="19" t="inlineStr">
        <is>
          <t>Independent Movies</t>
        </is>
      </c>
      <c r="C1469" s="19">
        <f>IFERROR(INDEX(tblNetflix[type],MATCH($A1469,tblNetflix[show_id],0)),"")</f>
        <v/>
      </c>
      <c r="D1469" s="19">
        <f>IFERROR(INDEX(tblNetflix[rating],MATCH($A1469,tblNetflix[show_id],0)),"")</f>
        <v/>
      </c>
      <c r="E1469" s="19">
        <f>IFERROR(INDEX(tblNetflix[year_added],MATCH($A1469,tblNetflix[show_id],0)),"")</f>
        <v/>
      </c>
      <c r="F1469" s="19">
        <f>IF(AND(OR(YearFilter="All",$E1469=YearFilter),OR(RatingFilter="All",$D1469=RatingFilter),OR(TypeFilter="All",$C1469=TypeFilter)),1,0)</f>
        <v/>
      </c>
    </row>
    <row r="1470" ht="15" customHeight="1" s="20">
      <c r="A1470" s="19" t="inlineStr">
        <is>
          <t>s4667</t>
        </is>
      </c>
      <c r="B1470" s="19" t="inlineStr">
        <is>
          <t>International Movies</t>
        </is>
      </c>
      <c r="C1470" s="19">
        <f>IFERROR(INDEX(tblNetflix[type],MATCH($A1470,tblNetflix[show_id],0)),"")</f>
        <v/>
      </c>
      <c r="D1470" s="19">
        <f>IFERROR(INDEX(tblNetflix[rating],MATCH($A1470,tblNetflix[show_id],0)),"")</f>
        <v/>
      </c>
      <c r="E1470" s="19">
        <f>IFERROR(INDEX(tblNetflix[year_added],MATCH($A1470,tblNetflix[show_id],0)),"")</f>
        <v/>
      </c>
      <c r="F1470" s="19">
        <f>IF(AND(OR(YearFilter="All",$E1470=YearFilter),OR(RatingFilter="All",$D1470=RatingFilter),OR(TypeFilter="All",$C1470=TypeFilter)),1,0)</f>
        <v/>
      </c>
    </row>
    <row r="1471" ht="15" customHeight="1" s="20">
      <c r="A1471" s="19" t="inlineStr">
        <is>
          <t>s4668</t>
        </is>
      </c>
      <c r="B1471" s="19" t="inlineStr">
        <is>
          <t>Dramas</t>
        </is>
      </c>
      <c r="C1471" s="19">
        <f>IFERROR(INDEX(tblNetflix[type],MATCH($A1471,tblNetflix[show_id],0)),"")</f>
        <v/>
      </c>
      <c r="D1471" s="19">
        <f>IFERROR(INDEX(tblNetflix[rating],MATCH($A1471,tblNetflix[show_id],0)),"")</f>
        <v/>
      </c>
      <c r="E1471" s="19">
        <f>IFERROR(INDEX(tblNetflix[year_added],MATCH($A1471,tblNetflix[show_id],0)),"")</f>
        <v/>
      </c>
      <c r="F1471" s="19">
        <f>IF(AND(OR(YearFilter="All",$E1471=YearFilter),OR(RatingFilter="All",$D1471=RatingFilter),OR(TypeFilter="All",$C1471=TypeFilter)),1,0)</f>
        <v/>
      </c>
    </row>
    <row r="1472" ht="15" customHeight="1" s="20">
      <c r="A1472" s="19" t="inlineStr">
        <is>
          <t>s4668</t>
        </is>
      </c>
      <c r="B1472" s="19" t="inlineStr">
        <is>
          <t>Independent Movies</t>
        </is>
      </c>
      <c r="C1472" s="19">
        <f>IFERROR(INDEX(tblNetflix[type],MATCH($A1472,tblNetflix[show_id],0)),"")</f>
        <v/>
      </c>
      <c r="D1472" s="19">
        <f>IFERROR(INDEX(tblNetflix[rating],MATCH($A1472,tblNetflix[show_id],0)),"")</f>
        <v/>
      </c>
      <c r="E1472" s="19">
        <f>IFERROR(INDEX(tblNetflix[year_added],MATCH($A1472,tblNetflix[show_id],0)),"")</f>
        <v/>
      </c>
      <c r="F1472" s="19">
        <f>IF(AND(OR(YearFilter="All",$E1472=YearFilter),OR(RatingFilter="All",$D1472=RatingFilter),OR(TypeFilter="All",$C1472=TypeFilter)),1,0)</f>
        <v/>
      </c>
    </row>
    <row r="1473" ht="15" customHeight="1" s="20">
      <c r="A1473" s="19" t="inlineStr">
        <is>
          <t>s4668</t>
        </is>
      </c>
      <c r="B1473" s="19" t="inlineStr">
        <is>
          <t>International Movies</t>
        </is>
      </c>
      <c r="C1473" s="19">
        <f>IFERROR(INDEX(tblNetflix[type],MATCH($A1473,tblNetflix[show_id],0)),"")</f>
        <v/>
      </c>
      <c r="D1473" s="19">
        <f>IFERROR(INDEX(tblNetflix[rating],MATCH($A1473,tblNetflix[show_id],0)),"")</f>
        <v/>
      </c>
      <c r="E1473" s="19">
        <f>IFERROR(INDEX(tblNetflix[year_added],MATCH($A1473,tblNetflix[show_id],0)),"")</f>
        <v/>
      </c>
      <c r="F1473" s="19">
        <f>IF(AND(OR(YearFilter="All",$E1473=YearFilter),OR(RatingFilter="All",$D1473=RatingFilter),OR(TypeFilter="All",$C1473=TypeFilter)),1,0)</f>
        <v/>
      </c>
    </row>
    <row r="1474" ht="15" customHeight="1" s="20">
      <c r="A1474" s="19" t="inlineStr">
        <is>
          <t>s4669</t>
        </is>
      </c>
      <c r="B1474" s="19" t="inlineStr">
        <is>
          <t>Dramas</t>
        </is>
      </c>
      <c r="C1474" s="19">
        <f>IFERROR(INDEX(tblNetflix[type],MATCH($A1474,tblNetflix[show_id],0)),"")</f>
        <v/>
      </c>
      <c r="D1474" s="19">
        <f>IFERROR(INDEX(tblNetflix[rating],MATCH($A1474,tblNetflix[show_id],0)),"")</f>
        <v/>
      </c>
      <c r="E1474" s="19">
        <f>IFERROR(INDEX(tblNetflix[year_added],MATCH($A1474,tblNetflix[show_id],0)),"")</f>
        <v/>
      </c>
      <c r="F1474" s="19">
        <f>IF(AND(OR(YearFilter="All",$E1474=YearFilter),OR(RatingFilter="All",$D1474=RatingFilter),OR(TypeFilter="All",$C1474=TypeFilter)),1,0)</f>
        <v/>
      </c>
    </row>
    <row r="1475" ht="15" customHeight="1" s="20">
      <c r="A1475" s="19" t="inlineStr">
        <is>
          <t>s4669</t>
        </is>
      </c>
      <c r="B1475" s="19" t="inlineStr">
        <is>
          <t>Independent Movies</t>
        </is>
      </c>
      <c r="C1475" s="19">
        <f>IFERROR(INDEX(tblNetflix[type],MATCH($A1475,tblNetflix[show_id],0)),"")</f>
        <v/>
      </c>
      <c r="D1475" s="19">
        <f>IFERROR(INDEX(tblNetflix[rating],MATCH($A1475,tblNetflix[show_id],0)),"")</f>
        <v/>
      </c>
      <c r="E1475" s="19">
        <f>IFERROR(INDEX(tblNetflix[year_added],MATCH($A1475,tblNetflix[show_id],0)),"")</f>
        <v/>
      </c>
      <c r="F1475" s="19">
        <f>IF(AND(OR(YearFilter="All",$E1475=YearFilter),OR(RatingFilter="All",$D1475=RatingFilter),OR(TypeFilter="All",$C1475=TypeFilter)),1,0)</f>
        <v/>
      </c>
    </row>
    <row r="1476" ht="15" customHeight="1" s="20">
      <c r="A1476" s="19" t="inlineStr">
        <is>
          <t>s4669</t>
        </is>
      </c>
      <c r="B1476" s="19" t="inlineStr">
        <is>
          <t>International Movies</t>
        </is>
      </c>
      <c r="C1476" s="19">
        <f>IFERROR(INDEX(tblNetflix[type],MATCH($A1476,tblNetflix[show_id],0)),"")</f>
        <v/>
      </c>
      <c r="D1476" s="19">
        <f>IFERROR(INDEX(tblNetflix[rating],MATCH($A1476,tblNetflix[show_id],0)),"")</f>
        <v/>
      </c>
      <c r="E1476" s="19">
        <f>IFERROR(INDEX(tblNetflix[year_added],MATCH($A1476,tblNetflix[show_id],0)),"")</f>
        <v/>
      </c>
      <c r="F1476" s="19">
        <f>IF(AND(OR(YearFilter="All",$E1476=YearFilter),OR(RatingFilter="All",$D1476=RatingFilter),OR(TypeFilter="All",$C1476=TypeFilter)),1,0)</f>
        <v/>
      </c>
    </row>
    <row r="1477" ht="15" customHeight="1" s="20">
      <c r="A1477" s="19" t="inlineStr">
        <is>
          <t>s4670</t>
        </is>
      </c>
      <c r="B1477" s="19" t="inlineStr">
        <is>
          <t>Dramas</t>
        </is>
      </c>
      <c r="C1477" s="19">
        <f>IFERROR(INDEX(tblNetflix[type],MATCH($A1477,tblNetflix[show_id],0)),"")</f>
        <v/>
      </c>
      <c r="D1477" s="19">
        <f>IFERROR(INDEX(tblNetflix[rating],MATCH($A1477,tblNetflix[show_id],0)),"")</f>
        <v/>
      </c>
      <c r="E1477" s="19">
        <f>IFERROR(INDEX(tblNetflix[year_added],MATCH($A1477,tblNetflix[show_id],0)),"")</f>
        <v/>
      </c>
      <c r="F1477" s="19">
        <f>IF(AND(OR(YearFilter="All",$E1477=YearFilter),OR(RatingFilter="All",$D1477=RatingFilter),OR(TypeFilter="All",$C1477=TypeFilter)),1,0)</f>
        <v/>
      </c>
    </row>
    <row r="1478" ht="15" customHeight="1" s="20">
      <c r="A1478" s="19" t="inlineStr">
        <is>
          <t>s4670</t>
        </is>
      </c>
      <c r="B1478" s="19" t="inlineStr">
        <is>
          <t>Independent Movies</t>
        </is>
      </c>
      <c r="C1478" s="19">
        <f>IFERROR(INDEX(tblNetflix[type],MATCH($A1478,tblNetflix[show_id],0)),"")</f>
        <v/>
      </c>
      <c r="D1478" s="19">
        <f>IFERROR(INDEX(tblNetflix[rating],MATCH($A1478,tblNetflix[show_id],0)),"")</f>
        <v/>
      </c>
      <c r="E1478" s="19">
        <f>IFERROR(INDEX(tblNetflix[year_added],MATCH($A1478,tblNetflix[show_id],0)),"")</f>
        <v/>
      </c>
      <c r="F1478" s="19">
        <f>IF(AND(OR(YearFilter="All",$E1478=YearFilter),OR(RatingFilter="All",$D1478=RatingFilter),OR(TypeFilter="All",$C1478=TypeFilter)),1,0)</f>
        <v/>
      </c>
    </row>
    <row r="1479" ht="15" customHeight="1" s="20">
      <c r="A1479" s="19" t="inlineStr">
        <is>
          <t>s4670</t>
        </is>
      </c>
      <c r="B1479" s="19" t="inlineStr">
        <is>
          <t>International Movies</t>
        </is>
      </c>
      <c r="C1479" s="19">
        <f>IFERROR(INDEX(tblNetflix[type],MATCH($A1479,tblNetflix[show_id],0)),"")</f>
        <v/>
      </c>
      <c r="D1479" s="19">
        <f>IFERROR(INDEX(tblNetflix[rating],MATCH($A1479,tblNetflix[show_id],0)),"")</f>
        <v/>
      </c>
      <c r="E1479" s="19">
        <f>IFERROR(INDEX(tblNetflix[year_added],MATCH($A1479,tblNetflix[show_id],0)),"")</f>
        <v/>
      </c>
      <c r="F1479" s="19">
        <f>IF(AND(OR(YearFilter="All",$E1479=YearFilter),OR(RatingFilter="All",$D1479=RatingFilter),OR(TypeFilter="All",$C1479=TypeFilter)),1,0)</f>
        <v/>
      </c>
    </row>
    <row r="1480" ht="15" customHeight="1" s="20">
      <c r="A1480" s="19" t="inlineStr">
        <is>
          <t>s4680</t>
        </is>
      </c>
      <c r="B1480" s="19" t="inlineStr">
        <is>
          <t>Action &amp; Adventure</t>
        </is>
      </c>
      <c r="C1480" s="19">
        <f>IFERROR(INDEX(tblNetflix[type],MATCH($A1480,tblNetflix[show_id],0)),"")</f>
        <v/>
      </c>
      <c r="D1480" s="19">
        <f>IFERROR(INDEX(tblNetflix[rating],MATCH($A1480,tblNetflix[show_id],0)),"")</f>
        <v/>
      </c>
      <c r="E1480" s="19">
        <f>IFERROR(INDEX(tblNetflix[year_added],MATCH($A1480,tblNetflix[show_id],0)),"")</f>
        <v/>
      </c>
      <c r="F1480" s="19">
        <f>IF(AND(OR(YearFilter="All",$E1480=YearFilter),OR(RatingFilter="All",$D1480=RatingFilter),OR(TypeFilter="All",$C1480=TypeFilter)),1,0)</f>
        <v/>
      </c>
    </row>
    <row r="1481" ht="15" customHeight="1" s="20">
      <c r="A1481" s="19" t="inlineStr">
        <is>
          <t>s4680</t>
        </is>
      </c>
      <c r="B1481" s="19" t="inlineStr">
        <is>
          <t>International Movies</t>
        </is>
      </c>
      <c r="C1481" s="19">
        <f>IFERROR(INDEX(tblNetflix[type],MATCH($A1481,tblNetflix[show_id],0)),"")</f>
        <v/>
      </c>
      <c r="D1481" s="19">
        <f>IFERROR(INDEX(tblNetflix[rating],MATCH($A1481,tblNetflix[show_id],0)),"")</f>
        <v/>
      </c>
      <c r="E1481" s="19">
        <f>IFERROR(INDEX(tblNetflix[year_added],MATCH($A1481,tblNetflix[show_id],0)),"")</f>
        <v/>
      </c>
      <c r="F1481" s="19">
        <f>IF(AND(OR(YearFilter="All",$E1481=YearFilter),OR(RatingFilter="All",$D1481=RatingFilter),OR(TypeFilter="All",$C1481=TypeFilter)),1,0)</f>
        <v/>
      </c>
    </row>
    <row r="1482" ht="15" customHeight="1" s="20">
      <c r="A1482" s="19" t="inlineStr">
        <is>
          <t>s4681</t>
        </is>
      </c>
      <c r="B1482" s="19" t="inlineStr">
        <is>
          <t>Comedies</t>
        </is>
      </c>
      <c r="C1482" s="19">
        <f>IFERROR(INDEX(tblNetflix[type],MATCH($A1482,tblNetflix[show_id],0)),"")</f>
        <v/>
      </c>
      <c r="D1482" s="19">
        <f>IFERROR(INDEX(tblNetflix[rating],MATCH($A1482,tblNetflix[show_id],0)),"")</f>
        <v/>
      </c>
      <c r="E1482" s="19">
        <f>IFERROR(INDEX(tblNetflix[year_added],MATCH($A1482,tblNetflix[show_id],0)),"")</f>
        <v/>
      </c>
      <c r="F1482" s="19">
        <f>IF(AND(OR(YearFilter="All",$E1482=YearFilter),OR(RatingFilter="All",$D1482=RatingFilter),OR(TypeFilter="All",$C1482=TypeFilter)),1,0)</f>
        <v/>
      </c>
    </row>
    <row r="1483" ht="15" customHeight="1" s="20">
      <c r="A1483" s="19" t="inlineStr">
        <is>
          <t>s4681</t>
        </is>
      </c>
      <c r="B1483" s="19" t="inlineStr">
        <is>
          <t>International Movies</t>
        </is>
      </c>
      <c r="C1483" s="19">
        <f>IFERROR(INDEX(tblNetflix[type],MATCH($A1483,tblNetflix[show_id],0)),"")</f>
        <v/>
      </c>
      <c r="D1483" s="19">
        <f>IFERROR(INDEX(tblNetflix[rating],MATCH($A1483,tblNetflix[show_id],0)),"")</f>
        <v/>
      </c>
      <c r="E1483" s="19">
        <f>IFERROR(INDEX(tblNetflix[year_added],MATCH($A1483,tblNetflix[show_id],0)),"")</f>
        <v/>
      </c>
      <c r="F1483" s="19">
        <f>IF(AND(OR(YearFilter="All",$E1483=YearFilter),OR(RatingFilter="All",$D1483=RatingFilter),OR(TypeFilter="All",$C1483=TypeFilter)),1,0)</f>
        <v/>
      </c>
    </row>
    <row r="1484" ht="15" customHeight="1" s="20">
      <c r="A1484" s="19" t="inlineStr">
        <is>
          <t>s4681</t>
        </is>
      </c>
      <c r="B1484" s="19" t="inlineStr">
        <is>
          <t>Romantic Movies</t>
        </is>
      </c>
      <c r="C1484" s="19">
        <f>IFERROR(INDEX(tblNetflix[type],MATCH($A1484,tblNetflix[show_id],0)),"")</f>
        <v/>
      </c>
      <c r="D1484" s="19">
        <f>IFERROR(INDEX(tblNetflix[rating],MATCH($A1484,tblNetflix[show_id],0)),"")</f>
        <v/>
      </c>
      <c r="E1484" s="19">
        <f>IFERROR(INDEX(tblNetflix[year_added],MATCH($A1484,tblNetflix[show_id],0)),"")</f>
        <v/>
      </c>
      <c r="F1484" s="19">
        <f>IF(AND(OR(YearFilter="All",$E1484=YearFilter),OR(RatingFilter="All",$D1484=RatingFilter),OR(TypeFilter="All",$C1484=TypeFilter)),1,0)</f>
        <v/>
      </c>
    </row>
    <row r="1485" ht="15" customHeight="1" s="20">
      <c r="A1485" s="19" t="inlineStr">
        <is>
          <t>s4682</t>
        </is>
      </c>
      <c r="B1485" s="19" t="inlineStr">
        <is>
          <t>Action &amp; Adventure</t>
        </is>
      </c>
      <c r="C1485" s="19">
        <f>IFERROR(INDEX(tblNetflix[type],MATCH($A1485,tblNetflix[show_id],0)),"")</f>
        <v/>
      </c>
      <c r="D1485" s="19">
        <f>IFERROR(INDEX(tblNetflix[rating],MATCH($A1485,tblNetflix[show_id],0)),"")</f>
        <v/>
      </c>
      <c r="E1485" s="19">
        <f>IFERROR(INDEX(tblNetflix[year_added],MATCH($A1485,tblNetflix[show_id],0)),"")</f>
        <v/>
      </c>
      <c r="F1485" s="19">
        <f>IF(AND(OR(YearFilter="All",$E1485=YearFilter),OR(RatingFilter="All",$D1485=RatingFilter),OR(TypeFilter="All",$C1485=TypeFilter)),1,0)</f>
        <v/>
      </c>
    </row>
    <row r="1486" ht="15" customHeight="1" s="20">
      <c r="A1486" s="19" t="inlineStr">
        <is>
          <t>s4682</t>
        </is>
      </c>
      <c r="B1486" s="19" t="inlineStr">
        <is>
          <t>International Movies</t>
        </is>
      </c>
      <c r="C1486" s="19">
        <f>IFERROR(INDEX(tblNetflix[type],MATCH($A1486,tblNetflix[show_id],0)),"")</f>
        <v/>
      </c>
      <c r="D1486" s="19">
        <f>IFERROR(INDEX(tblNetflix[rating],MATCH($A1486,tblNetflix[show_id],0)),"")</f>
        <v/>
      </c>
      <c r="E1486" s="19">
        <f>IFERROR(INDEX(tblNetflix[year_added],MATCH($A1486,tblNetflix[show_id],0)),"")</f>
        <v/>
      </c>
      <c r="F1486" s="19">
        <f>IF(AND(OR(YearFilter="All",$E1486=YearFilter),OR(RatingFilter="All",$D1486=RatingFilter),OR(TypeFilter="All",$C1486=TypeFilter)),1,0)</f>
        <v/>
      </c>
    </row>
    <row r="1487" ht="15" customHeight="1" s="20">
      <c r="A1487" s="19" t="inlineStr">
        <is>
          <t>s4686</t>
        </is>
      </c>
      <c r="B1487" s="19" t="inlineStr">
        <is>
          <t>International TV Shows</t>
        </is>
      </c>
      <c r="C1487" s="19">
        <f>IFERROR(INDEX(tblNetflix[type],MATCH($A1487,tblNetflix[show_id],0)),"")</f>
        <v/>
      </c>
      <c r="D1487" s="19">
        <f>IFERROR(INDEX(tblNetflix[rating],MATCH($A1487,tblNetflix[show_id],0)),"")</f>
        <v/>
      </c>
      <c r="E1487" s="19">
        <f>IFERROR(INDEX(tblNetflix[year_added],MATCH($A1487,tblNetflix[show_id],0)),"")</f>
        <v/>
      </c>
      <c r="F1487" s="19">
        <f>IF(AND(OR(YearFilter="All",$E1487=YearFilter),OR(RatingFilter="All",$D1487=RatingFilter),OR(TypeFilter="All",$C1487=TypeFilter)),1,0)</f>
        <v/>
      </c>
    </row>
    <row r="1488" ht="15" customHeight="1" s="20">
      <c r="A1488" s="19" t="inlineStr">
        <is>
          <t>s4686</t>
        </is>
      </c>
      <c r="B1488" s="19" t="inlineStr">
        <is>
          <t>TV Dramas</t>
        </is>
      </c>
      <c r="C1488" s="19">
        <f>IFERROR(INDEX(tblNetflix[type],MATCH($A1488,tblNetflix[show_id],0)),"")</f>
        <v/>
      </c>
      <c r="D1488" s="19">
        <f>IFERROR(INDEX(tblNetflix[rating],MATCH($A1488,tblNetflix[show_id],0)),"")</f>
        <v/>
      </c>
      <c r="E1488" s="19">
        <f>IFERROR(INDEX(tblNetflix[year_added],MATCH($A1488,tblNetflix[show_id],0)),"")</f>
        <v/>
      </c>
      <c r="F1488" s="19">
        <f>IF(AND(OR(YearFilter="All",$E1488=YearFilter),OR(RatingFilter="All",$D1488=RatingFilter),OR(TypeFilter="All",$C1488=TypeFilter)),1,0)</f>
        <v/>
      </c>
    </row>
    <row r="1489" ht="15" customHeight="1" s="20">
      <c r="A1489" s="19" t="inlineStr">
        <is>
          <t>s4686</t>
        </is>
      </c>
      <c r="B1489" s="19" t="inlineStr">
        <is>
          <t>TV Horror</t>
        </is>
      </c>
      <c r="C1489" s="19">
        <f>IFERROR(INDEX(tblNetflix[type],MATCH($A1489,tblNetflix[show_id],0)),"")</f>
        <v/>
      </c>
      <c r="D1489" s="19">
        <f>IFERROR(INDEX(tblNetflix[rating],MATCH($A1489,tblNetflix[show_id],0)),"")</f>
        <v/>
      </c>
      <c r="E1489" s="19">
        <f>IFERROR(INDEX(tblNetflix[year_added],MATCH($A1489,tblNetflix[show_id],0)),"")</f>
        <v/>
      </c>
      <c r="F1489" s="19">
        <f>IF(AND(OR(YearFilter="All",$E1489=YearFilter),OR(RatingFilter="All",$D1489=RatingFilter),OR(TypeFilter="All",$C1489=TypeFilter)),1,0)</f>
        <v/>
      </c>
    </row>
    <row r="1490" ht="15" customHeight="1" s="20">
      <c r="A1490" s="19" t="inlineStr">
        <is>
          <t>s4691</t>
        </is>
      </c>
      <c r="B1490" s="19" t="inlineStr">
        <is>
          <t>Comedies</t>
        </is>
      </c>
      <c r="C1490" s="19">
        <f>IFERROR(INDEX(tblNetflix[type],MATCH($A1490,tblNetflix[show_id],0)),"")</f>
        <v/>
      </c>
      <c r="D1490" s="19">
        <f>IFERROR(INDEX(tblNetflix[rating],MATCH($A1490,tblNetflix[show_id],0)),"")</f>
        <v/>
      </c>
      <c r="E1490" s="19">
        <f>IFERROR(INDEX(tblNetflix[year_added],MATCH($A1490,tblNetflix[show_id],0)),"")</f>
        <v/>
      </c>
      <c r="F1490" s="19">
        <f>IF(AND(OR(YearFilter="All",$E1490=YearFilter),OR(RatingFilter="All",$D1490=RatingFilter),OR(TypeFilter="All",$C1490=TypeFilter)),1,0)</f>
        <v/>
      </c>
    </row>
    <row r="1491" ht="15" customHeight="1" s="20">
      <c r="A1491" s="19" t="inlineStr">
        <is>
          <t>s4691</t>
        </is>
      </c>
      <c r="B1491" s="19" t="inlineStr">
        <is>
          <t>Dramas</t>
        </is>
      </c>
      <c r="C1491" s="19">
        <f>IFERROR(INDEX(tblNetflix[type],MATCH($A1491,tblNetflix[show_id],0)),"")</f>
        <v/>
      </c>
      <c r="D1491" s="19">
        <f>IFERROR(INDEX(tblNetflix[rating],MATCH($A1491,tblNetflix[show_id],0)),"")</f>
        <v/>
      </c>
      <c r="E1491" s="19">
        <f>IFERROR(INDEX(tblNetflix[year_added],MATCH($A1491,tblNetflix[show_id],0)),"")</f>
        <v/>
      </c>
      <c r="F1491" s="19">
        <f>IF(AND(OR(YearFilter="All",$E1491=YearFilter),OR(RatingFilter="All",$D1491=RatingFilter),OR(TypeFilter="All",$C1491=TypeFilter)),1,0)</f>
        <v/>
      </c>
    </row>
    <row r="1492" ht="15" customHeight="1" s="20">
      <c r="A1492" s="19" t="inlineStr">
        <is>
          <t>s4691</t>
        </is>
      </c>
      <c r="B1492" s="19" t="inlineStr">
        <is>
          <t>International Movies</t>
        </is>
      </c>
      <c r="C1492" s="19">
        <f>IFERROR(INDEX(tblNetflix[type],MATCH($A1492,tblNetflix[show_id],0)),"")</f>
        <v/>
      </c>
      <c r="D1492" s="19">
        <f>IFERROR(INDEX(tblNetflix[rating],MATCH($A1492,tblNetflix[show_id],0)),"")</f>
        <v/>
      </c>
      <c r="E1492" s="19">
        <f>IFERROR(INDEX(tblNetflix[year_added],MATCH($A1492,tblNetflix[show_id],0)),"")</f>
        <v/>
      </c>
      <c r="F1492" s="19">
        <f>IF(AND(OR(YearFilter="All",$E1492=YearFilter),OR(RatingFilter="All",$D1492=RatingFilter),OR(TypeFilter="All",$C1492=TypeFilter)),1,0)</f>
        <v/>
      </c>
    </row>
    <row r="1493" ht="15" customHeight="1" s="20">
      <c r="A1493" s="19" t="inlineStr">
        <is>
          <t>s4692</t>
        </is>
      </c>
      <c r="B1493" s="19" t="inlineStr">
        <is>
          <t>Action &amp; Adventure</t>
        </is>
      </c>
      <c r="C1493" s="19">
        <f>IFERROR(INDEX(tblNetflix[type],MATCH($A1493,tblNetflix[show_id],0)),"")</f>
        <v/>
      </c>
      <c r="D1493" s="19">
        <f>IFERROR(INDEX(tblNetflix[rating],MATCH($A1493,tblNetflix[show_id],0)),"")</f>
        <v/>
      </c>
      <c r="E1493" s="19">
        <f>IFERROR(INDEX(tblNetflix[year_added],MATCH($A1493,tblNetflix[show_id],0)),"")</f>
        <v/>
      </c>
      <c r="F1493" s="19">
        <f>IF(AND(OR(YearFilter="All",$E1493=YearFilter),OR(RatingFilter="All",$D1493=RatingFilter),OR(TypeFilter="All",$C1493=TypeFilter)),1,0)</f>
        <v/>
      </c>
    </row>
    <row r="1494" ht="15" customHeight="1" s="20">
      <c r="A1494" s="19" t="inlineStr">
        <is>
          <t>s4692</t>
        </is>
      </c>
      <c r="B1494" s="19" t="inlineStr">
        <is>
          <t>Dramas</t>
        </is>
      </c>
      <c r="C1494" s="19">
        <f>IFERROR(INDEX(tblNetflix[type],MATCH($A1494,tblNetflix[show_id],0)),"")</f>
        <v/>
      </c>
      <c r="D1494" s="19">
        <f>IFERROR(INDEX(tblNetflix[rating],MATCH($A1494,tblNetflix[show_id],0)),"")</f>
        <v/>
      </c>
      <c r="E1494" s="19">
        <f>IFERROR(INDEX(tblNetflix[year_added],MATCH($A1494,tblNetflix[show_id],0)),"")</f>
        <v/>
      </c>
      <c r="F1494" s="19">
        <f>IF(AND(OR(YearFilter="All",$E1494=YearFilter),OR(RatingFilter="All",$D1494=RatingFilter),OR(TypeFilter="All",$C1494=TypeFilter)),1,0)</f>
        <v/>
      </c>
    </row>
    <row r="1495" ht="15" customHeight="1" s="20">
      <c r="A1495" s="19" t="inlineStr">
        <is>
          <t>s4692</t>
        </is>
      </c>
      <c r="B1495" s="19" t="inlineStr">
        <is>
          <t>International Movies</t>
        </is>
      </c>
      <c r="C1495" s="19">
        <f>IFERROR(INDEX(tblNetflix[type],MATCH($A1495,tblNetflix[show_id],0)),"")</f>
        <v/>
      </c>
      <c r="D1495" s="19">
        <f>IFERROR(INDEX(tblNetflix[rating],MATCH($A1495,tblNetflix[show_id],0)),"")</f>
        <v/>
      </c>
      <c r="E1495" s="19">
        <f>IFERROR(INDEX(tblNetflix[year_added],MATCH($A1495,tblNetflix[show_id],0)),"")</f>
        <v/>
      </c>
      <c r="F1495" s="19">
        <f>IF(AND(OR(YearFilter="All",$E1495=YearFilter),OR(RatingFilter="All",$D1495=RatingFilter),OR(TypeFilter="All",$C1495=TypeFilter)),1,0)</f>
        <v/>
      </c>
    </row>
    <row r="1496" ht="15" customHeight="1" s="20">
      <c r="A1496" s="19" t="inlineStr">
        <is>
          <t>s4693</t>
        </is>
      </c>
      <c r="B1496" s="19" t="inlineStr">
        <is>
          <t>Dramas</t>
        </is>
      </c>
      <c r="C1496" s="19">
        <f>IFERROR(INDEX(tblNetflix[type],MATCH($A1496,tblNetflix[show_id],0)),"")</f>
        <v/>
      </c>
      <c r="D1496" s="19">
        <f>IFERROR(INDEX(tblNetflix[rating],MATCH($A1496,tblNetflix[show_id],0)),"")</f>
        <v/>
      </c>
      <c r="E1496" s="19">
        <f>IFERROR(INDEX(tblNetflix[year_added],MATCH($A1496,tblNetflix[show_id],0)),"")</f>
        <v/>
      </c>
      <c r="F1496" s="19">
        <f>IF(AND(OR(YearFilter="All",$E1496=YearFilter),OR(RatingFilter="All",$D1496=RatingFilter),OR(TypeFilter="All",$C1496=TypeFilter)),1,0)</f>
        <v/>
      </c>
    </row>
    <row r="1497" ht="15" customHeight="1" s="20">
      <c r="A1497" s="19" t="inlineStr">
        <is>
          <t>s4693</t>
        </is>
      </c>
      <c r="B1497" s="19" t="inlineStr">
        <is>
          <t>International Movies</t>
        </is>
      </c>
      <c r="C1497" s="19">
        <f>IFERROR(INDEX(tblNetflix[type],MATCH($A1497,tblNetflix[show_id],0)),"")</f>
        <v/>
      </c>
      <c r="D1497" s="19">
        <f>IFERROR(INDEX(tblNetflix[rating],MATCH($A1497,tblNetflix[show_id],0)),"")</f>
        <v/>
      </c>
      <c r="E1497" s="19">
        <f>IFERROR(INDEX(tblNetflix[year_added],MATCH($A1497,tblNetflix[show_id],0)),"")</f>
        <v/>
      </c>
      <c r="F1497" s="19">
        <f>IF(AND(OR(YearFilter="All",$E1497=YearFilter),OR(RatingFilter="All",$D1497=RatingFilter),OR(TypeFilter="All",$C1497=TypeFilter)),1,0)</f>
        <v/>
      </c>
    </row>
    <row r="1498" ht="15" customHeight="1" s="20">
      <c r="A1498" s="19" t="inlineStr">
        <is>
          <t>s4693</t>
        </is>
      </c>
      <c r="B1498" s="19" t="inlineStr">
        <is>
          <t>Thrillers</t>
        </is>
      </c>
      <c r="C1498" s="19">
        <f>IFERROR(INDEX(tblNetflix[type],MATCH($A1498,tblNetflix[show_id],0)),"")</f>
        <v/>
      </c>
      <c r="D1498" s="19">
        <f>IFERROR(INDEX(tblNetflix[rating],MATCH($A1498,tblNetflix[show_id],0)),"")</f>
        <v/>
      </c>
      <c r="E1498" s="19">
        <f>IFERROR(INDEX(tblNetflix[year_added],MATCH($A1498,tblNetflix[show_id],0)),"")</f>
        <v/>
      </c>
      <c r="F1498" s="19">
        <f>IF(AND(OR(YearFilter="All",$E1498=YearFilter),OR(RatingFilter="All",$D1498=RatingFilter),OR(TypeFilter="All",$C1498=TypeFilter)),1,0)</f>
        <v/>
      </c>
    </row>
    <row r="1499" ht="15" customHeight="1" s="20">
      <c r="A1499" s="19" t="inlineStr">
        <is>
          <t>s4694</t>
        </is>
      </c>
      <c r="B1499" s="19" t="inlineStr">
        <is>
          <t>Dramas</t>
        </is>
      </c>
      <c r="C1499" s="19">
        <f>IFERROR(INDEX(tblNetflix[type],MATCH($A1499,tblNetflix[show_id],0)),"")</f>
        <v/>
      </c>
      <c r="D1499" s="19">
        <f>IFERROR(INDEX(tblNetflix[rating],MATCH($A1499,tblNetflix[show_id],0)),"")</f>
        <v/>
      </c>
      <c r="E1499" s="19">
        <f>IFERROR(INDEX(tblNetflix[year_added],MATCH($A1499,tblNetflix[show_id],0)),"")</f>
        <v/>
      </c>
      <c r="F1499" s="19">
        <f>IF(AND(OR(YearFilter="All",$E1499=YearFilter),OR(RatingFilter="All",$D1499=RatingFilter),OR(TypeFilter="All",$C1499=TypeFilter)),1,0)</f>
        <v/>
      </c>
    </row>
    <row r="1500" ht="15" customHeight="1" s="20">
      <c r="A1500" s="19" t="inlineStr">
        <is>
          <t>s4694</t>
        </is>
      </c>
      <c r="B1500" s="19" t="inlineStr">
        <is>
          <t>International Movies</t>
        </is>
      </c>
      <c r="C1500" s="19">
        <f>IFERROR(INDEX(tblNetflix[type],MATCH($A1500,tblNetflix[show_id],0)),"")</f>
        <v/>
      </c>
      <c r="D1500" s="19">
        <f>IFERROR(INDEX(tblNetflix[rating],MATCH($A1500,tblNetflix[show_id],0)),"")</f>
        <v/>
      </c>
      <c r="E1500" s="19">
        <f>IFERROR(INDEX(tblNetflix[year_added],MATCH($A1500,tblNetflix[show_id],0)),"")</f>
        <v/>
      </c>
      <c r="F1500" s="19">
        <f>IF(AND(OR(YearFilter="All",$E1500=YearFilter),OR(RatingFilter="All",$D1500=RatingFilter),OR(TypeFilter="All",$C1500=TypeFilter)),1,0)</f>
        <v/>
      </c>
    </row>
    <row r="1501" ht="15" customHeight="1" s="20">
      <c r="A1501" s="19" t="inlineStr">
        <is>
          <t>s4694</t>
        </is>
      </c>
      <c r="B1501" s="19" t="inlineStr">
        <is>
          <t>Romantic Movies</t>
        </is>
      </c>
      <c r="C1501" s="19">
        <f>IFERROR(INDEX(tblNetflix[type],MATCH($A1501,tblNetflix[show_id],0)),"")</f>
        <v/>
      </c>
      <c r="D1501" s="19">
        <f>IFERROR(INDEX(tblNetflix[rating],MATCH($A1501,tblNetflix[show_id],0)),"")</f>
        <v/>
      </c>
      <c r="E1501" s="19">
        <f>IFERROR(INDEX(tblNetflix[year_added],MATCH($A1501,tblNetflix[show_id],0)),"")</f>
        <v/>
      </c>
      <c r="F1501" s="19">
        <f>IF(AND(OR(YearFilter="All",$E1501=YearFilter),OR(RatingFilter="All",$D1501=RatingFilter),OR(TypeFilter="All",$C1501=TypeFilter)),1,0)</f>
        <v/>
      </c>
    </row>
    <row r="1502" ht="15" customHeight="1" s="20">
      <c r="A1502" s="19" t="inlineStr">
        <is>
          <t>s4695</t>
        </is>
      </c>
      <c r="B1502" s="19" t="inlineStr">
        <is>
          <t>Comedies</t>
        </is>
      </c>
      <c r="C1502" s="19">
        <f>IFERROR(INDEX(tblNetflix[type],MATCH($A1502,tblNetflix[show_id],0)),"")</f>
        <v/>
      </c>
      <c r="D1502" s="19">
        <f>IFERROR(INDEX(tblNetflix[rating],MATCH($A1502,tblNetflix[show_id],0)),"")</f>
        <v/>
      </c>
      <c r="E1502" s="19">
        <f>IFERROR(INDEX(tblNetflix[year_added],MATCH($A1502,tblNetflix[show_id],0)),"")</f>
        <v/>
      </c>
      <c r="F1502" s="19">
        <f>IF(AND(OR(YearFilter="All",$E1502=YearFilter),OR(RatingFilter="All",$D1502=RatingFilter),OR(TypeFilter="All",$C1502=TypeFilter)),1,0)</f>
        <v/>
      </c>
    </row>
    <row r="1503" ht="15" customHeight="1" s="20">
      <c r="A1503" s="19" t="inlineStr">
        <is>
          <t>s4695</t>
        </is>
      </c>
      <c r="B1503" s="19" t="inlineStr">
        <is>
          <t>Dramas</t>
        </is>
      </c>
      <c r="C1503" s="19">
        <f>IFERROR(INDEX(tblNetflix[type],MATCH($A1503,tblNetflix[show_id],0)),"")</f>
        <v/>
      </c>
      <c r="D1503" s="19">
        <f>IFERROR(INDEX(tblNetflix[rating],MATCH($A1503,tblNetflix[show_id],0)),"")</f>
        <v/>
      </c>
      <c r="E1503" s="19">
        <f>IFERROR(INDEX(tblNetflix[year_added],MATCH($A1503,tblNetflix[show_id],0)),"")</f>
        <v/>
      </c>
      <c r="F1503" s="19">
        <f>IF(AND(OR(YearFilter="All",$E1503=YearFilter),OR(RatingFilter="All",$D1503=RatingFilter),OR(TypeFilter="All",$C1503=TypeFilter)),1,0)</f>
        <v/>
      </c>
    </row>
    <row r="1504" ht="15" customHeight="1" s="20">
      <c r="A1504" s="19" t="inlineStr">
        <is>
          <t>s4695</t>
        </is>
      </c>
      <c r="B1504" s="19" t="inlineStr">
        <is>
          <t>International Movies</t>
        </is>
      </c>
      <c r="C1504" s="19">
        <f>IFERROR(INDEX(tblNetflix[type],MATCH($A1504,tblNetflix[show_id],0)),"")</f>
        <v/>
      </c>
      <c r="D1504" s="19">
        <f>IFERROR(INDEX(tblNetflix[rating],MATCH($A1504,tblNetflix[show_id],0)),"")</f>
        <v/>
      </c>
      <c r="E1504" s="19">
        <f>IFERROR(INDEX(tblNetflix[year_added],MATCH($A1504,tblNetflix[show_id],0)),"")</f>
        <v/>
      </c>
      <c r="F1504" s="19">
        <f>IF(AND(OR(YearFilter="All",$E1504=YearFilter),OR(RatingFilter="All",$D1504=RatingFilter),OR(TypeFilter="All",$C1504=TypeFilter)),1,0)</f>
        <v/>
      </c>
    </row>
    <row r="1505" ht="15" customHeight="1" s="20">
      <c r="A1505" s="19" t="inlineStr">
        <is>
          <t>s4701</t>
        </is>
      </c>
      <c r="B1505" s="19" t="inlineStr">
        <is>
          <t>Dramas</t>
        </is>
      </c>
      <c r="C1505" s="19">
        <f>IFERROR(INDEX(tblNetflix[type],MATCH($A1505,tblNetflix[show_id],0)),"")</f>
        <v/>
      </c>
      <c r="D1505" s="19">
        <f>IFERROR(INDEX(tblNetflix[rating],MATCH($A1505,tblNetflix[show_id],0)),"")</f>
        <v/>
      </c>
      <c r="E1505" s="19">
        <f>IFERROR(INDEX(tblNetflix[year_added],MATCH($A1505,tblNetflix[show_id],0)),"")</f>
        <v/>
      </c>
      <c r="F1505" s="19">
        <f>IF(AND(OR(YearFilter="All",$E1505=YearFilter),OR(RatingFilter="All",$D1505=RatingFilter),OR(TypeFilter="All",$C1505=TypeFilter)),1,0)</f>
        <v/>
      </c>
    </row>
    <row r="1506" ht="15" customHeight="1" s="20">
      <c r="A1506" s="19" t="inlineStr">
        <is>
          <t>s4701</t>
        </is>
      </c>
      <c r="B1506" s="19" t="inlineStr">
        <is>
          <t>International Movies</t>
        </is>
      </c>
      <c r="C1506" s="19">
        <f>IFERROR(INDEX(tblNetflix[type],MATCH($A1506,tblNetflix[show_id],0)),"")</f>
        <v/>
      </c>
      <c r="D1506" s="19">
        <f>IFERROR(INDEX(tblNetflix[rating],MATCH($A1506,tblNetflix[show_id],0)),"")</f>
        <v/>
      </c>
      <c r="E1506" s="19">
        <f>IFERROR(INDEX(tblNetflix[year_added],MATCH($A1506,tblNetflix[show_id],0)),"")</f>
        <v/>
      </c>
      <c r="F1506" s="19">
        <f>IF(AND(OR(YearFilter="All",$E1506=YearFilter),OR(RatingFilter="All",$D1506=RatingFilter),OR(TypeFilter="All",$C1506=TypeFilter)),1,0)</f>
        <v/>
      </c>
    </row>
    <row r="1507" ht="15" customHeight="1" s="20">
      <c r="A1507" s="19" t="inlineStr">
        <is>
          <t>s4701</t>
        </is>
      </c>
      <c r="B1507" s="19" t="inlineStr">
        <is>
          <t>Sci-Fi &amp; Fantasy</t>
        </is>
      </c>
      <c r="C1507" s="19">
        <f>IFERROR(INDEX(tblNetflix[type],MATCH($A1507,tblNetflix[show_id],0)),"")</f>
        <v/>
      </c>
      <c r="D1507" s="19">
        <f>IFERROR(INDEX(tblNetflix[rating],MATCH($A1507,tblNetflix[show_id],0)),"")</f>
        <v/>
      </c>
      <c r="E1507" s="19">
        <f>IFERROR(INDEX(tblNetflix[year_added],MATCH($A1507,tblNetflix[show_id],0)),"")</f>
        <v/>
      </c>
      <c r="F1507" s="19">
        <f>IF(AND(OR(YearFilter="All",$E1507=YearFilter),OR(RatingFilter="All",$D1507=RatingFilter),OR(TypeFilter="All",$C1507=TypeFilter)),1,0)</f>
        <v/>
      </c>
    </row>
    <row r="1508" ht="15" customHeight="1" s="20">
      <c r="A1508" s="19" t="inlineStr">
        <is>
          <t>s4702</t>
        </is>
      </c>
      <c r="B1508" s="19" t="inlineStr">
        <is>
          <t>Comedies</t>
        </is>
      </c>
      <c r="C1508" s="19">
        <f>IFERROR(INDEX(tblNetflix[type],MATCH($A1508,tblNetflix[show_id],0)),"")</f>
        <v/>
      </c>
      <c r="D1508" s="19">
        <f>IFERROR(INDEX(tblNetflix[rating],MATCH($A1508,tblNetflix[show_id],0)),"")</f>
        <v/>
      </c>
      <c r="E1508" s="19">
        <f>IFERROR(INDEX(tblNetflix[year_added],MATCH($A1508,tblNetflix[show_id],0)),"")</f>
        <v/>
      </c>
      <c r="F1508" s="19">
        <f>IF(AND(OR(YearFilter="All",$E1508=YearFilter),OR(RatingFilter="All",$D1508=RatingFilter),OR(TypeFilter="All",$C1508=TypeFilter)),1,0)</f>
        <v/>
      </c>
    </row>
    <row r="1509" ht="15" customHeight="1" s="20">
      <c r="A1509" s="19" t="inlineStr">
        <is>
          <t>s4702</t>
        </is>
      </c>
      <c r="B1509" s="19" t="inlineStr">
        <is>
          <t>Dramas</t>
        </is>
      </c>
      <c r="C1509" s="19">
        <f>IFERROR(INDEX(tblNetflix[type],MATCH($A1509,tblNetflix[show_id],0)),"")</f>
        <v/>
      </c>
      <c r="D1509" s="19">
        <f>IFERROR(INDEX(tblNetflix[rating],MATCH($A1509,tblNetflix[show_id],0)),"")</f>
        <v/>
      </c>
      <c r="E1509" s="19">
        <f>IFERROR(INDEX(tblNetflix[year_added],MATCH($A1509,tblNetflix[show_id],0)),"")</f>
        <v/>
      </c>
      <c r="F1509" s="19">
        <f>IF(AND(OR(YearFilter="All",$E1509=YearFilter),OR(RatingFilter="All",$D1509=RatingFilter),OR(TypeFilter="All",$C1509=TypeFilter)),1,0)</f>
        <v/>
      </c>
    </row>
    <row r="1510" ht="15" customHeight="1" s="20">
      <c r="A1510" s="19" t="inlineStr">
        <is>
          <t>s4702</t>
        </is>
      </c>
      <c r="B1510" s="19" t="inlineStr">
        <is>
          <t>Independent Movies</t>
        </is>
      </c>
      <c r="C1510" s="19">
        <f>IFERROR(INDEX(tblNetflix[type],MATCH($A1510,tblNetflix[show_id],0)),"")</f>
        <v/>
      </c>
      <c r="D1510" s="19">
        <f>IFERROR(INDEX(tblNetflix[rating],MATCH($A1510,tblNetflix[show_id],0)),"")</f>
        <v/>
      </c>
      <c r="E1510" s="19">
        <f>IFERROR(INDEX(tblNetflix[year_added],MATCH($A1510,tblNetflix[show_id],0)),"")</f>
        <v/>
      </c>
      <c r="F1510" s="19">
        <f>IF(AND(OR(YearFilter="All",$E1510=YearFilter),OR(RatingFilter="All",$D1510=RatingFilter),OR(TypeFilter="All",$C1510=TypeFilter)),1,0)</f>
        <v/>
      </c>
    </row>
    <row r="1511" ht="15" customHeight="1" s="20">
      <c r="A1511" s="19" t="inlineStr">
        <is>
          <t>s4713</t>
        </is>
      </c>
      <c r="B1511" s="19" t="inlineStr">
        <is>
          <t>Comedies</t>
        </is>
      </c>
      <c r="C1511" s="19">
        <f>IFERROR(INDEX(tblNetflix[type],MATCH($A1511,tblNetflix[show_id],0)),"")</f>
        <v/>
      </c>
      <c r="D1511" s="19">
        <f>IFERROR(INDEX(tblNetflix[rating],MATCH($A1511,tblNetflix[show_id],0)),"")</f>
        <v/>
      </c>
      <c r="E1511" s="19">
        <f>IFERROR(INDEX(tblNetflix[year_added],MATCH($A1511,tblNetflix[show_id],0)),"")</f>
        <v/>
      </c>
      <c r="F1511" s="19">
        <f>IF(AND(OR(YearFilter="All",$E1511=YearFilter),OR(RatingFilter="All",$D1511=RatingFilter),OR(TypeFilter="All",$C1511=TypeFilter)),1,0)</f>
        <v/>
      </c>
    </row>
    <row r="1512" ht="15" customHeight="1" s="20">
      <c r="A1512" s="19" t="inlineStr">
        <is>
          <t>s4713</t>
        </is>
      </c>
      <c r="B1512" s="19" t="inlineStr">
        <is>
          <t>Dramas</t>
        </is>
      </c>
      <c r="C1512" s="19">
        <f>IFERROR(INDEX(tblNetflix[type],MATCH($A1512,tblNetflix[show_id],0)),"")</f>
        <v/>
      </c>
      <c r="D1512" s="19">
        <f>IFERROR(INDEX(tblNetflix[rating],MATCH($A1512,tblNetflix[show_id],0)),"")</f>
        <v/>
      </c>
      <c r="E1512" s="19">
        <f>IFERROR(INDEX(tblNetflix[year_added],MATCH($A1512,tblNetflix[show_id],0)),"")</f>
        <v/>
      </c>
      <c r="F1512" s="19">
        <f>IF(AND(OR(YearFilter="All",$E1512=YearFilter),OR(RatingFilter="All",$D1512=RatingFilter),OR(TypeFilter="All",$C1512=TypeFilter)),1,0)</f>
        <v/>
      </c>
    </row>
    <row r="1513" ht="15" customHeight="1" s="20">
      <c r="A1513" s="19" t="inlineStr">
        <is>
          <t>s4713</t>
        </is>
      </c>
      <c r="B1513" s="19" t="inlineStr">
        <is>
          <t>International Movies</t>
        </is>
      </c>
      <c r="C1513" s="19">
        <f>IFERROR(INDEX(tblNetflix[type],MATCH($A1513,tblNetflix[show_id],0)),"")</f>
        <v/>
      </c>
      <c r="D1513" s="19">
        <f>IFERROR(INDEX(tblNetflix[rating],MATCH($A1513,tblNetflix[show_id],0)),"")</f>
        <v/>
      </c>
      <c r="E1513" s="19">
        <f>IFERROR(INDEX(tblNetflix[year_added],MATCH($A1513,tblNetflix[show_id],0)),"")</f>
        <v/>
      </c>
      <c r="F1513" s="19">
        <f>IF(AND(OR(YearFilter="All",$E1513=YearFilter),OR(RatingFilter="All",$D1513=RatingFilter),OR(TypeFilter="All",$C1513=TypeFilter)),1,0)</f>
        <v/>
      </c>
    </row>
    <row r="1514" ht="15" customHeight="1" s="20">
      <c r="A1514" s="19" t="inlineStr">
        <is>
          <t>s4714</t>
        </is>
      </c>
      <c r="B1514" s="19" t="inlineStr">
        <is>
          <t>Action &amp; Adventure</t>
        </is>
      </c>
      <c r="C1514" s="19">
        <f>IFERROR(INDEX(tblNetflix[type],MATCH($A1514,tblNetflix[show_id],0)),"")</f>
        <v/>
      </c>
      <c r="D1514" s="19">
        <f>IFERROR(INDEX(tblNetflix[rating],MATCH($A1514,tblNetflix[show_id],0)),"")</f>
        <v/>
      </c>
      <c r="E1514" s="19">
        <f>IFERROR(INDEX(tblNetflix[year_added],MATCH($A1514,tblNetflix[show_id],0)),"")</f>
        <v/>
      </c>
      <c r="F1514" s="19">
        <f>IF(AND(OR(YearFilter="All",$E1514=YearFilter),OR(RatingFilter="All",$D1514=RatingFilter),OR(TypeFilter="All",$C1514=TypeFilter)),1,0)</f>
        <v/>
      </c>
    </row>
    <row r="1515" ht="15" customHeight="1" s="20">
      <c r="A1515" s="19" t="inlineStr">
        <is>
          <t>s4714</t>
        </is>
      </c>
      <c r="B1515" s="19" t="inlineStr">
        <is>
          <t>International Movies</t>
        </is>
      </c>
      <c r="C1515" s="19">
        <f>IFERROR(INDEX(tblNetflix[type],MATCH($A1515,tblNetflix[show_id],0)),"")</f>
        <v/>
      </c>
      <c r="D1515" s="19">
        <f>IFERROR(INDEX(tblNetflix[rating],MATCH($A1515,tblNetflix[show_id],0)),"")</f>
        <v/>
      </c>
      <c r="E1515" s="19">
        <f>IFERROR(INDEX(tblNetflix[year_added],MATCH($A1515,tblNetflix[show_id],0)),"")</f>
        <v/>
      </c>
      <c r="F1515" s="19">
        <f>IF(AND(OR(YearFilter="All",$E1515=YearFilter),OR(RatingFilter="All",$D1515=RatingFilter),OR(TypeFilter="All",$C1515=TypeFilter)),1,0)</f>
        <v/>
      </c>
    </row>
    <row r="1516" ht="15" customHeight="1" s="20">
      <c r="A1516" s="19" t="inlineStr">
        <is>
          <t>s4715</t>
        </is>
      </c>
      <c r="B1516" s="19" t="inlineStr">
        <is>
          <t>Comedies</t>
        </is>
      </c>
      <c r="C1516" s="19">
        <f>IFERROR(INDEX(tblNetflix[type],MATCH($A1516,tblNetflix[show_id],0)),"")</f>
        <v/>
      </c>
      <c r="D1516" s="19">
        <f>IFERROR(INDEX(tblNetflix[rating],MATCH($A1516,tblNetflix[show_id],0)),"")</f>
        <v/>
      </c>
      <c r="E1516" s="19">
        <f>IFERROR(INDEX(tblNetflix[year_added],MATCH($A1516,tblNetflix[show_id],0)),"")</f>
        <v/>
      </c>
      <c r="F1516" s="19">
        <f>IF(AND(OR(YearFilter="All",$E1516=YearFilter),OR(RatingFilter="All",$D1516=RatingFilter),OR(TypeFilter="All",$C1516=TypeFilter)),1,0)</f>
        <v/>
      </c>
    </row>
    <row r="1517" ht="15" customHeight="1" s="20">
      <c r="A1517" s="19" t="inlineStr">
        <is>
          <t>s4715</t>
        </is>
      </c>
      <c r="B1517" s="19" t="inlineStr">
        <is>
          <t>Dramas</t>
        </is>
      </c>
      <c r="C1517" s="19">
        <f>IFERROR(INDEX(tblNetflix[type],MATCH($A1517,tblNetflix[show_id],0)),"")</f>
        <v/>
      </c>
      <c r="D1517" s="19">
        <f>IFERROR(INDEX(tblNetflix[rating],MATCH($A1517,tblNetflix[show_id],0)),"")</f>
        <v/>
      </c>
      <c r="E1517" s="19">
        <f>IFERROR(INDEX(tblNetflix[year_added],MATCH($A1517,tblNetflix[show_id],0)),"")</f>
        <v/>
      </c>
      <c r="F1517" s="19">
        <f>IF(AND(OR(YearFilter="All",$E1517=YearFilter),OR(RatingFilter="All",$D1517=RatingFilter),OR(TypeFilter="All",$C1517=TypeFilter)),1,0)</f>
        <v/>
      </c>
    </row>
    <row r="1518" ht="15" customHeight="1" s="20">
      <c r="A1518" s="19" t="inlineStr">
        <is>
          <t>s4715</t>
        </is>
      </c>
      <c r="B1518" s="19" t="inlineStr">
        <is>
          <t>International Movies</t>
        </is>
      </c>
      <c r="C1518" s="19">
        <f>IFERROR(INDEX(tblNetflix[type],MATCH($A1518,tblNetflix[show_id],0)),"")</f>
        <v/>
      </c>
      <c r="D1518" s="19">
        <f>IFERROR(INDEX(tblNetflix[rating],MATCH($A1518,tblNetflix[show_id],0)),"")</f>
        <v/>
      </c>
      <c r="E1518" s="19">
        <f>IFERROR(INDEX(tblNetflix[year_added],MATCH($A1518,tblNetflix[show_id],0)),"")</f>
        <v/>
      </c>
      <c r="F1518" s="19">
        <f>IF(AND(OR(YearFilter="All",$E1518=YearFilter),OR(RatingFilter="All",$D1518=RatingFilter),OR(TypeFilter="All",$C1518=TypeFilter)),1,0)</f>
        <v/>
      </c>
    </row>
    <row r="1519" ht="15" customHeight="1" s="20">
      <c r="A1519" s="19" t="inlineStr">
        <is>
          <t>s4720</t>
        </is>
      </c>
      <c r="B1519" s="19" t="inlineStr">
        <is>
          <t>Dramas</t>
        </is>
      </c>
      <c r="C1519" s="19">
        <f>IFERROR(INDEX(tblNetflix[type],MATCH($A1519,tblNetflix[show_id],0)),"")</f>
        <v/>
      </c>
      <c r="D1519" s="19">
        <f>IFERROR(INDEX(tblNetflix[rating],MATCH($A1519,tblNetflix[show_id],0)),"")</f>
        <v/>
      </c>
      <c r="E1519" s="19">
        <f>IFERROR(INDEX(tblNetflix[year_added],MATCH($A1519,tblNetflix[show_id],0)),"")</f>
        <v/>
      </c>
      <c r="F1519" s="19">
        <f>IF(AND(OR(YearFilter="All",$E1519=YearFilter),OR(RatingFilter="All",$D1519=RatingFilter),OR(TypeFilter="All",$C1519=TypeFilter)),1,0)</f>
        <v/>
      </c>
    </row>
    <row r="1520" ht="15" customHeight="1" s="20">
      <c r="A1520" s="19" t="inlineStr">
        <is>
          <t>s4720</t>
        </is>
      </c>
      <c r="B1520" s="19" t="inlineStr">
        <is>
          <t>International Movies</t>
        </is>
      </c>
      <c r="C1520" s="19">
        <f>IFERROR(INDEX(tblNetflix[type],MATCH($A1520,tblNetflix[show_id],0)),"")</f>
        <v/>
      </c>
      <c r="D1520" s="19">
        <f>IFERROR(INDEX(tblNetflix[rating],MATCH($A1520,tblNetflix[show_id],0)),"")</f>
        <v/>
      </c>
      <c r="E1520" s="19">
        <f>IFERROR(INDEX(tblNetflix[year_added],MATCH($A1520,tblNetflix[show_id],0)),"")</f>
        <v/>
      </c>
      <c r="F1520" s="19">
        <f>IF(AND(OR(YearFilter="All",$E1520=YearFilter),OR(RatingFilter="All",$D1520=RatingFilter),OR(TypeFilter="All",$C1520=TypeFilter)),1,0)</f>
        <v/>
      </c>
    </row>
    <row r="1521" ht="15" customHeight="1" s="20">
      <c r="A1521" s="19" t="inlineStr">
        <is>
          <t>s4720</t>
        </is>
      </c>
      <c r="B1521" s="19" t="inlineStr">
        <is>
          <t>Thrillers</t>
        </is>
      </c>
      <c r="C1521" s="19">
        <f>IFERROR(INDEX(tblNetflix[type],MATCH($A1521,tblNetflix[show_id],0)),"")</f>
        <v/>
      </c>
      <c r="D1521" s="19">
        <f>IFERROR(INDEX(tblNetflix[rating],MATCH($A1521,tblNetflix[show_id],0)),"")</f>
        <v/>
      </c>
      <c r="E1521" s="19">
        <f>IFERROR(INDEX(tblNetflix[year_added],MATCH($A1521,tblNetflix[show_id],0)),"")</f>
        <v/>
      </c>
      <c r="F1521" s="19">
        <f>IF(AND(OR(YearFilter="All",$E1521=YearFilter),OR(RatingFilter="All",$D1521=RatingFilter),OR(TypeFilter="All",$C1521=TypeFilter)),1,0)</f>
        <v/>
      </c>
    </row>
    <row r="1522" ht="15" customHeight="1" s="20">
      <c r="A1522" s="19" t="inlineStr">
        <is>
          <t>s4721</t>
        </is>
      </c>
      <c r="B1522" s="19" t="inlineStr">
        <is>
          <t>Children &amp; Family Movies</t>
        </is>
      </c>
      <c r="C1522" s="19">
        <f>IFERROR(INDEX(tblNetflix[type],MATCH($A1522,tblNetflix[show_id],0)),"")</f>
        <v/>
      </c>
      <c r="D1522" s="19">
        <f>IFERROR(INDEX(tblNetflix[rating],MATCH($A1522,tblNetflix[show_id],0)),"")</f>
        <v/>
      </c>
      <c r="E1522" s="19">
        <f>IFERROR(INDEX(tblNetflix[year_added],MATCH($A1522,tblNetflix[show_id],0)),"")</f>
        <v/>
      </c>
      <c r="F1522" s="19">
        <f>IF(AND(OR(YearFilter="All",$E1522=YearFilter),OR(RatingFilter="All",$D1522=RatingFilter),OR(TypeFilter="All",$C1522=TypeFilter)),1,0)</f>
        <v/>
      </c>
    </row>
    <row r="1523" ht="15" customHeight="1" s="20">
      <c r="A1523" s="19" t="inlineStr">
        <is>
          <t>s4721</t>
        </is>
      </c>
      <c r="B1523" s="19" t="inlineStr">
        <is>
          <t>Comedies</t>
        </is>
      </c>
      <c r="C1523" s="19">
        <f>IFERROR(INDEX(tblNetflix[type],MATCH($A1523,tblNetflix[show_id],0)),"")</f>
        <v/>
      </c>
      <c r="D1523" s="19">
        <f>IFERROR(INDEX(tblNetflix[rating],MATCH($A1523,tblNetflix[show_id],0)),"")</f>
        <v/>
      </c>
      <c r="E1523" s="19">
        <f>IFERROR(INDEX(tblNetflix[year_added],MATCH($A1523,tblNetflix[show_id],0)),"")</f>
        <v/>
      </c>
      <c r="F1523" s="19">
        <f>IF(AND(OR(YearFilter="All",$E1523=YearFilter),OR(RatingFilter="All",$D1523=RatingFilter),OR(TypeFilter="All",$C1523=TypeFilter)),1,0)</f>
        <v/>
      </c>
    </row>
    <row r="1524" ht="15" customHeight="1" s="20">
      <c r="A1524" s="19" t="inlineStr">
        <is>
          <t>s4721</t>
        </is>
      </c>
      <c r="B1524" s="19" t="inlineStr">
        <is>
          <t>Dramas</t>
        </is>
      </c>
      <c r="C1524" s="19">
        <f>IFERROR(INDEX(tblNetflix[type],MATCH($A1524,tblNetflix[show_id],0)),"")</f>
        <v/>
      </c>
      <c r="D1524" s="19">
        <f>IFERROR(INDEX(tblNetflix[rating],MATCH($A1524,tblNetflix[show_id],0)),"")</f>
        <v/>
      </c>
      <c r="E1524" s="19">
        <f>IFERROR(INDEX(tblNetflix[year_added],MATCH($A1524,tblNetflix[show_id],0)),"")</f>
        <v/>
      </c>
      <c r="F1524" s="19">
        <f>IF(AND(OR(YearFilter="All",$E1524=YearFilter),OR(RatingFilter="All",$D1524=RatingFilter),OR(TypeFilter="All",$C1524=TypeFilter)),1,0)</f>
        <v/>
      </c>
    </row>
    <row r="1525" ht="15" customHeight="1" s="20">
      <c r="A1525" s="19" t="inlineStr">
        <is>
          <t>s4722</t>
        </is>
      </c>
      <c r="B1525" s="19" t="inlineStr">
        <is>
          <t>Dramas</t>
        </is>
      </c>
      <c r="C1525" s="19">
        <f>IFERROR(INDEX(tblNetflix[type],MATCH($A1525,tblNetflix[show_id],0)),"")</f>
        <v/>
      </c>
      <c r="D1525" s="19">
        <f>IFERROR(INDEX(tblNetflix[rating],MATCH($A1525,tblNetflix[show_id],0)),"")</f>
        <v/>
      </c>
      <c r="E1525" s="19">
        <f>IFERROR(INDEX(tblNetflix[year_added],MATCH($A1525,tblNetflix[show_id],0)),"")</f>
        <v/>
      </c>
      <c r="F1525" s="19">
        <f>IF(AND(OR(YearFilter="All",$E1525=YearFilter),OR(RatingFilter="All",$D1525=RatingFilter),OR(TypeFilter="All",$C1525=TypeFilter)),1,0)</f>
        <v/>
      </c>
    </row>
    <row r="1526" ht="15" customHeight="1" s="20">
      <c r="A1526" s="19" t="inlineStr">
        <is>
          <t>s4722</t>
        </is>
      </c>
      <c r="B1526" s="19" t="inlineStr">
        <is>
          <t>International Movies</t>
        </is>
      </c>
      <c r="C1526" s="19">
        <f>IFERROR(INDEX(tblNetflix[type],MATCH($A1526,tblNetflix[show_id],0)),"")</f>
        <v/>
      </c>
      <c r="D1526" s="19">
        <f>IFERROR(INDEX(tblNetflix[rating],MATCH($A1526,tblNetflix[show_id],0)),"")</f>
        <v/>
      </c>
      <c r="E1526" s="19">
        <f>IFERROR(INDEX(tblNetflix[year_added],MATCH($A1526,tblNetflix[show_id],0)),"")</f>
        <v/>
      </c>
      <c r="F1526" s="19">
        <f>IF(AND(OR(YearFilter="All",$E1526=YearFilter),OR(RatingFilter="All",$D1526=RatingFilter),OR(TypeFilter="All",$C1526=TypeFilter)),1,0)</f>
        <v/>
      </c>
    </row>
    <row r="1527" ht="15" customHeight="1" s="20">
      <c r="A1527" s="19" t="inlineStr">
        <is>
          <t>s4723</t>
        </is>
      </c>
      <c r="B1527" s="19" t="inlineStr">
        <is>
          <t>Dramas</t>
        </is>
      </c>
      <c r="C1527" s="19">
        <f>IFERROR(INDEX(tblNetflix[type],MATCH($A1527,tblNetflix[show_id],0)),"")</f>
        <v/>
      </c>
      <c r="D1527" s="19">
        <f>IFERROR(INDEX(tblNetflix[rating],MATCH($A1527,tblNetflix[show_id],0)),"")</f>
        <v/>
      </c>
      <c r="E1527" s="19">
        <f>IFERROR(INDEX(tblNetflix[year_added],MATCH($A1527,tblNetflix[show_id],0)),"")</f>
        <v/>
      </c>
      <c r="F1527" s="19">
        <f>IF(AND(OR(YearFilter="All",$E1527=YearFilter),OR(RatingFilter="All",$D1527=RatingFilter),OR(TypeFilter="All",$C1527=TypeFilter)),1,0)</f>
        <v/>
      </c>
    </row>
    <row r="1528" ht="15" customHeight="1" s="20">
      <c r="A1528" s="19" t="inlineStr">
        <is>
          <t>s4723</t>
        </is>
      </c>
      <c r="B1528" s="19" t="inlineStr">
        <is>
          <t>International Movies</t>
        </is>
      </c>
      <c r="C1528" s="19">
        <f>IFERROR(INDEX(tblNetflix[type],MATCH($A1528,tblNetflix[show_id],0)),"")</f>
        <v/>
      </c>
      <c r="D1528" s="19">
        <f>IFERROR(INDEX(tblNetflix[rating],MATCH($A1528,tblNetflix[show_id],0)),"")</f>
        <v/>
      </c>
      <c r="E1528" s="19">
        <f>IFERROR(INDEX(tblNetflix[year_added],MATCH($A1528,tblNetflix[show_id],0)),"")</f>
        <v/>
      </c>
      <c r="F1528" s="19">
        <f>IF(AND(OR(YearFilter="All",$E1528=YearFilter),OR(RatingFilter="All",$D1528=RatingFilter),OR(TypeFilter="All",$C1528=TypeFilter)),1,0)</f>
        <v/>
      </c>
    </row>
    <row r="1529" ht="15" customHeight="1" s="20">
      <c r="A1529" s="19" t="inlineStr">
        <is>
          <t>s4723</t>
        </is>
      </c>
      <c r="B1529" s="19" t="inlineStr">
        <is>
          <t>Romantic Movies</t>
        </is>
      </c>
      <c r="C1529" s="19">
        <f>IFERROR(INDEX(tblNetflix[type],MATCH($A1529,tblNetflix[show_id],0)),"")</f>
        <v/>
      </c>
      <c r="D1529" s="19">
        <f>IFERROR(INDEX(tblNetflix[rating],MATCH($A1529,tblNetflix[show_id],0)),"")</f>
        <v/>
      </c>
      <c r="E1529" s="19">
        <f>IFERROR(INDEX(tblNetflix[year_added],MATCH($A1529,tblNetflix[show_id],0)),"")</f>
        <v/>
      </c>
      <c r="F1529" s="19">
        <f>IF(AND(OR(YearFilter="All",$E1529=YearFilter),OR(RatingFilter="All",$D1529=RatingFilter),OR(TypeFilter="All",$C1529=TypeFilter)),1,0)</f>
        <v/>
      </c>
    </row>
    <row r="1530" ht="15" customHeight="1" s="20">
      <c r="A1530" s="19" t="inlineStr">
        <is>
          <t>s4724</t>
        </is>
      </c>
      <c r="B1530" s="19" t="inlineStr">
        <is>
          <t>Dramas</t>
        </is>
      </c>
      <c r="C1530" s="19">
        <f>IFERROR(INDEX(tblNetflix[type],MATCH($A1530,tblNetflix[show_id],0)),"")</f>
        <v/>
      </c>
      <c r="D1530" s="19">
        <f>IFERROR(INDEX(tblNetflix[rating],MATCH($A1530,tblNetflix[show_id],0)),"")</f>
        <v/>
      </c>
      <c r="E1530" s="19">
        <f>IFERROR(INDEX(tblNetflix[year_added],MATCH($A1530,tblNetflix[show_id],0)),"")</f>
        <v/>
      </c>
      <c r="F1530" s="19">
        <f>IF(AND(OR(YearFilter="All",$E1530=YearFilter),OR(RatingFilter="All",$D1530=RatingFilter),OR(TypeFilter="All",$C1530=TypeFilter)),1,0)</f>
        <v/>
      </c>
    </row>
    <row r="1531" ht="15" customHeight="1" s="20">
      <c r="A1531" s="19" t="inlineStr">
        <is>
          <t>s4724</t>
        </is>
      </c>
      <c r="B1531" s="19" t="inlineStr">
        <is>
          <t>International Movies</t>
        </is>
      </c>
      <c r="C1531" s="19">
        <f>IFERROR(INDEX(tblNetflix[type],MATCH($A1531,tblNetflix[show_id],0)),"")</f>
        <v/>
      </c>
      <c r="D1531" s="19">
        <f>IFERROR(INDEX(tblNetflix[rating],MATCH($A1531,tblNetflix[show_id],0)),"")</f>
        <v/>
      </c>
      <c r="E1531" s="19">
        <f>IFERROR(INDEX(tblNetflix[year_added],MATCH($A1531,tblNetflix[show_id],0)),"")</f>
        <v/>
      </c>
      <c r="F1531" s="19">
        <f>IF(AND(OR(YearFilter="All",$E1531=YearFilter),OR(RatingFilter="All",$D1531=RatingFilter),OR(TypeFilter="All",$C1531=TypeFilter)),1,0)</f>
        <v/>
      </c>
    </row>
    <row r="1532" ht="15" customHeight="1" s="20">
      <c r="A1532" s="19" t="inlineStr">
        <is>
          <t>s4724</t>
        </is>
      </c>
      <c r="B1532" s="19" t="inlineStr">
        <is>
          <t>Music &amp; Musicals</t>
        </is>
      </c>
      <c r="C1532" s="19">
        <f>IFERROR(INDEX(tblNetflix[type],MATCH($A1532,tblNetflix[show_id],0)),"")</f>
        <v/>
      </c>
      <c r="D1532" s="19">
        <f>IFERROR(INDEX(tblNetflix[rating],MATCH($A1532,tblNetflix[show_id],0)),"")</f>
        <v/>
      </c>
      <c r="E1532" s="19">
        <f>IFERROR(INDEX(tblNetflix[year_added],MATCH($A1532,tblNetflix[show_id],0)),"")</f>
        <v/>
      </c>
      <c r="F1532" s="19">
        <f>IF(AND(OR(YearFilter="All",$E1532=YearFilter),OR(RatingFilter="All",$D1532=RatingFilter),OR(TypeFilter="All",$C1532=TypeFilter)),1,0)</f>
        <v/>
      </c>
    </row>
    <row r="1533" ht="15" customHeight="1" s="20">
      <c r="A1533" s="19" t="inlineStr">
        <is>
          <t>s4725</t>
        </is>
      </c>
      <c r="B1533" s="19" t="inlineStr">
        <is>
          <t>Dramas</t>
        </is>
      </c>
      <c r="C1533" s="19">
        <f>IFERROR(INDEX(tblNetflix[type],MATCH($A1533,tblNetflix[show_id],0)),"")</f>
        <v/>
      </c>
      <c r="D1533" s="19">
        <f>IFERROR(INDEX(tblNetflix[rating],MATCH($A1533,tblNetflix[show_id],0)),"")</f>
        <v/>
      </c>
      <c r="E1533" s="19">
        <f>IFERROR(INDEX(tblNetflix[year_added],MATCH($A1533,tblNetflix[show_id],0)),"")</f>
        <v/>
      </c>
      <c r="F1533" s="19">
        <f>IF(AND(OR(YearFilter="All",$E1533=YearFilter),OR(RatingFilter="All",$D1533=RatingFilter),OR(TypeFilter="All",$C1533=TypeFilter)),1,0)</f>
        <v/>
      </c>
    </row>
    <row r="1534" ht="15" customHeight="1" s="20">
      <c r="A1534" s="19" t="inlineStr">
        <is>
          <t>s4725</t>
        </is>
      </c>
      <c r="B1534" s="19" t="inlineStr">
        <is>
          <t>International Movies</t>
        </is>
      </c>
      <c r="C1534" s="19">
        <f>IFERROR(INDEX(tblNetflix[type],MATCH($A1534,tblNetflix[show_id],0)),"")</f>
        <v/>
      </c>
      <c r="D1534" s="19">
        <f>IFERROR(INDEX(tblNetflix[rating],MATCH($A1534,tblNetflix[show_id],0)),"")</f>
        <v/>
      </c>
      <c r="E1534" s="19">
        <f>IFERROR(INDEX(tblNetflix[year_added],MATCH($A1534,tblNetflix[show_id],0)),"")</f>
        <v/>
      </c>
      <c r="F1534" s="19">
        <f>IF(AND(OR(YearFilter="All",$E1534=YearFilter),OR(RatingFilter="All",$D1534=RatingFilter),OR(TypeFilter="All",$C1534=TypeFilter)),1,0)</f>
        <v/>
      </c>
    </row>
    <row r="1535" ht="15" customHeight="1" s="20">
      <c r="A1535" s="19" t="inlineStr">
        <is>
          <t>s4726</t>
        </is>
      </c>
      <c r="B1535" s="19" t="inlineStr">
        <is>
          <t>Dramas</t>
        </is>
      </c>
      <c r="C1535" s="19">
        <f>IFERROR(INDEX(tblNetflix[type],MATCH($A1535,tblNetflix[show_id],0)),"")</f>
        <v/>
      </c>
      <c r="D1535" s="19">
        <f>IFERROR(INDEX(tblNetflix[rating],MATCH($A1535,tblNetflix[show_id],0)),"")</f>
        <v/>
      </c>
      <c r="E1535" s="19">
        <f>IFERROR(INDEX(tblNetflix[year_added],MATCH($A1535,tblNetflix[show_id],0)),"")</f>
        <v/>
      </c>
      <c r="F1535" s="19">
        <f>IF(AND(OR(YearFilter="All",$E1535=YearFilter),OR(RatingFilter="All",$D1535=RatingFilter),OR(TypeFilter="All",$C1535=TypeFilter)),1,0)</f>
        <v/>
      </c>
    </row>
    <row r="1536" ht="15" customHeight="1" s="20">
      <c r="A1536" s="19" t="inlineStr">
        <is>
          <t>s4726</t>
        </is>
      </c>
      <c r="B1536" s="19" t="inlineStr">
        <is>
          <t>International Movies</t>
        </is>
      </c>
      <c r="C1536" s="19">
        <f>IFERROR(INDEX(tblNetflix[type],MATCH($A1536,tblNetflix[show_id],0)),"")</f>
        <v/>
      </c>
      <c r="D1536" s="19">
        <f>IFERROR(INDEX(tblNetflix[rating],MATCH($A1536,tblNetflix[show_id],0)),"")</f>
        <v/>
      </c>
      <c r="E1536" s="19">
        <f>IFERROR(INDEX(tblNetflix[year_added],MATCH($A1536,tblNetflix[show_id],0)),"")</f>
        <v/>
      </c>
      <c r="F1536" s="19">
        <f>IF(AND(OR(YearFilter="All",$E1536=YearFilter),OR(RatingFilter="All",$D1536=RatingFilter),OR(TypeFilter="All",$C1536=TypeFilter)),1,0)</f>
        <v/>
      </c>
    </row>
    <row r="1537" ht="15" customHeight="1" s="20">
      <c r="A1537" s="19" t="inlineStr">
        <is>
          <t>s4726</t>
        </is>
      </c>
      <c r="B1537" s="19" t="inlineStr">
        <is>
          <t>Romantic Movies</t>
        </is>
      </c>
      <c r="C1537" s="19">
        <f>IFERROR(INDEX(tblNetflix[type],MATCH($A1537,tblNetflix[show_id],0)),"")</f>
        <v/>
      </c>
      <c r="D1537" s="19">
        <f>IFERROR(INDEX(tblNetflix[rating],MATCH($A1537,tblNetflix[show_id],0)),"")</f>
        <v/>
      </c>
      <c r="E1537" s="19">
        <f>IFERROR(INDEX(tblNetflix[year_added],MATCH($A1537,tblNetflix[show_id],0)),"")</f>
        <v/>
      </c>
      <c r="F1537" s="19">
        <f>IF(AND(OR(YearFilter="All",$E1537=YearFilter),OR(RatingFilter="All",$D1537=RatingFilter),OR(TypeFilter="All",$C1537=TypeFilter)),1,0)</f>
        <v/>
      </c>
    </row>
    <row r="1538" ht="15" customHeight="1" s="20">
      <c r="A1538" s="19" t="inlineStr">
        <is>
          <t>s4727</t>
        </is>
      </c>
      <c r="B1538" s="19" t="inlineStr">
        <is>
          <t>Action &amp; Adventure</t>
        </is>
      </c>
      <c r="C1538" s="19">
        <f>IFERROR(INDEX(tblNetflix[type],MATCH($A1538,tblNetflix[show_id],0)),"")</f>
        <v/>
      </c>
      <c r="D1538" s="19">
        <f>IFERROR(INDEX(tblNetflix[rating],MATCH($A1538,tblNetflix[show_id],0)),"")</f>
        <v/>
      </c>
      <c r="E1538" s="19">
        <f>IFERROR(INDEX(tblNetflix[year_added],MATCH($A1538,tblNetflix[show_id],0)),"")</f>
        <v/>
      </c>
      <c r="F1538" s="19">
        <f>IF(AND(OR(YearFilter="All",$E1538=YearFilter),OR(RatingFilter="All",$D1538=RatingFilter),OR(TypeFilter="All",$C1538=TypeFilter)),1,0)</f>
        <v/>
      </c>
    </row>
    <row r="1539" ht="15" customHeight="1" s="20">
      <c r="A1539" s="19" t="inlineStr">
        <is>
          <t>s4727</t>
        </is>
      </c>
      <c r="B1539" s="19" t="inlineStr">
        <is>
          <t>Dramas</t>
        </is>
      </c>
      <c r="C1539" s="19">
        <f>IFERROR(INDEX(tblNetflix[type],MATCH($A1539,tblNetflix[show_id],0)),"")</f>
        <v/>
      </c>
      <c r="D1539" s="19">
        <f>IFERROR(INDEX(tblNetflix[rating],MATCH($A1539,tblNetflix[show_id],0)),"")</f>
        <v/>
      </c>
      <c r="E1539" s="19">
        <f>IFERROR(INDEX(tblNetflix[year_added],MATCH($A1539,tblNetflix[show_id],0)),"")</f>
        <v/>
      </c>
      <c r="F1539" s="19">
        <f>IF(AND(OR(YearFilter="All",$E1539=YearFilter),OR(RatingFilter="All",$D1539=RatingFilter),OR(TypeFilter="All",$C1539=TypeFilter)),1,0)</f>
        <v/>
      </c>
    </row>
    <row r="1540" ht="15" customHeight="1" s="20">
      <c r="A1540" s="19" t="inlineStr">
        <is>
          <t>s4727</t>
        </is>
      </c>
      <c r="B1540" s="19" t="inlineStr">
        <is>
          <t>International Movies</t>
        </is>
      </c>
      <c r="C1540" s="19">
        <f>IFERROR(INDEX(tblNetflix[type],MATCH($A1540,tblNetflix[show_id],0)),"")</f>
        <v/>
      </c>
      <c r="D1540" s="19">
        <f>IFERROR(INDEX(tblNetflix[rating],MATCH($A1540,tblNetflix[show_id],0)),"")</f>
        <v/>
      </c>
      <c r="E1540" s="19">
        <f>IFERROR(INDEX(tblNetflix[year_added],MATCH($A1540,tblNetflix[show_id],0)),"")</f>
        <v/>
      </c>
      <c r="F1540" s="19">
        <f>IF(AND(OR(YearFilter="All",$E1540=YearFilter),OR(RatingFilter="All",$D1540=RatingFilter),OR(TypeFilter="All",$C1540=TypeFilter)),1,0)</f>
        <v/>
      </c>
    </row>
    <row r="1541" ht="15" customHeight="1" s="20">
      <c r="A1541" s="19" t="inlineStr">
        <is>
          <t>s4728</t>
        </is>
      </c>
      <c r="B1541" s="19" t="inlineStr">
        <is>
          <t>Comedies</t>
        </is>
      </c>
      <c r="C1541" s="19">
        <f>IFERROR(INDEX(tblNetflix[type],MATCH($A1541,tblNetflix[show_id],0)),"")</f>
        <v/>
      </c>
      <c r="D1541" s="19">
        <f>IFERROR(INDEX(tblNetflix[rating],MATCH($A1541,tblNetflix[show_id],0)),"")</f>
        <v/>
      </c>
      <c r="E1541" s="19">
        <f>IFERROR(INDEX(tblNetflix[year_added],MATCH($A1541,tblNetflix[show_id],0)),"")</f>
        <v/>
      </c>
      <c r="F1541" s="19">
        <f>IF(AND(OR(YearFilter="All",$E1541=YearFilter),OR(RatingFilter="All",$D1541=RatingFilter),OR(TypeFilter="All",$C1541=TypeFilter)),1,0)</f>
        <v/>
      </c>
    </row>
    <row r="1542" ht="15" customHeight="1" s="20">
      <c r="A1542" s="19" t="inlineStr">
        <is>
          <t>s4728</t>
        </is>
      </c>
      <c r="B1542" s="19" t="inlineStr">
        <is>
          <t>International Movies</t>
        </is>
      </c>
      <c r="C1542" s="19">
        <f>IFERROR(INDEX(tblNetflix[type],MATCH($A1542,tblNetflix[show_id],0)),"")</f>
        <v/>
      </c>
      <c r="D1542" s="19">
        <f>IFERROR(INDEX(tblNetflix[rating],MATCH($A1542,tblNetflix[show_id],0)),"")</f>
        <v/>
      </c>
      <c r="E1542" s="19">
        <f>IFERROR(INDEX(tblNetflix[year_added],MATCH($A1542,tblNetflix[show_id],0)),"")</f>
        <v/>
      </c>
      <c r="F1542" s="19">
        <f>IF(AND(OR(YearFilter="All",$E1542=YearFilter),OR(RatingFilter="All",$D1542=RatingFilter),OR(TypeFilter="All",$C1542=TypeFilter)),1,0)</f>
        <v/>
      </c>
    </row>
    <row r="1543" ht="15" customHeight="1" s="20">
      <c r="A1543" s="19" t="inlineStr">
        <is>
          <t>s4728</t>
        </is>
      </c>
      <c r="B1543" s="19" t="inlineStr">
        <is>
          <t>Music &amp; Musicals</t>
        </is>
      </c>
      <c r="C1543" s="19">
        <f>IFERROR(INDEX(tblNetflix[type],MATCH($A1543,tblNetflix[show_id],0)),"")</f>
        <v/>
      </c>
      <c r="D1543" s="19">
        <f>IFERROR(INDEX(tblNetflix[rating],MATCH($A1543,tblNetflix[show_id],0)),"")</f>
        <v/>
      </c>
      <c r="E1543" s="19">
        <f>IFERROR(INDEX(tblNetflix[year_added],MATCH($A1543,tblNetflix[show_id],0)),"")</f>
        <v/>
      </c>
      <c r="F1543" s="19">
        <f>IF(AND(OR(YearFilter="All",$E1543=YearFilter),OR(RatingFilter="All",$D1543=RatingFilter),OR(TypeFilter="All",$C1543=TypeFilter)),1,0)</f>
        <v/>
      </c>
    </row>
    <row r="1544" ht="15" customHeight="1" s="20">
      <c r="A1544" s="19" t="inlineStr">
        <is>
          <t>s4729</t>
        </is>
      </c>
      <c r="B1544" s="19" t="inlineStr">
        <is>
          <t>Comedies</t>
        </is>
      </c>
      <c r="C1544" s="19">
        <f>IFERROR(INDEX(tblNetflix[type],MATCH($A1544,tblNetflix[show_id],0)),"")</f>
        <v/>
      </c>
      <c r="D1544" s="19">
        <f>IFERROR(INDEX(tblNetflix[rating],MATCH($A1544,tblNetflix[show_id],0)),"")</f>
        <v/>
      </c>
      <c r="E1544" s="19">
        <f>IFERROR(INDEX(tblNetflix[year_added],MATCH($A1544,tblNetflix[show_id],0)),"")</f>
        <v/>
      </c>
      <c r="F1544" s="19">
        <f>IF(AND(OR(YearFilter="All",$E1544=YearFilter),OR(RatingFilter="All",$D1544=RatingFilter),OR(TypeFilter="All",$C1544=TypeFilter)),1,0)</f>
        <v/>
      </c>
    </row>
    <row r="1545" ht="15" customHeight="1" s="20">
      <c r="A1545" s="19" t="inlineStr">
        <is>
          <t>s4729</t>
        </is>
      </c>
      <c r="B1545" s="19" t="inlineStr">
        <is>
          <t>International Movies</t>
        </is>
      </c>
      <c r="C1545" s="19">
        <f>IFERROR(INDEX(tblNetflix[type],MATCH($A1545,tblNetflix[show_id],0)),"")</f>
        <v/>
      </c>
      <c r="D1545" s="19">
        <f>IFERROR(INDEX(tblNetflix[rating],MATCH($A1545,tblNetflix[show_id],0)),"")</f>
        <v/>
      </c>
      <c r="E1545" s="19">
        <f>IFERROR(INDEX(tblNetflix[year_added],MATCH($A1545,tblNetflix[show_id],0)),"")</f>
        <v/>
      </c>
      <c r="F1545" s="19">
        <f>IF(AND(OR(YearFilter="All",$E1545=YearFilter),OR(RatingFilter="All",$D1545=RatingFilter),OR(TypeFilter="All",$C1545=TypeFilter)),1,0)</f>
        <v/>
      </c>
    </row>
    <row r="1546" ht="15" customHeight="1" s="20">
      <c r="A1546" s="19" t="inlineStr">
        <is>
          <t>s4729</t>
        </is>
      </c>
      <c r="B1546" s="19" t="inlineStr">
        <is>
          <t>Music &amp; Musicals</t>
        </is>
      </c>
      <c r="C1546" s="19">
        <f>IFERROR(INDEX(tblNetflix[type],MATCH($A1546,tblNetflix[show_id],0)),"")</f>
        <v/>
      </c>
      <c r="D1546" s="19">
        <f>IFERROR(INDEX(tblNetflix[rating],MATCH($A1546,tblNetflix[show_id],0)),"")</f>
        <v/>
      </c>
      <c r="E1546" s="19">
        <f>IFERROR(INDEX(tblNetflix[year_added],MATCH($A1546,tblNetflix[show_id],0)),"")</f>
        <v/>
      </c>
      <c r="F1546" s="19">
        <f>IF(AND(OR(YearFilter="All",$E1546=YearFilter),OR(RatingFilter="All",$D1546=RatingFilter),OR(TypeFilter="All",$C1546=TypeFilter)),1,0)</f>
        <v/>
      </c>
    </row>
    <row r="1547" ht="15" customHeight="1" s="20">
      <c r="A1547" s="19" t="inlineStr">
        <is>
          <t>s4730</t>
        </is>
      </c>
      <c r="B1547" s="19" t="inlineStr">
        <is>
          <t>International Movies</t>
        </is>
      </c>
      <c r="C1547" s="19">
        <f>IFERROR(INDEX(tblNetflix[type],MATCH($A1547,tblNetflix[show_id],0)),"")</f>
        <v/>
      </c>
      <c r="D1547" s="19">
        <f>IFERROR(INDEX(tblNetflix[rating],MATCH($A1547,tblNetflix[show_id],0)),"")</f>
        <v/>
      </c>
      <c r="E1547" s="19">
        <f>IFERROR(INDEX(tblNetflix[year_added],MATCH($A1547,tblNetflix[show_id],0)),"")</f>
        <v/>
      </c>
      <c r="F1547" s="19">
        <f>IF(AND(OR(YearFilter="All",$E1547=YearFilter),OR(RatingFilter="All",$D1547=RatingFilter),OR(TypeFilter="All",$C1547=TypeFilter)),1,0)</f>
        <v/>
      </c>
    </row>
    <row r="1548" ht="15" customHeight="1" s="20">
      <c r="A1548" s="19" t="inlineStr">
        <is>
          <t>s4730</t>
        </is>
      </c>
      <c r="B1548" s="19" t="inlineStr">
        <is>
          <t>Music &amp; Musicals</t>
        </is>
      </c>
      <c r="C1548" s="19">
        <f>IFERROR(INDEX(tblNetflix[type],MATCH($A1548,tblNetflix[show_id],0)),"")</f>
        <v/>
      </c>
      <c r="D1548" s="19">
        <f>IFERROR(INDEX(tblNetflix[rating],MATCH($A1548,tblNetflix[show_id],0)),"")</f>
        <v/>
      </c>
      <c r="E1548" s="19">
        <f>IFERROR(INDEX(tblNetflix[year_added],MATCH($A1548,tblNetflix[show_id],0)),"")</f>
        <v/>
      </c>
      <c r="F1548" s="19">
        <f>IF(AND(OR(YearFilter="All",$E1548=YearFilter),OR(RatingFilter="All",$D1548=RatingFilter),OR(TypeFilter="All",$C1548=TypeFilter)),1,0)</f>
        <v/>
      </c>
    </row>
    <row r="1549" ht="15" customHeight="1" s="20">
      <c r="A1549" s="19" t="inlineStr">
        <is>
          <t>s4730</t>
        </is>
      </c>
      <c r="B1549" s="19" t="inlineStr">
        <is>
          <t>Romantic Movies</t>
        </is>
      </c>
      <c r="C1549" s="19">
        <f>IFERROR(INDEX(tblNetflix[type],MATCH($A1549,tblNetflix[show_id],0)),"")</f>
        <v/>
      </c>
      <c r="D1549" s="19">
        <f>IFERROR(INDEX(tblNetflix[rating],MATCH($A1549,tblNetflix[show_id],0)),"")</f>
        <v/>
      </c>
      <c r="E1549" s="19">
        <f>IFERROR(INDEX(tblNetflix[year_added],MATCH($A1549,tblNetflix[show_id],0)),"")</f>
        <v/>
      </c>
      <c r="F1549" s="19">
        <f>IF(AND(OR(YearFilter="All",$E1549=YearFilter),OR(RatingFilter="All",$D1549=RatingFilter),OR(TypeFilter="All",$C1549=TypeFilter)),1,0)</f>
        <v/>
      </c>
    </row>
    <row r="1550" ht="15" customHeight="1" s="20">
      <c r="A1550" s="19" t="inlineStr">
        <is>
          <t>s4731</t>
        </is>
      </c>
      <c r="B1550" s="19" t="inlineStr">
        <is>
          <t>Action &amp; Adventure</t>
        </is>
      </c>
      <c r="C1550" s="19">
        <f>IFERROR(INDEX(tblNetflix[type],MATCH($A1550,tblNetflix[show_id],0)),"")</f>
        <v/>
      </c>
      <c r="D1550" s="19">
        <f>IFERROR(INDEX(tblNetflix[rating],MATCH($A1550,tblNetflix[show_id],0)),"")</f>
        <v/>
      </c>
      <c r="E1550" s="19">
        <f>IFERROR(INDEX(tblNetflix[year_added],MATCH($A1550,tblNetflix[show_id],0)),"")</f>
        <v/>
      </c>
      <c r="F1550" s="19">
        <f>IF(AND(OR(YearFilter="All",$E1550=YearFilter),OR(RatingFilter="All",$D1550=RatingFilter),OR(TypeFilter="All",$C1550=TypeFilter)),1,0)</f>
        <v/>
      </c>
    </row>
    <row r="1551" ht="15" customHeight="1" s="20">
      <c r="A1551" s="19" t="inlineStr">
        <is>
          <t>s4731</t>
        </is>
      </c>
      <c r="B1551" s="19" t="inlineStr">
        <is>
          <t>Dramas</t>
        </is>
      </c>
      <c r="C1551" s="19">
        <f>IFERROR(INDEX(tblNetflix[type],MATCH($A1551,tblNetflix[show_id],0)),"")</f>
        <v/>
      </c>
      <c r="D1551" s="19">
        <f>IFERROR(INDEX(tblNetflix[rating],MATCH($A1551,tblNetflix[show_id],0)),"")</f>
        <v/>
      </c>
      <c r="E1551" s="19">
        <f>IFERROR(INDEX(tblNetflix[year_added],MATCH($A1551,tblNetflix[show_id],0)),"")</f>
        <v/>
      </c>
      <c r="F1551" s="19">
        <f>IF(AND(OR(YearFilter="All",$E1551=YearFilter),OR(RatingFilter="All",$D1551=RatingFilter),OR(TypeFilter="All",$C1551=TypeFilter)),1,0)</f>
        <v/>
      </c>
    </row>
    <row r="1552" ht="15" customHeight="1" s="20">
      <c r="A1552" s="19" t="inlineStr">
        <is>
          <t>s4731</t>
        </is>
      </c>
      <c r="B1552" s="19" t="inlineStr">
        <is>
          <t>International Movies</t>
        </is>
      </c>
      <c r="C1552" s="19">
        <f>IFERROR(INDEX(tblNetflix[type],MATCH($A1552,tblNetflix[show_id],0)),"")</f>
        <v/>
      </c>
      <c r="D1552" s="19">
        <f>IFERROR(INDEX(tblNetflix[rating],MATCH($A1552,tblNetflix[show_id],0)),"")</f>
        <v/>
      </c>
      <c r="E1552" s="19">
        <f>IFERROR(INDEX(tblNetflix[year_added],MATCH($A1552,tblNetflix[show_id],0)),"")</f>
        <v/>
      </c>
      <c r="F1552" s="19">
        <f>IF(AND(OR(YearFilter="All",$E1552=YearFilter),OR(RatingFilter="All",$D1552=RatingFilter),OR(TypeFilter="All",$C1552=TypeFilter)),1,0)</f>
        <v/>
      </c>
    </row>
    <row r="1553" ht="15" customHeight="1" s="20">
      <c r="A1553" s="19" t="inlineStr">
        <is>
          <t>s4732</t>
        </is>
      </c>
      <c r="B1553" s="19" t="inlineStr">
        <is>
          <t>Dramas</t>
        </is>
      </c>
      <c r="C1553" s="19">
        <f>IFERROR(INDEX(tblNetflix[type],MATCH($A1553,tblNetflix[show_id],0)),"")</f>
        <v/>
      </c>
      <c r="D1553" s="19">
        <f>IFERROR(INDEX(tblNetflix[rating],MATCH($A1553,tblNetflix[show_id],0)),"")</f>
        <v/>
      </c>
      <c r="E1553" s="19">
        <f>IFERROR(INDEX(tblNetflix[year_added],MATCH($A1553,tblNetflix[show_id],0)),"")</f>
        <v/>
      </c>
      <c r="F1553" s="19">
        <f>IF(AND(OR(YearFilter="All",$E1553=YearFilter),OR(RatingFilter="All",$D1553=RatingFilter),OR(TypeFilter="All",$C1553=TypeFilter)),1,0)</f>
        <v/>
      </c>
    </row>
    <row r="1554" ht="15" customHeight="1" s="20">
      <c r="A1554" s="19" t="inlineStr">
        <is>
          <t>s4732</t>
        </is>
      </c>
      <c r="B1554" s="19" t="inlineStr">
        <is>
          <t>International Movies</t>
        </is>
      </c>
      <c r="C1554" s="19">
        <f>IFERROR(INDEX(tblNetflix[type],MATCH($A1554,tblNetflix[show_id],0)),"")</f>
        <v/>
      </c>
      <c r="D1554" s="19">
        <f>IFERROR(INDEX(tblNetflix[rating],MATCH($A1554,tblNetflix[show_id],0)),"")</f>
        <v/>
      </c>
      <c r="E1554" s="19">
        <f>IFERROR(INDEX(tblNetflix[year_added],MATCH($A1554,tblNetflix[show_id],0)),"")</f>
        <v/>
      </c>
      <c r="F1554" s="19">
        <f>IF(AND(OR(YearFilter="All",$E1554=YearFilter),OR(RatingFilter="All",$D1554=RatingFilter),OR(TypeFilter="All",$C1554=TypeFilter)),1,0)</f>
        <v/>
      </c>
    </row>
    <row r="1555" ht="15" customHeight="1" s="20">
      <c r="A1555" s="19" t="inlineStr">
        <is>
          <t>s4732</t>
        </is>
      </c>
      <c r="B1555" s="19" t="inlineStr">
        <is>
          <t>Thrillers</t>
        </is>
      </c>
      <c r="C1555" s="19">
        <f>IFERROR(INDEX(tblNetflix[type],MATCH($A1555,tblNetflix[show_id],0)),"")</f>
        <v/>
      </c>
      <c r="D1555" s="19">
        <f>IFERROR(INDEX(tblNetflix[rating],MATCH($A1555,tblNetflix[show_id],0)),"")</f>
        <v/>
      </c>
      <c r="E1555" s="19">
        <f>IFERROR(INDEX(tblNetflix[year_added],MATCH($A1555,tblNetflix[show_id],0)),"")</f>
        <v/>
      </c>
      <c r="F1555" s="19">
        <f>IF(AND(OR(YearFilter="All",$E1555=YearFilter),OR(RatingFilter="All",$D1555=RatingFilter),OR(TypeFilter="All",$C1555=TypeFilter)),1,0)</f>
        <v/>
      </c>
    </row>
    <row r="1556" ht="15" customHeight="1" s="20">
      <c r="A1556" s="19" t="inlineStr">
        <is>
          <t>s4733</t>
        </is>
      </c>
      <c r="B1556" s="19" t="inlineStr">
        <is>
          <t>Dramas</t>
        </is>
      </c>
      <c r="C1556" s="19">
        <f>IFERROR(INDEX(tblNetflix[type],MATCH($A1556,tblNetflix[show_id],0)),"")</f>
        <v/>
      </c>
      <c r="D1556" s="19">
        <f>IFERROR(INDEX(tblNetflix[rating],MATCH($A1556,tblNetflix[show_id],0)),"")</f>
        <v/>
      </c>
      <c r="E1556" s="19">
        <f>IFERROR(INDEX(tblNetflix[year_added],MATCH($A1556,tblNetflix[show_id],0)),"")</f>
        <v/>
      </c>
      <c r="F1556" s="19">
        <f>IF(AND(OR(YearFilter="All",$E1556=YearFilter),OR(RatingFilter="All",$D1556=RatingFilter),OR(TypeFilter="All",$C1556=TypeFilter)),1,0)</f>
        <v/>
      </c>
    </row>
    <row r="1557" ht="15" customHeight="1" s="20">
      <c r="A1557" s="19" t="inlineStr">
        <is>
          <t>s4733</t>
        </is>
      </c>
      <c r="B1557" s="19" t="inlineStr">
        <is>
          <t>International Movies</t>
        </is>
      </c>
      <c r="C1557" s="19">
        <f>IFERROR(INDEX(tblNetflix[type],MATCH($A1557,tblNetflix[show_id],0)),"")</f>
        <v/>
      </c>
      <c r="D1557" s="19">
        <f>IFERROR(INDEX(tblNetflix[rating],MATCH($A1557,tblNetflix[show_id],0)),"")</f>
        <v/>
      </c>
      <c r="E1557" s="19">
        <f>IFERROR(INDEX(tblNetflix[year_added],MATCH($A1557,tblNetflix[show_id],0)),"")</f>
        <v/>
      </c>
      <c r="F1557" s="19">
        <f>IF(AND(OR(YearFilter="All",$E1557=YearFilter),OR(RatingFilter="All",$D1557=RatingFilter),OR(TypeFilter="All",$C1557=TypeFilter)),1,0)</f>
        <v/>
      </c>
    </row>
    <row r="1558" ht="15" customHeight="1" s="20">
      <c r="A1558" s="19" t="inlineStr">
        <is>
          <t>s4734</t>
        </is>
      </c>
      <c r="B1558" s="19" t="inlineStr">
        <is>
          <t>Action &amp; Adventure</t>
        </is>
      </c>
      <c r="C1558" s="19">
        <f>IFERROR(INDEX(tblNetflix[type],MATCH($A1558,tblNetflix[show_id],0)),"")</f>
        <v/>
      </c>
      <c r="D1558" s="19">
        <f>IFERROR(INDEX(tblNetflix[rating],MATCH($A1558,tblNetflix[show_id],0)),"")</f>
        <v/>
      </c>
      <c r="E1558" s="19">
        <f>IFERROR(INDEX(tblNetflix[year_added],MATCH($A1558,tblNetflix[show_id],0)),"")</f>
        <v/>
      </c>
      <c r="F1558" s="19">
        <f>IF(AND(OR(YearFilter="All",$E1558=YearFilter),OR(RatingFilter="All",$D1558=RatingFilter),OR(TypeFilter="All",$C1558=TypeFilter)),1,0)</f>
        <v/>
      </c>
    </row>
    <row r="1559" ht="15" customHeight="1" s="20">
      <c r="A1559" s="19" t="inlineStr">
        <is>
          <t>s4734</t>
        </is>
      </c>
      <c r="B1559" s="19" t="inlineStr">
        <is>
          <t>Comedies</t>
        </is>
      </c>
      <c r="C1559" s="19">
        <f>IFERROR(INDEX(tblNetflix[type],MATCH($A1559,tblNetflix[show_id],0)),"")</f>
        <v/>
      </c>
      <c r="D1559" s="19">
        <f>IFERROR(INDEX(tblNetflix[rating],MATCH($A1559,tblNetflix[show_id],0)),"")</f>
        <v/>
      </c>
      <c r="E1559" s="19">
        <f>IFERROR(INDEX(tblNetflix[year_added],MATCH($A1559,tblNetflix[show_id],0)),"")</f>
        <v/>
      </c>
      <c r="F1559" s="19">
        <f>IF(AND(OR(YearFilter="All",$E1559=YearFilter),OR(RatingFilter="All",$D1559=RatingFilter),OR(TypeFilter="All",$C1559=TypeFilter)),1,0)</f>
        <v/>
      </c>
    </row>
    <row r="1560" ht="15" customHeight="1" s="20">
      <c r="A1560" s="19" t="inlineStr">
        <is>
          <t>s4734</t>
        </is>
      </c>
      <c r="B1560" s="19" t="inlineStr">
        <is>
          <t>International Movies</t>
        </is>
      </c>
      <c r="C1560" s="19">
        <f>IFERROR(INDEX(tblNetflix[type],MATCH($A1560,tblNetflix[show_id],0)),"")</f>
        <v/>
      </c>
      <c r="D1560" s="19">
        <f>IFERROR(INDEX(tblNetflix[rating],MATCH($A1560,tblNetflix[show_id],0)),"")</f>
        <v/>
      </c>
      <c r="E1560" s="19">
        <f>IFERROR(INDEX(tblNetflix[year_added],MATCH($A1560,tblNetflix[show_id],0)),"")</f>
        <v/>
      </c>
      <c r="F1560" s="19">
        <f>IF(AND(OR(YearFilter="All",$E1560=YearFilter),OR(RatingFilter="All",$D1560=RatingFilter),OR(TypeFilter="All",$C1560=TypeFilter)),1,0)</f>
        <v/>
      </c>
    </row>
    <row r="1561" ht="15" customHeight="1" s="20">
      <c r="A1561" s="19" t="inlineStr">
        <is>
          <t>s4735</t>
        </is>
      </c>
      <c r="B1561" s="19" t="inlineStr">
        <is>
          <t>Dramas</t>
        </is>
      </c>
      <c r="C1561" s="19">
        <f>IFERROR(INDEX(tblNetflix[type],MATCH($A1561,tblNetflix[show_id],0)),"")</f>
        <v/>
      </c>
      <c r="D1561" s="19">
        <f>IFERROR(INDEX(tblNetflix[rating],MATCH($A1561,tblNetflix[show_id],0)),"")</f>
        <v/>
      </c>
      <c r="E1561" s="19">
        <f>IFERROR(INDEX(tblNetflix[year_added],MATCH($A1561,tblNetflix[show_id],0)),"")</f>
        <v/>
      </c>
      <c r="F1561" s="19">
        <f>IF(AND(OR(YearFilter="All",$E1561=YearFilter),OR(RatingFilter="All",$D1561=RatingFilter),OR(TypeFilter="All",$C1561=TypeFilter)),1,0)</f>
        <v/>
      </c>
    </row>
    <row r="1562" ht="15" customHeight="1" s="20">
      <c r="A1562" s="19" t="inlineStr">
        <is>
          <t>s4735</t>
        </is>
      </c>
      <c r="B1562" s="19" t="inlineStr">
        <is>
          <t>International Movies</t>
        </is>
      </c>
      <c r="C1562" s="19">
        <f>IFERROR(INDEX(tblNetflix[type],MATCH($A1562,tblNetflix[show_id],0)),"")</f>
        <v/>
      </c>
      <c r="D1562" s="19">
        <f>IFERROR(INDEX(tblNetflix[rating],MATCH($A1562,tblNetflix[show_id],0)),"")</f>
        <v/>
      </c>
      <c r="E1562" s="19">
        <f>IFERROR(INDEX(tblNetflix[year_added],MATCH($A1562,tblNetflix[show_id],0)),"")</f>
        <v/>
      </c>
      <c r="F1562" s="19">
        <f>IF(AND(OR(YearFilter="All",$E1562=YearFilter),OR(RatingFilter="All",$D1562=RatingFilter),OR(TypeFilter="All",$C1562=TypeFilter)),1,0)</f>
        <v/>
      </c>
    </row>
    <row r="1563" ht="15" customHeight="1" s="20">
      <c r="A1563" s="19" t="inlineStr">
        <is>
          <t>s4735</t>
        </is>
      </c>
      <c r="B1563" s="19" t="inlineStr">
        <is>
          <t>Romantic Movies</t>
        </is>
      </c>
      <c r="C1563" s="19">
        <f>IFERROR(INDEX(tblNetflix[type],MATCH($A1563,tblNetflix[show_id],0)),"")</f>
        <v/>
      </c>
      <c r="D1563" s="19">
        <f>IFERROR(INDEX(tblNetflix[rating],MATCH($A1563,tblNetflix[show_id],0)),"")</f>
        <v/>
      </c>
      <c r="E1563" s="19">
        <f>IFERROR(INDEX(tblNetflix[year_added],MATCH($A1563,tblNetflix[show_id],0)),"")</f>
        <v/>
      </c>
      <c r="F1563" s="19">
        <f>IF(AND(OR(YearFilter="All",$E1563=YearFilter),OR(RatingFilter="All",$D1563=RatingFilter),OR(TypeFilter="All",$C1563=TypeFilter)),1,0)</f>
        <v/>
      </c>
    </row>
    <row r="1564" ht="15" customHeight="1" s="20">
      <c r="A1564" s="19" t="inlineStr">
        <is>
          <t>s4736</t>
        </is>
      </c>
      <c r="B1564" s="19" t="inlineStr">
        <is>
          <t>Comedies</t>
        </is>
      </c>
      <c r="C1564" s="19">
        <f>IFERROR(INDEX(tblNetflix[type],MATCH($A1564,tblNetflix[show_id],0)),"")</f>
        <v/>
      </c>
      <c r="D1564" s="19">
        <f>IFERROR(INDEX(tblNetflix[rating],MATCH($A1564,tblNetflix[show_id],0)),"")</f>
        <v/>
      </c>
      <c r="E1564" s="19">
        <f>IFERROR(INDEX(tblNetflix[year_added],MATCH($A1564,tblNetflix[show_id],0)),"")</f>
        <v/>
      </c>
      <c r="F1564" s="19">
        <f>IF(AND(OR(YearFilter="All",$E1564=YearFilter),OR(RatingFilter="All",$D1564=RatingFilter),OR(TypeFilter="All",$C1564=TypeFilter)),1,0)</f>
        <v/>
      </c>
    </row>
    <row r="1565" ht="15" customHeight="1" s="20">
      <c r="A1565" s="19" t="inlineStr">
        <is>
          <t>s4736</t>
        </is>
      </c>
      <c r="B1565" s="19" t="inlineStr">
        <is>
          <t>International Movies</t>
        </is>
      </c>
      <c r="C1565" s="19">
        <f>IFERROR(INDEX(tblNetflix[type],MATCH($A1565,tblNetflix[show_id],0)),"")</f>
        <v/>
      </c>
      <c r="D1565" s="19">
        <f>IFERROR(INDEX(tblNetflix[rating],MATCH($A1565,tblNetflix[show_id],0)),"")</f>
        <v/>
      </c>
      <c r="E1565" s="19">
        <f>IFERROR(INDEX(tblNetflix[year_added],MATCH($A1565,tblNetflix[show_id],0)),"")</f>
        <v/>
      </c>
      <c r="F1565" s="19">
        <f>IF(AND(OR(YearFilter="All",$E1565=YearFilter),OR(RatingFilter="All",$D1565=RatingFilter),OR(TypeFilter="All",$C1565=TypeFilter)),1,0)</f>
        <v/>
      </c>
    </row>
    <row r="1566" ht="15" customHeight="1" s="20">
      <c r="A1566" s="19" t="inlineStr">
        <is>
          <t>s4736</t>
        </is>
      </c>
      <c r="B1566" s="19" t="inlineStr">
        <is>
          <t>Romantic Movies</t>
        </is>
      </c>
      <c r="C1566" s="19">
        <f>IFERROR(INDEX(tblNetflix[type],MATCH($A1566,tblNetflix[show_id],0)),"")</f>
        <v/>
      </c>
      <c r="D1566" s="19">
        <f>IFERROR(INDEX(tblNetflix[rating],MATCH($A1566,tblNetflix[show_id],0)),"")</f>
        <v/>
      </c>
      <c r="E1566" s="19">
        <f>IFERROR(INDEX(tblNetflix[year_added],MATCH($A1566,tblNetflix[show_id],0)),"")</f>
        <v/>
      </c>
      <c r="F1566" s="19">
        <f>IF(AND(OR(YearFilter="All",$E1566=YearFilter),OR(RatingFilter="All",$D1566=RatingFilter),OR(TypeFilter="All",$C1566=TypeFilter)),1,0)</f>
        <v/>
      </c>
    </row>
    <row r="1567" ht="15" customHeight="1" s="20">
      <c r="A1567" s="19" t="inlineStr">
        <is>
          <t>s4737</t>
        </is>
      </c>
      <c r="B1567" s="19" t="inlineStr">
        <is>
          <t>Comedies</t>
        </is>
      </c>
      <c r="C1567" s="19">
        <f>IFERROR(INDEX(tblNetflix[type],MATCH($A1567,tblNetflix[show_id],0)),"")</f>
        <v/>
      </c>
      <c r="D1567" s="19">
        <f>IFERROR(INDEX(tblNetflix[rating],MATCH($A1567,tblNetflix[show_id],0)),"")</f>
        <v/>
      </c>
      <c r="E1567" s="19">
        <f>IFERROR(INDEX(tblNetflix[year_added],MATCH($A1567,tblNetflix[show_id],0)),"")</f>
        <v/>
      </c>
      <c r="F1567" s="19">
        <f>IF(AND(OR(YearFilter="All",$E1567=YearFilter),OR(RatingFilter="All",$D1567=RatingFilter),OR(TypeFilter="All",$C1567=TypeFilter)),1,0)</f>
        <v/>
      </c>
    </row>
    <row r="1568" ht="15" customHeight="1" s="20">
      <c r="A1568" s="19" t="inlineStr">
        <is>
          <t>s4737</t>
        </is>
      </c>
      <c r="B1568" s="19" t="inlineStr">
        <is>
          <t>International Movies</t>
        </is>
      </c>
      <c r="C1568" s="19">
        <f>IFERROR(INDEX(tblNetflix[type],MATCH($A1568,tblNetflix[show_id],0)),"")</f>
        <v/>
      </c>
      <c r="D1568" s="19">
        <f>IFERROR(INDEX(tblNetflix[rating],MATCH($A1568,tblNetflix[show_id],0)),"")</f>
        <v/>
      </c>
      <c r="E1568" s="19">
        <f>IFERROR(INDEX(tblNetflix[year_added],MATCH($A1568,tblNetflix[show_id],0)),"")</f>
        <v/>
      </c>
      <c r="F1568" s="19">
        <f>IF(AND(OR(YearFilter="All",$E1568=YearFilter),OR(RatingFilter="All",$D1568=RatingFilter),OR(TypeFilter="All",$C1568=TypeFilter)),1,0)</f>
        <v/>
      </c>
    </row>
    <row r="1569" ht="15" customHeight="1" s="20">
      <c r="A1569" s="19" t="inlineStr">
        <is>
          <t>s4737</t>
        </is>
      </c>
      <c r="B1569" s="19" t="inlineStr">
        <is>
          <t>Romantic Movies</t>
        </is>
      </c>
      <c r="C1569" s="19">
        <f>IFERROR(INDEX(tblNetflix[type],MATCH($A1569,tblNetflix[show_id],0)),"")</f>
        <v/>
      </c>
      <c r="D1569" s="19">
        <f>IFERROR(INDEX(tblNetflix[rating],MATCH($A1569,tblNetflix[show_id],0)),"")</f>
        <v/>
      </c>
      <c r="E1569" s="19">
        <f>IFERROR(INDEX(tblNetflix[year_added],MATCH($A1569,tblNetflix[show_id],0)),"")</f>
        <v/>
      </c>
      <c r="F1569" s="19">
        <f>IF(AND(OR(YearFilter="All",$E1569=YearFilter),OR(RatingFilter="All",$D1569=RatingFilter),OR(TypeFilter="All",$C1569=TypeFilter)),1,0)</f>
        <v/>
      </c>
    </row>
    <row r="1570" ht="15" customHeight="1" s="20">
      <c r="A1570" s="19" t="inlineStr">
        <is>
          <t>s4738</t>
        </is>
      </c>
      <c r="B1570" s="19" t="inlineStr">
        <is>
          <t>Children &amp; Family Movies</t>
        </is>
      </c>
      <c r="C1570" s="19">
        <f>IFERROR(INDEX(tblNetflix[type],MATCH($A1570,tblNetflix[show_id],0)),"")</f>
        <v/>
      </c>
      <c r="D1570" s="19">
        <f>IFERROR(INDEX(tblNetflix[rating],MATCH($A1570,tblNetflix[show_id],0)),"")</f>
        <v/>
      </c>
      <c r="E1570" s="19">
        <f>IFERROR(INDEX(tblNetflix[year_added],MATCH($A1570,tblNetflix[show_id],0)),"")</f>
        <v/>
      </c>
      <c r="F1570" s="19">
        <f>IF(AND(OR(YearFilter="All",$E1570=YearFilter),OR(RatingFilter="All",$D1570=RatingFilter),OR(TypeFilter="All",$C1570=TypeFilter)),1,0)</f>
        <v/>
      </c>
    </row>
    <row r="1571" ht="15" customHeight="1" s="20">
      <c r="A1571" s="19" t="inlineStr">
        <is>
          <t>s4738</t>
        </is>
      </c>
      <c r="B1571" s="19" t="inlineStr">
        <is>
          <t>Dramas</t>
        </is>
      </c>
      <c r="C1571" s="19">
        <f>IFERROR(INDEX(tblNetflix[type],MATCH($A1571,tblNetflix[show_id],0)),"")</f>
        <v/>
      </c>
      <c r="D1571" s="19">
        <f>IFERROR(INDEX(tblNetflix[rating],MATCH($A1571,tblNetflix[show_id],0)),"")</f>
        <v/>
      </c>
      <c r="E1571" s="19">
        <f>IFERROR(INDEX(tblNetflix[year_added],MATCH($A1571,tblNetflix[show_id],0)),"")</f>
        <v/>
      </c>
      <c r="F1571" s="19">
        <f>IF(AND(OR(YearFilter="All",$E1571=YearFilter),OR(RatingFilter="All",$D1571=RatingFilter),OR(TypeFilter="All",$C1571=TypeFilter)),1,0)</f>
        <v/>
      </c>
    </row>
    <row r="1572" ht="15" customHeight="1" s="20">
      <c r="A1572" s="19" t="inlineStr">
        <is>
          <t>s4738</t>
        </is>
      </c>
      <c r="B1572" s="19" t="inlineStr">
        <is>
          <t>Independent Movies</t>
        </is>
      </c>
      <c r="C1572" s="19">
        <f>IFERROR(INDEX(tblNetflix[type],MATCH($A1572,tblNetflix[show_id],0)),"")</f>
        <v/>
      </c>
      <c r="D1572" s="19">
        <f>IFERROR(INDEX(tblNetflix[rating],MATCH($A1572,tblNetflix[show_id],0)),"")</f>
        <v/>
      </c>
      <c r="E1572" s="19">
        <f>IFERROR(INDEX(tblNetflix[year_added],MATCH($A1572,tblNetflix[show_id],0)),"")</f>
        <v/>
      </c>
      <c r="F1572" s="19">
        <f>IF(AND(OR(YearFilter="All",$E1572=YearFilter),OR(RatingFilter="All",$D1572=RatingFilter),OR(TypeFilter="All",$C1572=TypeFilter)),1,0)</f>
        <v/>
      </c>
    </row>
    <row r="1573" ht="15" customHeight="1" s="20">
      <c r="A1573" s="19" t="inlineStr">
        <is>
          <t>s4756</t>
        </is>
      </c>
      <c r="B1573" s="19" t="inlineStr">
        <is>
          <t>Dramas</t>
        </is>
      </c>
      <c r="C1573" s="19">
        <f>IFERROR(INDEX(tblNetflix[type],MATCH($A1573,tblNetflix[show_id],0)),"")</f>
        <v/>
      </c>
      <c r="D1573" s="19">
        <f>IFERROR(INDEX(tblNetflix[rating],MATCH($A1573,tblNetflix[show_id],0)),"")</f>
        <v/>
      </c>
      <c r="E1573" s="19">
        <f>IFERROR(INDEX(tblNetflix[year_added],MATCH($A1573,tblNetflix[show_id],0)),"")</f>
        <v/>
      </c>
      <c r="F1573" s="19">
        <f>IF(AND(OR(YearFilter="All",$E1573=YearFilter),OR(RatingFilter="All",$D1573=RatingFilter),OR(TypeFilter="All",$C1573=TypeFilter)),1,0)</f>
        <v/>
      </c>
    </row>
    <row r="1574" ht="15" customHeight="1" s="20">
      <c r="A1574" s="19" t="inlineStr">
        <is>
          <t>s4756</t>
        </is>
      </c>
      <c r="B1574" s="19" t="inlineStr">
        <is>
          <t>International Movies</t>
        </is>
      </c>
      <c r="C1574" s="19">
        <f>IFERROR(INDEX(tblNetflix[type],MATCH($A1574,tblNetflix[show_id],0)),"")</f>
        <v/>
      </c>
      <c r="D1574" s="19">
        <f>IFERROR(INDEX(tblNetflix[rating],MATCH($A1574,tblNetflix[show_id],0)),"")</f>
        <v/>
      </c>
      <c r="E1574" s="19">
        <f>IFERROR(INDEX(tblNetflix[year_added],MATCH($A1574,tblNetflix[show_id],0)),"")</f>
        <v/>
      </c>
      <c r="F1574" s="19">
        <f>IF(AND(OR(YearFilter="All",$E1574=YearFilter),OR(RatingFilter="All",$D1574=RatingFilter),OR(TypeFilter="All",$C1574=TypeFilter)),1,0)</f>
        <v/>
      </c>
    </row>
    <row r="1575" ht="15" customHeight="1" s="20">
      <c r="A1575" s="19" t="inlineStr">
        <is>
          <t>s4791</t>
        </is>
      </c>
      <c r="B1575" s="19" t="inlineStr">
        <is>
          <t>Comedies</t>
        </is>
      </c>
      <c r="C1575" s="19">
        <f>IFERROR(INDEX(tblNetflix[type],MATCH($A1575,tblNetflix[show_id],0)),"")</f>
        <v/>
      </c>
      <c r="D1575" s="19">
        <f>IFERROR(INDEX(tblNetflix[rating],MATCH($A1575,tblNetflix[show_id],0)),"")</f>
        <v/>
      </c>
      <c r="E1575" s="19">
        <f>IFERROR(INDEX(tblNetflix[year_added],MATCH($A1575,tblNetflix[show_id],0)),"")</f>
        <v/>
      </c>
      <c r="F1575" s="19">
        <f>IF(AND(OR(YearFilter="All",$E1575=YearFilter),OR(RatingFilter="All",$D1575=RatingFilter),OR(TypeFilter="All",$C1575=TypeFilter)),1,0)</f>
        <v/>
      </c>
    </row>
    <row r="1576" ht="15" customHeight="1" s="20">
      <c r="A1576" s="19" t="inlineStr">
        <is>
          <t>s4791</t>
        </is>
      </c>
      <c r="B1576" s="19" t="inlineStr">
        <is>
          <t>Dramas</t>
        </is>
      </c>
      <c r="C1576" s="19">
        <f>IFERROR(INDEX(tblNetflix[type],MATCH($A1576,tblNetflix[show_id],0)),"")</f>
        <v/>
      </c>
      <c r="D1576" s="19">
        <f>IFERROR(INDEX(tblNetflix[rating],MATCH($A1576,tblNetflix[show_id],0)),"")</f>
        <v/>
      </c>
      <c r="E1576" s="19">
        <f>IFERROR(INDEX(tblNetflix[year_added],MATCH($A1576,tblNetflix[show_id],0)),"")</f>
        <v/>
      </c>
      <c r="F1576" s="19">
        <f>IF(AND(OR(YearFilter="All",$E1576=YearFilter),OR(RatingFilter="All",$D1576=RatingFilter),OR(TypeFilter="All",$C1576=TypeFilter)),1,0)</f>
        <v/>
      </c>
    </row>
    <row r="1577" ht="15" customHeight="1" s="20">
      <c r="A1577" s="19" t="inlineStr">
        <is>
          <t>s4791</t>
        </is>
      </c>
      <c r="B1577" s="19" t="inlineStr">
        <is>
          <t>International Movies</t>
        </is>
      </c>
      <c r="C1577" s="19">
        <f>IFERROR(INDEX(tblNetflix[type],MATCH($A1577,tblNetflix[show_id],0)),"")</f>
        <v/>
      </c>
      <c r="D1577" s="19">
        <f>IFERROR(INDEX(tblNetflix[rating],MATCH($A1577,tblNetflix[show_id],0)),"")</f>
        <v/>
      </c>
      <c r="E1577" s="19">
        <f>IFERROR(INDEX(tblNetflix[year_added],MATCH($A1577,tblNetflix[show_id],0)),"")</f>
        <v/>
      </c>
      <c r="F1577" s="19">
        <f>IF(AND(OR(YearFilter="All",$E1577=YearFilter),OR(RatingFilter="All",$D1577=RatingFilter),OR(TypeFilter="All",$C1577=TypeFilter)),1,0)</f>
        <v/>
      </c>
    </row>
    <row r="1578" ht="15" customHeight="1" s="20">
      <c r="A1578" s="19" t="inlineStr">
        <is>
          <t>s4793</t>
        </is>
      </c>
      <c r="B1578" s="19" t="inlineStr">
        <is>
          <t>Dramas</t>
        </is>
      </c>
      <c r="C1578" s="19">
        <f>IFERROR(INDEX(tblNetflix[type],MATCH($A1578,tblNetflix[show_id],0)),"")</f>
        <v/>
      </c>
      <c r="D1578" s="19">
        <f>IFERROR(INDEX(tblNetflix[rating],MATCH($A1578,tblNetflix[show_id],0)),"")</f>
        <v/>
      </c>
      <c r="E1578" s="19">
        <f>IFERROR(INDEX(tblNetflix[year_added],MATCH($A1578,tblNetflix[show_id],0)),"")</f>
        <v/>
      </c>
      <c r="F1578" s="19">
        <f>IF(AND(OR(YearFilter="All",$E1578=YearFilter),OR(RatingFilter="All",$D1578=RatingFilter),OR(TypeFilter="All",$C1578=TypeFilter)),1,0)</f>
        <v/>
      </c>
    </row>
    <row r="1579" ht="15" customHeight="1" s="20">
      <c r="A1579" s="19" t="inlineStr">
        <is>
          <t>s4793</t>
        </is>
      </c>
      <c r="B1579" s="19" t="inlineStr">
        <is>
          <t>International Movies</t>
        </is>
      </c>
      <c r="C1579" s="19">
        <f>IFERROR(INDEX(tblNetflix[type],MATCH($A1579,tblNetflix[show_id],0)),"")</f>
        <v/>
      </c>
      <c r="D1579" s="19">
        <f>IFERROR(INDEX(tblNetflix[rating],MATCH($A1579,tblNetflix[show_id],0)),"")</f>
        <v/>
      </c>
      <c r="E1579" s="19">
        <f>IFERROR(INDEX(tblNetflix[year_added],MATCH($A1579,tblNetflix[show_id],0)),"")</f>
        <v/>
      </c>
      <c r="F1579" s="19">
        <f>IF(AND(OR(YearFilter="All",$E1579=YearFilter),OR(RatingFilter="All",$D1579=RatingFilter),OR(TypeFilter="All",$C1579=TypeFilter)),1,0)</f>
        <v/>
      </c>
    </row>
    <row r="1580" ht="15" customHeight="1" s="20">
      <c r="A1580" s="19" t="inlineStr">
        <is>
          <t>s4793</t>
        </is>
      </c>
      <c r="B1580" s="19" t="inlineStr">
        <is>
          <t>Romantic Movies</t>
        </is>
      </c>
      <c r="C1580" s="19">
        <f>IFERROR(INDEX(tblNetflix[type],MATCH($A1580,tblNetflix[show_id],0)),"")</f>
        <v/>
      </c>
      <c r="D1580" s="19">
        <f>IFERROR(INDEX(tblNetflix[rating],MATCH($A1580,tblNetflix[show_id],0)),"")</f>
        <v/>
      </c>
      <c r="E1580" s="19">
        <f>IFERROR(INDEX(tblNetflix[year_added],MATCH($A1580,tblNetflix[show_id],0)),"")</f>
        <v/>
      </c>
      <c r="F1580" s="19">
        <f>IF(AND(OR(YearFilter="All",$E1580=YearFilter),OR(RatingFilter="All",$D1580=RatingFilter),OR(TypeFilter="All",$C1580=TypeFilter)),1,0)</f>
        <v/>
      </c>
    </row>
    <row r="1581" ht="15" customHeight="1" s="20">
      <c r="A1581" s="19" t="inlineStr">
        <is>
          <t>s4794</t>
        </is>
      </c>
      <c r="B1581" s="19" t="inlineStr">
        <is>
          <t>Comedies</t>
        </is>
      </c>
      <c r="C1581" s="19">
        <f>IFERROR(INDEX(tblNetflix[type],MATCH($A1581,tblNetflix[show_id],0)),"")</f>
        <v/>
      </c>
      <c r="D1581" s="19">
        <f>IFERROR(INDEX(tblNetflix[rating],MATCH($A1581,tblNetflix[show_id],0)),"")</f>
        <v/>
      </c>
      <c r="E1581" s="19">
        <f>IFERROR(INDEX(tblNetflix[year_added],MATCH($A1581,tblNetflix[show_id],0)),"")</f>
        <v/>
      </c>
      <c r="F1581" s="19">
        <f>IF(AND(OR(YearFilter="All",$E1581=YearFilter),OR(RatingFilter="All",$D1581=RatingFilter),OR(TypeFilter="All",$C1581=TypeFilter)),1,0)</f>
        <v/>
      </c>
    </row>
    <row r="1582" ht="15" customHeight="1" s="20">
      <c r="A1582" s="19" t="inlineStr">
        <is>
          <t>s4794</t>
        </is>
      </c>
      <c r="B1582" s="19" t="inlineStr">
        <is>
          <t>Dramas</t>
        </is>
      </c>
      <c r="C1582" s="19">
        <f>IFERROR(INDEX(tblNetflix[type],MATCH($A1582,tblNetflix[show_id],0)),"")</f>
        <v/>
      </c>
      <c r="D1582" s="19">
        <f>IFERROR(INDEX(tblNetflix[rating],MATCH($A1582,tblNetflix[show_id],0)),"")</f>
        <v/>
      </c>
      <c r="E1582" s="19">
        <f>IFERROR(INDEX(tblNetflix[year_added],MATCH($A1582,tblNetflix[show_id],0)),"")</f>
        <v/>
      </c>
      <c r="F1582" s="19">
        <f>IF(AND(OR(YearFilter="All",$E1582=YearFilter),OR(RatingFilter="All",$D1582=RatingFilter),OR(TypeFilter="All",$C1582=TypeFilter)),1,0)</f>
        <v/>
      </c>
    </row>
    <row r="1583" ht="15" customHeight="1" s="20">
      <c r="A1583" s="19" t="inlineStr">
        <is>
          <t>s4794</t>
        </is>
      </c>
      <c r="B1583" s="19" t="inlineStr">
        <is>
          <t>International Movies</t>
        </is>
      </c>
      <c r="C1583" s="19">
        <f>IFERROR(INDEX(tblNetflix[type],MATCH($A1583,tblNetflix[show_id],0)),"")</f>
        <v/>
      </c>
      <c r="D1583" s="19">
        <f>IFERROR(INDEX(tblNetflix[rating],MATCH($A1583,tblNetflix[show_id],0)),"")</f>
        <v/>
      </c>
      <c r="E1583" s="19">
        <f>IFERROR(INDEX(tblNetflix[year_added],MATCH($A1583,tblNetflix[show_id],0)),"")</f>
        <v/>
      </c>
      <c r="F1583" s="19">
        <f>IF(AND(OR(YearFilter="All",$E1583=YearFilter),OR(RatingFilter="All",$D1583=RatingFilter),OR(TypeFilter="All",$C1583=TypeFilter)),1,0)</f>
        <v/>
      </c>
    </row>
    <row r="1584" ht="15" customHeight="1" s="20">
      <c r="A1584" s="19" t="inlineStr">
        <is>
          <t>s4796</t>
        </is>
      </c>
      <c r="B1584" s="19" t="inlineStr">
        <is>
          <t>Children &amp; Family Movies</t>
        </is>
      </c>
      <c r="C1584" s="19">
        <f>IFERROR(INDEX(tblNetflix[type],MATCH($A1584,tblNetflix[show_id],0)),"")</f>
        <v/>
      </c>
      <c r="D1584" s="19">
        <f>IFERROR(INDEX(tblNetflix[rating],MATCH($A1584,tblNetflix[show_id],0)),"")</f>
        <v/>
      </c>
      <c r="E1584" s="19">
        <f>IFERROR(INDEX(tblNetflix[year_added],MATCH($A1584,tblNetflix[show_id],0)),"")</f>
        <v/>
      </c>
      <c r="F1584" s="19">
        <f>IF(AND(OR(YearFilter="All",$E1584=YearFilter),OR(RatingFilter="All",$D1584=RatingFilter),OR(TypeFilter="All",$C1584=TypeFilter)),1,0)</f>
        <v/>
      </c>
    </row>
    <row r="1585" ht="15" customHeight="1" s="20">
      <c r="A1585" s="19" t="inlineStr">
        <is>
          <t>s4796</t>
        </is>
      </c>
      <c r="B1585" s="19" t="inlineStr">
        <is>
          <t>Comedies</t>
        </is>
      </c>
      <c r="C1585" s="19">
        <f>IFERROR(INDEX(tblNetflix[type],MATCH($A1585,tblNetflix[show_id],0)),"")</f>
        <v/>
      </c>
      <c r="D1585" s="19">
        <f>IFERROR(INDEX(tblNetflix[rating],MATCH($A1585,tblNetflix[show_id],0)),"")</f>
        <v/>
      </c>
      <c r="E1585" s="19">
        <f>IFERROR(INDEX(tblNetflix[year_added],MATCH($A1585,tblNetflix[show_id],0)),"")</f>
        <v/>
      </c>
      <c r="F1585" s="19">
        <f>IF(AND(OR(YearFilter="All",$E1585=YearFilter),OR(RatingFilter="All",$D1585=RatingFilter),OR(TypeFilter="All",$C1585=TypeFilter)),1,0)</f>
        <v/>
      </c>
    </row>
    <row r="1586" ht="15" customHeight="1" s="20">
      <c r="A1586" s="19" t="inlineStr">
        <is>
          <t>s4796</t>
        </is>
      </c>
      <c r="B1586" s="19" t="inlineStr">
        <is>
          <t>Dramas</t>
        </is>
      </c>
      <c r="C1586" s="19">
        <f>IFERROR(INDEX(tblNetflix[type],MATCH($A1586,tblNetflix[show_id],0)),"")</f>
        <v/>
      </c>
      <c r="D1586" s="19">
        <f>IFERROR(INDEX(tblNetflix[rating],MATCH($A1586,tblNetflix[show_id],0)),"")</f>
        <v/>
      </c>
      <c r="E1586" s="19">
        <f>IFERROR(INDEX(tblNetflix[year_added],MATCH($A1586,tblNetflix[show_id],0)),"")</f>
        <v/>
      </c>
      <c r="F1586" s="19">
        <f>IF(AND(OR(YearFilter="All",$E1586=YearFilter),OR(RatingFilter="All",$D1586=RatingFilter),OR(TypeFilter="All",$C1586=TypeFilter)),1,0)</f>
        <v/>
      </c>
    </row>
    <row r="1587" ht="15" customHeight="1" s="20">
      <c r="A1587" s="19" t="inlineStr">
        <is>
          <t>s4797</t>
        </is>
      </c>
      <c r="B1587" s="19" t="inlineStr">
        <is>
          <t>Dramas</t>
        </is>
      </c>
      <c r="C1587" s="19">
        <f>IFERROR(INDEX(tblNetflix[type],MATCH($A1587,tblNetflix[show_id],0)),"")</f>
        <v/>
      </c>
      <c r="D1587" s="19">
        <f>IFERROR(INDEX(tblNetflix[rating],MATCH($A1587,tblNetflix[show_id],0)),"")</f>
        <v/>
      </c>
      <c r="E1587" s="19">
        <f>IFERROR(INDEX(tblNetflix[year_added],MATCH($A1587,tblNetflix[show_id],0)),"")</f>
        <v/>
      </c>
      <c r="F1587" s="19">
        <f>IF(AND(OR(YearFilter="All",$E1587=YearFilter),OR(RatingFilter="All",$D1587=RatingFilter),OR(TypeFilter="All",$C1587=TypeFilter)),1,0)</f>
        <v/>
      </c>
    </row>
    <row r="1588" ht="15" customHeight="1" s="20">
      <c r="A1588" s="19" t="inlineStr">
        <is>
          <t>s4797</t>
        </is>
      </c>
      <c r="B1588" s="19" t="inlineStr">
        <is>
          <t>International Movies</t>
        </is>
      </c>
      <c r="C1588" s="19">
        <f>IFERROR(INDEX(tblNetflix[type],MATCH($A1588,tblNetflix[show_id],0)),"")</f>
        <v/>
      </c>
      <c r="D1588" s="19">
        <f>IFERROR(INDEX(tblNetflix[rating],MATCH($A1588,tblNetflix[show_id],0)),"")</f>
        <v/>
      </c>
      <c r="E1588" s="19">
        <f>IFERROR(INDEX(tblNetflix[year_added],MATCH($A1588,tblNetflix[show_id],0)),"")</f>
        <v/>
      </c>
      <c r="F1588" s="19">
        <f>IF(AND(OR(YearFilter="All",$E1588=YearFilter),OR(RatingFilter="All",$D1588=RatingFilter),OR(TypeFilter="All",$C1588=TypeFilter)),1,0)</f>
        <v/>
      </c>
    </row>
    <row r="1589" ht="15" customHeight="1" s="20">
      <c r="A1589" s="19" t="inlineStr">
        <is>
          <t>s4797</t>
        </is>
      </c>
      <c r="B1589" s="19" t="inlineStr">
        <is>
          <t>Thrillers</t>
        </is>
      </c>
      <c r="C1589" s="19">
        <f>IFERROR(INDEX(tblNetflix[type],MATCH($A1589,tblNetflix[show_id],0)),"")</f>
        <v/>
      </c>
      <c r="D1589" s="19">
        <f>IFERROR(INDEX(tblNetflix[rating],MATCH($A1589,tblNetflix[show_id],0)),"")</f>
        <v/>
      </c>
      <c r="E1589" s="19">
        <f>IFERROR(INDEX(tblNetflix[year_added],MATCH($A1589,tblNetflix[show_id],0)),"")</f>
        <v/>
      </c>
      <c r="F1589" s="19">
        <f>IF(AND(OR(YearFilter="All",$E1589=YearFilter),OR(RatingFilter="All",$D1589=RatingFilter),OR(TypeFilter="All",$C1589=TypeFilter)),1,0)</f>
        <v/>
      </c>
    </row>
    <row r="1590" ht="15" customHeight="1" s="20">
      <c r="A1590" s="19" t="inlineStr">
        <is>
          <t>s4798</t>
        </is>
      </c>
      <c r="B1590" s="19" t="inlineStr">
        <is>
          <t>Comedies</t>
        </is>
      </c>
      <c r="C1590" s="19">
        <f>IFERROR(INDEX(tblNetflix[type],MATCH($A1590,tblNetflix[show_id],0)),"")</f>
        <v/>
      </c>
      <c r="D1590" s="19">
        <f>IFERROR(INDEX(tblNetflix[rating],MATCH($A1590,tblNetflix[show_id],0)),"")</f>
        <v/>
      </c>
      <c r="E1590" s="19">
        <f>IFERROR(INDEX(tblNetflix[year_added],MATCH($A1590,tblNetflix[show_id],0)),"")</f>
        <v/>
      </c>
      <c r="F1590" s="19">
        <f>IF(AND(OR(YearFilter="All",$E1590=YearFilter),OR(RatingFilter="All",$D1590=RatingFilter),OR(TypeFilter="All",$C1590=TypeFilter)),1,0)</f>
        <v/>
      </c>
    </row>
    <row r="1591" ht="15" customHeight="1" s="20">
      <c r="A1591" s="19" t="inlineStr">
        <is>
          <t>s4798</t>
        </is>
      </c>
      <c r="B1591" s="19" t="inlineStr">
        <is>
          <t>Dramas</t>
        </is>
      </c>
      <c r="C1591" s="19">
        <f>IFERROR(INDEX(tblNetflix[type],MATCH($A1591,tblNetflix[show_id],0)),"")</f>
        <v/>
      </c>
      <c r="D1591" s="19">
        <f>IFERROR(INDEX(tblNetflix[rating],MATCH($A1591,tblNetflix[show_id],0)),"")</f>
        <v/>
      </c>
      <c r="E1591" s="19">
        <f>IFERROR(INDEX(tblNetflix[year_added],MATCH($A1591,tblNetflix[show_id],0)),"")</f>
        <v/>
      </c>
      <c r="F1591" s="19">
        <f>IF(AND(OR(YearFilter="All",$E1591=YearFilter),OR(RatingFilter="All",$D1591=RatingFilter),OR(TypeFilter="All",$C1591=TypeFilter)),1,0)</f>
        <v/>
      </c>
    </row>
    <row r="1592" ht="15" customHeight="1" s="20">
      <c r="A1592" s="19" t="inlineStr">
        <is>
          <t>s4798</t>
        </is>
      </c>
      <c r="B1592" s="19" t="inlineStr">
        <is>
          <t>International Movies</t>
        </is>
      </c>
      <c r="C1592" s="19">
        <f>IFERROR(INDEX(tblNetflix[type],MATCH($A1592,tblNetflix[show_id],0)),"")</f>
        <v/>
      </c>
      <c r="D1592" s="19">
        <f>IFERROR(INDEX(tblNetflix[rating],MATCH($A1592,tblNetflix[show_id],0)),"")</f>
        <v/>
      </c>
      <c r="E1592" s="19">
        <f>IFERROR(INDEX(tblNetflix[year_added],MATCH($A1592,tblNetflix[show_id],0)),"")</f>
        <v/>
      </c>
      <c r="F1592" s="19">
        <f>IF(AND(OR(YearFilter="All",$E1592=YearFilter),OR(RatingFilter="All",$D1592=RatingFilter),OR(TypeFilter="All",$C1592=TypeFilter)),1,0)</f>
        <v/>
      </c>
    </row>
    <row r="1593" ht="15" customHeight="1" s="20">
      <c r="A1593" s="19" t="inlineStr">
        <is>
          <t>s4801</t>
        </is>
      </c>
      <c r="B1593" s="19" t="inlineStr">
        <is>
          <t>Comedies</t>
        </is>
      </c>
      <c r="C1593" s="19">
        <f>IFERROR(INDEX(tblNetflix[type],MATCH($A1593,tblNetflix[show_id],0)),"")</f>
        <v/>
      </c>
      <c r="D1593" s="19">
        <f>IFERROR(INDEX(tblNetflix[rating],MATCH($A1593,tblNetflix[show_id],0)),"")</f>
        <v/>
      </c>
      <c r="E1593" s="19">
        <f>IFERROR(INDEX(tblNetflix[year_added],MATCH($A1593,tblNetflix[show_id],0)),"")</f>
        <v/>
      </c>
      <c r="F1593" s="19">
        <f>IF(AND(OR(YearFilter="All",$E1593=YearFilter),OR(RatingFilter="All",$D1593=RatingFilter),OR(TypeFilter="All",$C1593=TypeFilter)),1,0)</f>
        <v/>
      </c>
    </row>
    <row r="1594" ht="15" customHeight="1" s="20">
      <c r="A1594" s="19" t="inlineStr">
        <is>
          <t>s4801</t>
        </is>
      </c>
      <c r="B1594" s="19" t="inlineStr">
        <is>
          <t>Dramas</t>
        </is>
      </c>
      <c r="C1594" s="19">
        <f>IFERROR(INDEX(tblNetflix[type],MATCH($A1594,tblNetflix[show_id],0)),"")</f>
        <v/>
      </c>
      <c r="D1594" s="19">
        <f>IFERROR(INDEX(tblNetflix[rating],MATCH($A1594,tblNetflix[show_id],0)),"")</f>
        <v/>
      </c>
      <c r="E1594" s="19">
        <f>IFERROR(INDEX(tblNetflix[year_added],MATCH($A1594,tblNetflix[show_id],0)),"")</f>
        <v/>
      </c>
      <c r="F1594" s="19">
        <f>IF(AND(OR(YearFilter="All",$E1594=YearFilter),OR(RatingFilter="All",$D1594=RatingFilter),OR(TypeFilter="All",$C1594=TypeFilter)),1,0)</f>
        <v/>
      </c>
    </row>
    <row r="1595" ht="15" customHeight="1" s="20">
      <c r="A1595" s="19" t="inlineStr">
        <is>
          <t>s4801</t>
        </is>
      </c>
      <c r="B1595" s="19" t="inlineStr">
        <is>
          <t>International Movies</t>
        </is>
      </c>
      <c r="C1595" s="19">
        <f>IFERROR(INDEX(tblNetflix[type],MATCH($A1595,tblNetflix[show_id],0)),"")</f>
        <v/>
      </c>
      <c r="D1595" s="19">
        <f>IFERROR(INDEX(tblNetflix[rating],MATCH($A1595,tblNetflix[show_id],0)),"")</f>
        <v/>
      </c>
      <c r="E1595" s="19">
        <f>IFERROR(INDEX(tblNetflix[year_added],MATCH($A1595,tblNetflix[show_id],0)),"")</f>
        <v/>
      </c>
      <c r="F1595" s="19">
        <f>IF(AND(OR(YearFilter="All",$E1595=YearFilter),OR(RatingFilter="All",$D1595=RatingFilter),OR(TypeFilter="All",$C1595=TypeFilter)),1,0)</f>
        <v/>
      </c>
    </row>
    <row r="1596" ht="15" customHeight="1" s="20">
      <c r="A1596" s="19" t="inlineStr">
        <is>
          <t>s4803</t>
        </is>
      </c>
      <c r="B1596" s="19" t="inlineStr">
        <is>
          <t>Dramas</t>
        </is>
      </c>
      <c r="C1596" s="19">
        <f>IFERROR(INDEX(tblNetflix[type],MATCH($A1596,tblNetflix[show_id],0)),"")</f>
        <v/>
      </c>
      <c r="D1596" s="19">
        <f>IFERROR(INDEX(tblNetflix[rating],MATCH($A1596,tblNetflix[show_id],0)),"")</f>
        <v/>
      </c>
      <c r="E1596" s="19">
        <f>IFERROR(INDEX(tblNetflix[year_added],MATCH($A1596,tblNetflix[show_id],0)),"")</f>
        <v/>
      </c>
      <c r="F1596" s="19">
        <f>IF(AND(OR(YearFilter="All",$E1596=YearFilter),OR(RatingFilter="All",$D1596=RatingFilter),OR(TypeFilter="All",$C1596=TypeFilter)),1,0)</f>
        <v/>
      </c>
    </row>
    <row r="1597" ht="15" customHeight="1" s="20">
      <c r="A1597" s="19" t="inlineStr">
        <is>
          <t>s4803</t>
        </is>
      </c>
      <c r="B1597" s="19" t="inlineStr">
        <is>
          <t>Independent Movies</t>
        </is>
      </c>
      <c r="C1597" s="19">
        <f>IFERROR(INDEX(tblNetflix[type],MATCH($A1597,tblNetflix[show_id],0)),"")</f>
        <v/>
      </c>
      <c r="D1597" s="19">
        <f>IFERROR(INDEX(tblNetflix[rating],MATCH($A1597,tblNetflix[show_id],0)),"")</f>
        <v/>
      </c>
      <c r="E1597" s="19">
        <f>IFERROR(INDEX(tblNetflix[year_added],MATCH($A1597,tblNetflix[show_id],0)),"")</f>
        <v/>
      </c>
      <c r="F1597" s="19">
        <f>IF(AND(OR(YearFilter="All",$E1597=YearFilter),OR(RatingFilter="All",$D1597=RatingFilter),OR(TypeFilter="All",$C1597=TypeFilter)),1,0)</f>
        <v/>
      </c>
    </row>
    <row r="1598" ht="15" customHeight="1" s="20">
      <c r="A1598" s="19" t="inlineStr">
        <is>
          <t>s4803</t>
        </is>
      </c>
      <c r="B1598" s="19" t="inlineStr">
        <is>
          <t>International Movies</t>
        </is>
      </c>
      <c r="C1598" s="19">
        <f>IFERROR(INDEX(tblNetflix[type],MATCH($A1598,tblNetflix[show_id],0)),"")</f>
        <v/>
      </c>
      <c r="D1598" s="19">
        <f>IFERROR(INDEX(tblNetflix[rating],MATCH($A1598,tblNetflix[show_id],0)),"")</f>
        <v/>
      </c>
      <c r="E1598" s="19">
        <f>IFERROR(INDEX(tblNetflix[year_added],MATCH($A1598,tblNetflix[show_id],0)),"")</f>
        <v/>
      </c>
      <c r="F1598" s="19">
        <f>IF(AND(OR(YearFilter="All",$E1598=YearFilter),OR(RatingFilter="All",$D1598=RatingFilter),OR(TypeFilter="All",$C1598=TypeFilter)),1,0)</f>
        <v/>
      </c>
    </row>
    <row r="1599" ht="15" customHeight="1" s="20">
      <c r="A1599" s="19" t="inlineStr">
        <is>
          <t>s4826</t>
        </is>
      </c>
      <c r="B1599" s="19" t="inlineStr">
        <is>
          <t>Comedies</t>
        </is>
      </c>
      <c r="C1599" s="19">
        <f>IFERROR(INDEX(tblNetflix[type],MATCH($A1599,tblNetflix[show_id],0)),"")</f>
        <v/>
      </c>
      <c r="D1599" s="19">
        <f>IFERROR(INDEX(tblNetflix[rating],MATCH($A1599,tblNetflix[show_id],0)),"")</f>
        <v/>
      </c>
      <c r="E1599" s="19">
        <f>IFERROR(INDEX(tblNetflix[year_added],MATCH($A1599,tblNetflix[show_id],0)),"")</f>
        <v/>
      </c>
      <c r="F1599" s="19">
        <f>IF(AND(OR(YearFilter="All",$E1599=YearFilter),OR(RatingFilter="All",$D1599=RatingFilter),OR(TypeFilter="All",$C1599=TypeFilter)),1,0)</f>
        <v/>
      </c>
    </row>
    <row r="1600" ht="15" customHeight="1" s="20">
      <c r="A1600" s="19" t="inlineStr">
        <is>
          <t>s4826</t>
        </is>
      </c>
      <c r="B1600" s="19" t="inlineStr">
        <is>
          <t>Dramas</t>
        </is>
      </c>
      <c r="C1600" s="19">
        <f>IFERROR(INDEX(tblNetflix[type],MATCH($A1600,tblNetflix[show_id],0)),"")</f>
        <v/>
      </c>
      <c r="D1600" s="19">
        <f>IFERROR(INDEX(tblNetflix[rating],MATCH($A1600,tblNetflix[show_id],0)),"")</f>
        <v/>
      </c>
      <c r="E1600" s="19">
        <f>IFERROR(INDEX(tblNetflix[year_added],MATCH($A1600,tblNetflix[show_id],0)),"")</f>
        <v/>
      </c>
      <c r="F1600" s="19">
        <f>IF(AND(OR(YearFilter="All",$E1600=YearFilter),OR(RatingFilter="All",$D1600=RatingFilter),OR(TypeFilter="All",$C1600=TypeFilter)),1,0)</f>
        <v/>
      </c>
    </row>
    <row r="1601" ht="15" customHeight="1" s="20">
      <c r="A1601" s="19" t="inlineStr">
        <is>
          <t>s4826</t>
        </is>
      </c>
      <c r="B1601" s="19" t="inlineStr">
        <is>
          <t>International Movies</t>
        </is>
      </c>
      <c r="C1601" s="19">
        <f>IFERROR(INDEX(tblNetflix[type],MATCH($A1601,tblNetflix[show_id],0)),"")</f>
        <v/>
      </c>
      <c r="D1601" s="19">
        <f>IFERROR(INDEX(tblNetflix[rating],MATCH($A1601,tblNetflix[show_id],0)),"")</f>
        <v/>
      </c>
      <c r="E1601" s="19">
        <f>IFERROR(INDEX(tblNetflix[year_added],MATCH($A1601,tblNetflix[show_id],0)),"")</f>
        <v/>
      </c>
      <c r="F1601" s="19">
        <f>IF(AND(OR(YearFilter="All",$E1601=YearFilter),OR(RatingFilter="All",$D1601=RatingFilter),OR(TypeFilter="All",$C1601=TypeFilter)),1,0)</f>
        <v/>
      </c>
    </row>
    <row r="1602" ht="15" customHeight="1" s="20">
      <c r="A1602" s="19" t="inlineStr">
        <is>
          <t>s4840</t>
        </is>
      </c>
      <c r="B1602" s="19" t="inlineStr">
        <is>
          <t>Dramas</t>
        </is>
      </c>
      <c r="C1602" s="19">
        <f>IFERROR(INDEX(tblNetflix[type],MATCH($A1602,tblNetflix[show_id],0)),"")</f>
        <v/>
      </c>
      <c r="D1602" s="19">
        <f>IFERROR(INDEX(tblNetflix[rating],MATCH($A1602,tblNetflix[show_id],0)),"")</f>
        <v/>
      </c>
      <c r="E1602" s="19">
        <f>IFERROR(INDEX(tblNetflix[year_added],MATCH($A1602,tblNetflix[show_id],0)),"")</f>
        <v/>
      </c>
      <c r="F1602" s="19">
        <f>IF(AND(OR(YearFilter="All",$E1602=YearFilter),OR(RatingFilter="All",$D1602=RatingFilter),OR(TypeFilter="All",$C1602=TypeFilter)),1,0)</f>
        <v/>
      </c>
    </row>
    <row r="1603" ht="15" customHeight="1" s="20">
      <c r="A1603" s="19" t="inlineStr">
        <is>
          <t>s4840</t>
        </is>
      </c>
      <c r="B1603" s="19" t="inlineStr">
        <is>
          <t>International Movies</t>
        </is>
      </c>
      <c r="C1603" s="19">
        <f>IFERROR(INDEX(tblNetflix[type],MATCH($A1603,tblNetflix[show_id],0)),"")</f>
        <v/>
      </c>
      <c r="D1603" s="19">
        <f>IFERROR(INDEX(tblNetflix[rating],MATCH($A1603,tblNetflix[show_id],0)),"")</f>
        <v/>
      </c>
      <c r="E1603" s="19">
        <f>IFERROR(INDEX(tblNetflix[year_added],MATCH($A1603,tblNetflix[show_id],0)),"")</f>
        <v/>
      </c>
      <c r="F1603" s="19">
        <f>IF(AND(OR(YearFilter="All",$E1603=YearFilter),OR(RatingFilter="All",$D1603=RatingFilter),OR(TypeFilter="All",$C1603=TypeFilter)),1,0)</f>
        <v/>
      </c>
    </row>
    <row r="1604" ht="15" customHeight="1" s="20">
      <c r="A1604" s="19" t="inlineStr">
        <is>
          <t>s4861</t>
        </is>
      </c>
      <c r="B1604" s="19" t="inlineStr">
        <is>
          <t>Action &amp; Adventure</t>
        </is>
      </c>
      <c r="C1604" s="19">
        <f>IFERROR(INDEX(tblNetflix[type],MATCH($A1604,tblNetflix[show_id],0)),"")</f>
        <v/>
      </c>
      <c r="D1604" s="19">
        <f>IFERROR(INDEX(tblNetflix[rating],MATCH($A1604,tblNetflix[show_id],0)),"")</f>
        <v/>
      </c>
      <c r="E1604" s="19">
        <f>IFERROR(INDEX(tblNetflix[year_added],MATCH($A1604,tblNetflix[show_id],0)),"")</f>
        <v/>
      </c>
      <c r="F1604" s="19">
        <f>IF(AND(OR(YearFilter="All",$E1604=YearFilter),OR(RatingFilter="All",$D1604=RatingFilter),OR(TypeFilter="All",$C1604=TypeFilter)),1,0)</f>
        <v/>
      </c>
    </row>
    <row r="1605" ht="15" customHeight="1" s="20">
      <c r="A1605" s="19" t="inlineStr">
        <is>
          <t>s4861</t>
        </is>
      </c>
      <c r="B1605" s="19" t="inlineStr">
        <is>
          <t>Dramas</t>
        </is>
      </c>
      <c r="C1605" s="19">
        <f>IFERROR(INDEX(tblNetflix[type],MATCH($A1605,tblNetflix[show_id],0)),"")</f>
        <v/>
      </c>
      <c r="D1605" s="19">
        <f>IFERROR(INDEX(tblNetflix[rating],MATCH($A1605,tblNetflix[show_id],0)),"")</f>
        <v/>
      </c>
      <c r="E1605" s="19">
        <f>IFERROR(INDEX(tblNetflix[year_added],MATCH($A1605,tblNetflix[show_id],0)),"")</f>
        <v/>
      </c>
      <c r="F1605" s="19">
        <f>IF(AND(OR(YearFilter="All",$E1605=YearFilter),OR(RatingFilter="All",$D1605=RatingFilter),OR(TypeFilter="All",$C1605=TypeFilter)),1,0)</f>
        <v/>
      </c>
    </row>
    <row r="1606" ht="15" customHeight="1" s="20">
      <c r="A1606" s="19" t="inlineStr">
        <is>
          <t>s4861</t>
        </is>
      </c>
      <c r="B1606" s="19" t="inlineStr">
        <is>
          <t>International Movies</t>
        </is>
      </c>
      <c r="C1606" s="19">
        <f>IFERROR(INDEX(tblNetflix[type],MATCH($A1606,tblNetflix[show_id],0)),"")</f>
        <v/>
      </c>
      <c r="D1606" s="19">
        <f>IFERROR(INDEX(tblNetflix[rating],MATCH($A1606,tblNetflix[show_id],0)),"")</f>
        <v/>
      </c>
      <c r="E1606" s="19">
        <f>IFERROR(INDEX(tblNetflix[year_added],MATCH($A1606,tblNetflix[show_id],0)),"")</f>
        <v/>
      </c>
      <c r="F1606" s="19">
        <f>IF(AND(OR(YearFilter="All",$E1606=YearFilter),OR(RatingFilter="All",$D1606=RatingFilter),OR(TypeFilter="All",$C1606=TypeFilter)),1,0)</f>
        <v/>
      </c>
    </row>
    <row r="1607" ht="15" customHeight="1" s="20">
      <c r="A1607" s="19" t="inlineStr">
        <is>
          <t>s4886</t>
        </is>
      </c>
      <c r="B1607" s="19" t="inlineStr">
        <is>
          <t>Dramas</t>
        </is>
      </c>
      <c r="C1607" s="19">
        <f>IFERROR(INDEX(tblNetflix[type],MATCH($A1607,tblNetflix[show_id],0)),"")</f>
        <v/>
      </c>
      <c r="D1607" s="19">
        <f>IFERROR(INDEX(tblNetflix[rating],MATCH($A1607,tblNetflix[show_id],0)),"")</f>
        <v/>
      </c>
      <c r="E1607" s="19">
        <f>IFERROR(INDEX(tblNetflix[year_added],MATCH($A1607,tblNetflix[show_id],0)),"")</f>
        <v/>
      </c>
      <c r="F1607" s="19">
        <f>IF(AND(OR(YearFilter="All",$E1607=YearFilter),OR(RatingFilter="All",$D1607=RatingFilter),OR(TypeFilter="All",$C1607=TypeFilter)),1,0)</f>
        <v/>
      </c>
    </row>
    <row r="1608" ht="15" customHeight="1" s="20">
      <c r="A1608" s="19" t="inlineStr">
        <is>
          <t>s4886</t>
        </is>
      </c>
      <c r="B1608" s="19" t="inlineStr">
        <is>
          <t>International Movies</t>
        </is>
      </c>
      <c r="C1608" s="19">
        <f>IFERROR(INDEX(tblNetflix[type],MATCH($A1608,tblNetflix[show_id],0)),"")</f>
        <v/>
      </c>
      <c r="D1608" s="19">
        <f>IFERROR(INDEX(tblNetflix[rating],MATCH($A1608,tblNetflix[show_id],0)),"")</f>
        <v/>
      </c>
      <c r="E1608" s="19">
        <f>IFERROR(INDEX(tblNetflix[year_added],MATCH($A1608,tblNetflix[show_id],0)),"")</f>
        <v/>
      </c>
      <c r="F1608" s="19">
        <f>IF(AND(OR(YearFilter="All",$E1608=YearFilter),OR(RatingFilter="All",$D1608=RatingFilter),OR(TypeFilter="All",$C1608=TypeFilter)),1,0)</f>
        <v/>
      </c>
    </row>
    <row r="1609" ht="15" customHeight="1" s="20">
      <c r="A1609" s="19" t="inlineStr">
        <is>
          <t>s4887</t>
        </is>
      </c>
      <c r="B1609" s="19" t="inlineStr">
        <is>
          <t>Action &amp; Adventure</t>
        </is>
      </c>
      <c r="C1609" s="19">
        <f>IFERROR(INDEX(tblNetflix[type],MATCH($A1609,tblNetflix[show_id],0)),"")</f>
        <v/>
      </c>
      <c r="D1609" s="19">
        <f>IFERROR(INDEX(tblNetflix[rating],MATCH($A1609,tblNetflix[show_id],0)),"")</f>
        <v/>
      </c>
      <c r="E1609" s="19">
        <f>IFERROR(INDEX(tblNetflix[year_added],MATCH($A1609,tblNetflix[show_id],0)),"")</f>
        <v/>
      </c>
      <c r="F1609" s="19">
        <f>IF(AND(OR(YearFilter="All",$E1609=YearFilter),OR(RatingFilter="All",$D1609=RatingFilter),OR(TypeFilter="All",$C1609=TypeFilter)),1,0)</f>
        <v/>
      </c>
    </row>
    <row r="1610" ht="15" customHeight="1" s="20">
      <c r="A1610" s="19" t="inlineStr">
        <is>
          <t>s4887</t>
        </is>
      </c>
      <c r="B1610" s="19" t="inlineStr">
        <is>
          <t>Dramas</t>
        </is>
      </c>
      <c r="C1610" s="19">
        <f>IFERROR(INDEX(tblNetflix[type],MATCH($A1610,tblNetflix[show_id],0)),"")</f>
        <v/>
      </c>
      <c r="D1610" s="19">
        <f>IFERROR(INDEX(tblNetflix[rating],MATCH($A1610,tblNetflix[show_id],0)),"")</f>
        <v/>
      </c>
      <c r="E1610" s="19">
        <f>IFERROR(INDEX(tblNetflix[year_added],MATCH($A1610,tblNetflix[show_id],0)),"")</f>
        <v/>
      </c>
      <c r="F1610" s="19">
        <f>IF(AND(OR(YearFilter="All",$E1610=YearFilter),OR(RatingFilter="All",$D1610=RatingFilter),OR(TypeFilter="All",$C1610=TypeFilter)),1,0)</f>
        <v/>
      </c>
    </row>
    <row r="1611" ht="15" customHeight="1" s="20">
      <c r="A1611" s="19" t="inlineStr">
        <is>
          <t>s4887</t>
        </is>
      </c>
      <c r="B1611" s="19" t="inlineStr">
        <is>
          <t>Independent Movies</t>
        </is>
      </c>
      <c r="C1611" s="19">
        <f>IFERROR(INDEX(tblNetflix[type],MATCH($A1611,tblNetflix[show_id],0)),"")</f>
        <v/>
      </c>
      <c r="D1611" s="19">
        <f>IFERROR(INDEX(tblNetflix[rating],MATCH($A1611,tblNetflix[show_id],0)),"")</f>
        <v/>
      </c>
      <c r="E1611" s="19">
        <f>IFERROR(INDEX(tblNetflix[year_added],MATCH($A1611,tblNetflix[show_id],0)),"")</f>
        <v/>
      </c>
      <c r="F1611" s="19">
        <f>IF(AND(OR(YearFilter="All",$E1611=YearFilter),OR(RatingFilter="All",$D1611=RatingFilter),OR(TypeFilter="All",$C1611=TypeFilter)),1,0)</f>
        <v/>
      </c>
    </row>
    <row r="1612" ht="15" customHeight="1" s="20">
      <c r="A1612" s="19" t="inlineStr">
        <is>
          <t>s4900</t>
        </is>
      </c>
      <c r="B1612" s="19" t="inlineStr">
        <is>
          <t>Dramas</t>
        </is>
      </c>
      <c r="C1612" s="19">
        <f>IFERROR(INDEX(tblNetflix[type],MATCH($A1612,tblNetflix[show_id],0)),"")</f>
        <v/>
      </c>
      <c r="D1612" s="19">
        <f>IFERROR(INDEX(tblNetflix[rating],MATCH($A1612,tblNetflix[show_id],0)),"")</f>
        <v/>
      </c>
      <c r="E1612" s="19">
        <f>IFERROR(INDEX(tblNetflix[year_added],MATCH($A1612,tblNetflix[show_id],0)),"")</f>
        <v/>
      </c>
      <c r="F1612" s="19">
        <f>IF(AND(OR(YearFilter="All",$E1612=YearFilter),OR(RatingFilter="All",$D1612=RatingFilter),OR(TypeFilter="All",$C1612=TypeFilter)),1,0)</f>
        <v/>
      </c>
    </row>
    <row r="1613" ht="15" customHeight="1" s="20">
      <c r="A1613" s="19" t="inlineStr">
        <is>
          <t>s4900</t>
        </is>
      </c>
      <c r="B1613" s="19" t="inlineStr">
        <is>
          <t>International Movies</t>
        </is>
      </c>
      <c r="C1613" s="19">
        <f>IFERROR(INDEX(tblNetflix[type],MATCH($A1613,tblNetflix[show_id],0)),"")</f>
        <v/>
      </c>
      <c r="D1613" s="19">
        <f>IFERROR(INDEX(tblNetflix[rating],MATCH($A1613,tblNetflix[show_id],0)),"")</f>
        <v/>
      </c>
      <c r="E1613" s="19">
        <f>IFERROR(INDEX(tblNetflix[year_added],MATCH($A1613,tblNetflix[show_id],0)),"")</f>
        <v/>
      </c>
      <c r="F1613" s="19">
        <f>IF(AND(OR(YearFilter="All",$E1613=YearFilter),OR(RatingFilter="All",$D1613=RatingFilter),OR(TypeFilter="All",$C1613=TypeFilter)),1,0)</f>
        <v/>
      </c>
    </row>
    <row r="1614" ht="15" customHeight="1" s="20">
      <c r="A1614" s="19" t="inlineStr">
        <is>
          <t>s4905</t>
        </is>
      </c>
      <c r="B1614" s="19" t="inlineStr">
        <is>
          <t>Comedies</t>
        </is>
      </c>
      <c r="C1614" s="19">
        <f>IFERROR(INDEX(tblNetflix[type],MATCH($A1614,tblNetflix[show_id],0)),"")</f>
        <v/>
      </c>
      <c r="D1614" s="19">
        <f>IFERROR(INDEX(tblNetflix[rating],MATCH($A1614,tblNetflix[show_id],0)),"")</f>
        <v/>
      </c>
      <c r="E1614" s="19">
        <f>IFERROR(INDEX(tblNetflix[year_added],MATCH($A1614,tblNetflix[show_id],0)),"")</f>
        <v/>
      </c>
      <c r="F1614" s="19">
        <f>IF(AND(OR(YearFilter="All",$E1614=YearFilter),OR(RatingFilter="All",$D1614=RatingFilter),OR(TypeFilter="All",$C1614=TypeFilter)),1,0)</f>
        <v/>
      </c>
    </row>
    <row r="1615" ht="15" customHeight="1" s="20">
      <c r="A1615" s="19" t="inlineStr">
        <is>
          <t>s4905</t>
        </is>
      </c>
      <c r="B1615" s="19" t="inlineStr">
        <is>
          <t>International Movies</t>
        </is>
      </c>
      <c r="C1615" s="19">
        <f>IFERROR(INDEX(tblNetflix[type],MATCH($A1615,tblNetflix[show_id],0)),"")</f>
        <v/>
      </c>
      <c r="D1615" s="19">
        <f>IFERROR(INDEX(tblNetflix[rating],MATCH($A1615,tblNetflix[show_id],0)),"")</f>
        <v/>
      </c>
      <c r="E1615" s="19">
        <f>IFERROR(INDEX(tblNetflix[year_added],MATCH($A1615,tblNetflix[show_id],0)),"")</f>
        <v/>
      </c>
      <c r="F1615" s="19">
        <f>IF(AND(OR(YearFilter="All",$E1615=YearFilter),OR(RatingFilter="All",$D1615=RatingFilter),OR(TypeFilter="All",$C1615=TypeFilter)),1,0)</f>
        <v/>
      </c>
    </row>
    <row r="1616" ht="15" customHeight="1" s="20">
      <c r="A1616" s="19" t="inlineStr">
        <is>
          <t>s4905</t>
        </is>
      </c>
      <c r="B1616" s="19" t="inlineStr">
        <is>
          <t>Romantic Movies</t>
        </is>
      </c>
      <c r="C1616" s="19">
        <f>IFERROR(INDEX(tblNetflix[type],MATCH($A1616,tblNetflix[show_id],0)),"")</f>
        <v/>
      </c>
      <c r="D1616" s="19">
        <f>IFERROR(INDEX(tblNetflix[rating],MATCH($A1616,tblNetflix[show_id],0)),"")</f>
        <v/>
      </c>
      <c r="E1616" s="19">
        <f>IFERROR(INDEX(tblNetflix[year_added],MATCH($A1616,tblNetflix[show_id],0)),"")</f>
        <v/>
      </c>
      <c r="F1616" s="19">
        <f>IF(AND(OR(YearFilter="All",$E1616=YearFilter),OR(RatingFilter="All",$D1616=RatingFilter),OR(TypeFilter="All",$C1616=TypeFilter)),1,0)</f>
        <v/>
      </c>
    </row>
    <row r="1617" ht="15" customHeight="1" s="20">
      <c r="A1617" s="19" t="inlineStr">
        <is>
          <t>s4946</t>
        </is>
      </c>
      <c r="B1617" s="19" t="inlineStr">
        <is>
          <t>Dramas</t>
        </is>
      </c>
      <c r="C1617" s="19">
        <f>IFERROR(INDEX(tblNetflix[type],MATCH($A1617,tblNetflix[show_id],0)),"")</f>
        <v/>
      </c>
      <c r="D1617" s="19">
        <f>IFERROR(INDEX(tblNetflix[rating],MATCH($A1617,tblNetflix[show_id],0)),"")</f>
        <v/>
      </c>
      <c r="E1617" s="19">
        <f>IFERROR(INDEX(tblNetflix[year_added],MATCH($A1617,tblNetflix[show_id],0)),"")</f>
        <v/>
      </c>
      <c r="F1617" s="19">
        <f>IF(AND(OR(YearFilter="All",$E1617=YearFilter),OR(RatingFilter="All",$D1617=RatingFilter),OR(TypeFilter="All",$C1617=TypeFilter)),1,0)</f>
        <v/>
      </c>
    </row>
    <row r="1618" ht="15" customHeight="1" s="20">
      <c r="A1618" s="19" t="inlineStr">
        <is>
          <t>s4946</t>
        </is>
      </c>
      <c r="B1618" s="19" t="inlineStr">
        <is>
          <t>International Movies</t>
        </is>
      </c>
      <c r="C1618" s="19">
        <f>IFERROR(INDEX(tblNetflix[type],MATCH($A1618,tblNetflix[show_id],0)),"")</f>
        <v/>
      </c>
      <c r="D1618" s="19">
        <f>IFERROR(INDEX(tblNetflix[rating],MATCH($A1618,tblNetflix[show_id],0)),"")</f>
        <v/>
      </c>
      <c r="E1618" s="19">
        <f>IFERROR(INDEX(tblNetflix[year_added],MATCH($A1618,tblNetflix[show_id],0)),"")</f>
        <v/>
      </c>
      <c r="F1618" s="19">
        <f>IF(AND(OR(YearFilter="All",$E1618=YearFilter),OR(RatingFilter="All",$D1618=RatingFilter),OR(TypeFilter="All",$C1618=TypeFilter)),1,0)</f>
        <v/>
      </c>
    </row>
    <row r="1619" ht="15" customHeight="1" s="20">
      <c r="A1619" s="19" t="inlineStr">
        <is>
          <t>s4946</t>
        </is>
      </c>
      <c r="B1619" s="19" t="inlineStr">
        <is>
          <t>Thrillers</t>
        </is>
      </c>
      <c r="C1619" s="19">
        <f>IFERROR(INDEX(tblNetflix[type],MATCH($A1619,tblNetflix[show_id],0)),"")</f>
        <v/>
      </c>
      <c r="D1619" s="19">
        <f>IFERROR(INDEX(tblNetflix[rating],MATCH($A1619,tblNetflix[show_id],0)),"")</f>
        <v/>
      </c>
      <c r="E1619" s="19">
        <f>IFERROR(INDEX(tblNetflix[year_added],MATCH($A1619,tblNetflix[show_id],0)),"")</f>
        <v/>
      </c>
      <c r="F1619" s="19">
        <f>IF(AND(OR(YearFilter="All",$E1619=YearFilter),OR(RatingFilter="All",$D1619=RatingFilter),OR(TypeFilter="All",$C1619=TypeFilter)),1,0)</f>
        <v/>
      </c>
    </row>
    <row r="1620" ht="15" customHeight="1" s="20">
      <c r="A1620" s="19" t="inlineStr">
        <is>
          <t>s4949</t>
        </is>
      </c>
      <c r="B1620" s="19" t="inlineStr">
        <is>
          <t>Dramas</t>
        </is>
      </c>
      <c r="C1620" s="19">
        <f>IFERROR(INDEX(tblNetflix[type],MATCH($A1620,tblNetflix[show_id],0)),"")</f>
        <v/>
      </c>
      <c r="D1620" s="19">
        <f>IFERROR(INDEX(tblNetflix[rating],MATCH($A1620,tblNetflix[show_id],0)),"")</f>
        <v/>
      </c>
      <c r="E1620" s="19">
        <f>IFERROR(INDEX(tblNetflix[year_added],MATCH($A1620,tblNetflix[show_id],0)),"")</f>
        <v/>
      </c>
      <c r="F1620" s="19">
        <f>IF(AND(OR(YearFilter="All",$E1620=YearFilter),OR(RatingFilter="All",$D1620=RatingFilter),OR(TypeFilter="All",$C1620=TypeFilter)),1,0)</f>
        <v/>
      </c>
    </row>
    <row r="1621" ht="15" customHeight="1" s="20">
      <c r="A1621" s="19" t="inlineStr">
        <is>
          <t>s4949</t>
        </is>
      </c>
      <c r="B1621" s="19" t="inlineStr">
        <is>
          <t>International Movies</t>
        </is>
      </c>
      <c r="C1621" s="19">
        <f>IFERROR(INDEX(tblNetflix[type],MATCH($A1621,tblNetflix[show_id],0)),"")</f>
        <v/>
      </c>
      <c r="D1621" s="19">
        <f>IFERROR(INDEX(tblNetflix[rating],MATCH($A1621,tblNetflix[show_id],0)),"")</f>
        <v/>
      </c>
      <c r="E1621" s="19">
        <f>IFERROR(INDEX(tblNetflix[year_added],MATCH($A1621,tblNetflix[show_id],0)),"")</f>
        <v/>
      </c>
      <c r="F1621" s="19">
        <f>IF(AND(OR(YearFilter="All",$E1621=YearFilter),OR(RatingFilter="All",$D1621=RatingFilter),OR(TypeFilter="All",$C1621=TypeFilter)),1,0)</f>
        <v/>
      </c>
    </row>
    <row r="1622" ht="15" customHeight="1" s="20">
      <c r="A1622" s="19" t="inlineStr">
        <is>
          <t>s4953</t>
        </is>
      </c>
      <c r="B1622" s="19" t="inlineStr">
        <is>
          <t>Action &amp; Adventure</t>
        </is>
      </c>
      <c r="C1622" s="19">
        <f>IFERROR(INDEX(tblNetflix[type],MATCH($A1622,tblNetflix[show_id],0)),"")</f>
        <v/>
      </c>
      <c r="D1622" s="19">
        <f>IFERROR(INDEX(tblNetflix[rating],MATCH($A1622,tblNetflix[show_id],0)),"")</f>
        <v/>
      </c>
      <c r="E1622" s="19">
        <f>IFERROR(INDEX(tblNetflix[year_added],MATCH($A1622,tblNetflix[show_id],0)),"")</f>
        <v/>
      </c>
      <c r="F1622" s="19">
        <f>IF(AND(OR(YearFilter="All",$E1622=YearFilter),OR(RatingFilter="All",$D1622=RatingFilter),OR(TypeFilter="All",$C1622=TypeFilter)),1,0)</f>
        <v/>
      </c>
    </row>
    <row r="1623" ht="15" customHeight="1" s="20">
      <c r="A1623" s="19" t="inlineStr">
        <is>
          <t>s4953</t>
        </is>
      </c>
      <c r="B1623" s="19" t="inlineStr">
        <is>
          <t>Comedies</t>
        </is>
      </c>
      <c r="C1623" s="19">
        <f>IFERROR(INDEX(tblNetflix[type],MATCH($A1623,tblNetflix[show_id],0)),"")</f>
        <v/>
      </c>
      <c r="D1623" s="19">
        <f>IFERROR(INDEX(tblNetflix[rating],MATCH($A1623,tblNetflix[show_id],0)),"")</f>
        <v/>
      </c>
      <c r="E1623" s="19">
        <f>IFERROR(INDEX(tblNetflix[year_added],MATCH($A1623,tblNetflix[show_id],0)),"")</f>
        <v/>
      </c>
      <c r="F1623" s="19">
        <f>IF(AND(OR(YearFilter="All",$E1623=YearFilter),OR(RatingFilter="All",$D1623=RatingFilter),OR(TypeFilter="All",$C1623=TypeFilter)),1,0)</f>
        <v/>
      </c>
    </row>
    <row r="1624" ht="15" customHeight="1" s="20">
      <c r="A1624" s="19" t="inlineStr">
        <is>
          <t>s4953</t>
        </is>
      </c>
      <c r="B1624" s="19" t="inlineStr">
        <is>
          <t>Dramas</t>
        </is>
      </c>
      <c r="C1624" s="19">
        <f>IFERROR(INDEX(tblNetflix[type],MATCH($A1624,tblNetflix[show_id],0)),"")</f>
        <v/>
      </c>
      <c r="D1624" s="19">
        <f>IFERROR(INDEX(tblNetflix[rating],MATCH($A1624,tblNetflix[show_id],0)),"")</f>
        <v/>
      </c>
      <c r="E1624" s="19">
        <f>IFERROR(INDEX(tblNetflix[year_added],MATCH($A1624,tblNetflix[show_id],0)),"")</f>
        <v/>
      </c>
      <c r="F1624" s="19">
        <f>IF(AND(OR(YearFilter="All",$E1624=YearFilter),OR(RatingFilter="All",$D1624=RatingFilter),OR(TypeFilter="All",$C1624=TypeFilter)),1,0)</f>
        <v/>
      </c>
    </row>
    <row r="1625" ht="15" customHeight="1" s="20">
      <c r="A1625" s="19" t="inlineStr">
        <is>
          <t>s4954</t>
        </is>
      </c>
      <c r="B1625" s="19" t="inlineStr">
        <is>
          <t>Dramas</t>
        </is>
      </c>
      <c r="C1625" s="19">
        <f>IFERROR(INDEX(tblNetflix[type],MATCH($A1625,tblNetflix[show_id],0)),"")</f>
        <v/>
      </c>
      <c r="D1625" s="19">
        <f>IFERROR(INDEX(tblNetflix[rating],MATCH($A1625,tblNetflix[show_id],0)),"")</f>
        <v/>
      </c>
      <c r="E1625" s="19">
        <f>IFERROR(INDEX(tblNetflix[year_added],MATCH($A1625,tblNetflix[show_id],0)),"")</f>
        <v/>
      </c>
      <c r="F1625" s="19">
        <f>IF(AND(OR(YearFilter="All",$E1625=YearFilter),OR(RatingFilter="All",$D1625=RatingFilter),OR(TypeFilter="All",$C1625=TypeFilter)),1,0)</f>
        <v/>
      </c>
    </row>
    <row r="1626" ht="15" customHeight="1" s="20">
      <c r="A1626" s="19" t="inlineStr">
        <is>
          <t>s4954</t>
        </is>
      </c>
      <c r="B1626" s="19" t="inlineStr">
        <is>
          <t>International Movies</t>
        </is>
      </c>
      <c r="C1626" s="19">
        <f>IFERROR(INDEX(tblNetflix[type],MATCH($A1626,tblNetflix[show_id],0)),"")</f>
        <v/>
      </c>
      <c r="D1626" s="19">
        <f>IFERROR(INDEX(tblNetflix[rating],MATCH($A1626,tblNetflix[show_id],0)),"")</f>
        <v/>
      </c>
      <c r="E1626" s="19">
        <f>IFERROR(INDEX(tblNetflix[year_added],MATCH($A1626,tblNetflix[show_id],0)),"")</f>
        <v/>
      </c>
      <c r="F1626" s="19">
        <f>IF(AND(OR(YearFilter="All",$E1626=YearFilter),OR(RatingFilter="All",$D1626=RatingFilter),OR(TypeFilter="All",$C1626=TypeFilter)),1,0)</f>
        <v/>
      </c>
    </row>
    <row r="1627" ht="15" customHeight="1" s="20">
      <c r="A1627" s="19" t="inlineStr">
        <is>
          <t>s4954</t>
        </is>
      </c>
      <c r="B1627" s="19" t="inlineStr">
        <is>
          <t>Thrillers</t>
        </is>
      </c>
      <c r="C1627" s="19">
        <f>IFERROR(INDEX(tblNetflix[type],MATCH($A1627,tblNetflix[show_id],0)),"")</f>
        <v/>
      </c>
      <c r="D1627" s="19">
        <f>IFERROR(INDEX(tblNetflix[rating],MATCH($A1627,tblNetflix[show_id],0)),"")</f>
        <v/>
      </c>
      <c r="E1627" s="19">
        <f>IFERROR(INDEX(tblNetflix[year_added],MATCH($A1627,tblNetflix[show_id],0)),"")</f>
        <v/>
      </c>
      <c r="F1627" s="19">
        <f>IF(AND(OR(YearFilter="All",$E1627=YearFilter),OR(RatingFilter="All",$D1627=RatingFilter),OR(TypeFilter="All",$C1627=TypeFilter)),1,0)</f>
        <v/>
      </c>
    </row>
    <row r="1628" ht="15" customHeight="1" s="20">
      <c r="A1628" s="19" t="inlineStr">
        <is>
          <t>s4955</t>
        </is>
      </c>
      <c r="B1628" s="19" t="inlineStr">
        <is>
          <t>Comedies</t>
        </is>
      </c>
      <c r="C1628" s="19">
        <f>IFERROR(INDEX(tblNetflix[type],MATCH($A1628,tblNetflix[show_id],0)),"")</f>
        <v/>
      </c>
      <c r="D1628" s="19">
        <f>IFERROR(INDEX(tblNetflix[rating],MATCH($A1628,tblNetflix[show_id],0)),"")</f>
        <v/>
      </c>
      <c r="E1628" s="19">
        <f>IFERROR(INDEX(tblNetflix[year_added],MATCH($A1628,tblNetflix[show_id],0)),"")</f>
        <v/>
      </c>
      <c r="F1628" s="19">
        <f>IF(AND(OR(YearFilter="All",$E1628=YearFilter),OR(RatingFilter="All",$D1628=RatingFilter),OR(TypeFilter="All",$C1628=TypeFilter)),1,0)</f>
        <v/>
      </c>
    </row>
    <row r="1629" ht="15" customHeight="1" s="20">
      <c r="A1629" s="19" t="inlineStr">
        <is>
          <t>s4955</t>
        </is>
      </c>
      <c r="B1629" s="19" t="inlineStr">
        <is>
          <t>Dramas</t>
        </is>
      </c>
      <c r="C1629" s="19">
        <f>IFERROR(INDEX(tblNetflix[type],MATCH($A1629,tblNetflix[show_id],0)),"")</f>
        <v/>
      </c>
      <c r="D1629" s="19">
        <f>IFERROR(INDEX(tblNetflix[rating],MATCH($A1629,tblNetflix[show_id],0)),"")</f>
        <v/>
      </c>
      <c r="E1629" s="19">
        <f>IFERROR(INDEX(tblNetflix[year_added],MATCH($A1629,tblNetflix[show_id],0)),"")</f>
        <v/>
      </c>
      <c r="F1629" s="19">
        <f>IF(AND(OR(YearFilter="All",$E1629=YearFilter),OR(RatingFilter="All",$D1629=RatingFilter),OR(TypeFilter="All",$C1629=TypeFilter)),1,0)</f>
        <v/>
      </c>
    </row>
    <row r="1630" ht="15" customHeight="1" s="20">
      <c r="A1630" s="19" t="inlineStr">
        <is>
          <t>s4955</t>
        </is>
      </c>
      <c r="B1630" s="19" t="inlineStr">
        <is>
          <t>International Movies</t>
        </is>
      </c>
      <c r="C1630" s="19">
        <f>IFERROR(INDEX(tblNetflix[type],MATCH($A1630,tblNetflix[show_id],0)),"")</f>
        <v/>
      </c>
      <c r="D1630" s="19">
        <f>IFERROR(INDEX(tblNetflix[rating],MATCH($A1630,tblNetflix[show_id],0)),"")</f>
        <v/>
      </c>
      <c r="E1630" s="19">
        <f>IFERROR(INDEX(tblNetflix[year_added],MATCH($A1630,tblNetflix[show_id],0)),"")</f>
        <v/>
      </c>
      <c r="F1630" s="19">
        <f>IF(AND(OR(YearFilter="All",$E1630=YearFilter),OR(RatingFilter="All",$D1630=RatingFilter),OR(TypeFilter="All",$C1630=TypeFilter)),1,0)</f>
        <v/>
      </c>
    </row>
    <row r="1631" ht="15" customHeight="1" s="20">
      <c r="A1631" s="19" t="inlineStr">
        <is>
          <t>s4956</t>
        </is>
      </c>
      <c r="B1631" s="19" t="inlineStr">
        <is>
          <t>Dramas</t>
        </is>
      </c>
      <c r="C1631" s="19">
        <f>IFERROR(INDEX(tblNetflix[type],MATCH($A1631,tblNetflix[show_id],0)),"")</f>
        <v/>
      </c>
      <c r="D1631" s="19">
        <f>IFERROR(INDEX(tblNetflix[rating],MATCH($A1631,tblNetflix[show_id],0)),"")</f>
        <v/>
      </c>
      <c r="E1631" s="19">
        <f>IFERROR(INDEX(tblNetflix[year_added],MATCH($A1631,tblNetflix[show_id],0)),"")</f>
        <v/>
      </c>
      <c r="F1631" s="19">
        <f>IF(AND(OR(YearFilter="All",$E1631=YearFilter),OR(RatingFilter="All",$D1631=RatingFilter),OR(TypeFilter="All",$C1631=TypeFilter)),1,0)</f>
        <v/>
      </c>
    </row>
    <row r="1632" ht="15" customHeight="1" s="20">
      <c r="A1632" s="19" t="inlineStr">
        <is>
          <t>s4956</t>
        </is>
      </c>
      <c r="B1632" s="19" t="inlineStr">
        <is>
          <t>International Movies</t>
        </is>
      </c>
      <c r="C1632" s="19">
        <f>IFERROR(INDEX(tblNetflix[type],MATCH($A1632,tblNetflix[show_id],0)),"")</f>
        <v/>
      </c>
      <c r="D1632" s="19">
        <f>IFERROR(INDEX(tblNetflix[rating],MATCH($A1632,tblNetflix[show_id],0)),"")</f>
        <v/>
      </c>
      <c r="E1632" s="19">
        <f>IFERROR(INDEX(tblNetflix[year_added],MATCH($A1632,tblNetflix[show_id],0)),"")</f>
        <v/>
      </c>
      <c r="F1632" s="19">
        <f>IF(AND(OR(YearFilter="All",$E1632=YearFilter),OR(RatingFilter="All",$D1632=RatingFilter),OR(TypeFilter="All",$C1632=TypeFilter)),1,0)</f>
        <v/>
      </c>
    </row>
    <row r="1633" ht="15" customHeight="1" s="20">
      <c r="A1633" s="19" t="inlineStr">
        <is>
          <t>s4956</t>
        </is>
      </c>
      <c r="B1633" s="19" t="inlineStr">
        <is>
          <t>Romantic Movies</t>
        </is>
      </c>
      <c r="C1633" s="19">
        <f>IFERROR(INDEX(tblNetflix[type],MATCH($A1633,tblNetflix[show_id],0)),"")</f>
        <v/>
      </c>
      <c r="D1633" s="19">
        <f>IFERROR(INDEX(tblNetflix[rating],MATCH($A1633,tblNetflix[show_id],0)),"")</f>
        <v/>
      </c>
      <c r="E1633" s="19">
        <f>IFERROR(INDEX(tblNetflix[year_added],MATCH($A1633,tblNetflix[show_id],0)),"")</f>
        <v/>
      </c>
      <c r="F1633" s="19">
        <f>IF(AND(OR(YearFilter="All",$E1633=YearFilter),OR(RatingFilter="All",$D1633=RatingFilter),OR(TypeFilter="All",$C1633=TypeFilter)),1,0)</f>
        <v/>
      </c>
    </row>
    <row r="1634" ht="15" customHeight="1" s="20">
      <c r="A1634" s="19" t="inlineStr">
        <is>
          <t>s4957</t>
        </is>
      </c>
      <c r="B1634" s="19" t="inlineStr">
        <is>
          <t>Comedies</t>
        </is>
      </c>
      <c r="C1634" s="19">
        <f>IFERROR(INDEX(tblNetflix[type],MATCH($A1634,tblNetflix[show_id],0)),"")</f>
        <v/>
      </c>
      <c r="D1634" s="19">
        <f>IFERROR(INDEX(tblNetflix[rating],MATCH($A1634,tblNetflix[show_id],0)),"")</f>
        <v/>
      </c>
      <c r="E1634" s="19">
        <f>IFERROR(INDEX(tblNetflix[year_added],MATCH($A1634,tblNetflix[show_id],0)),"")</f>
        <v/>
      </c>
      <c r="F1634" s="19">
        <f>IF(AND(OR(YearFilter="All",$E1634=YearFilter),OR(RatingFilter="All",$D1634=RatingFilter),OR(TypeFilter="All",$C1634=TypeFilter)),1,0)</f>
        <v/>
      </c>
    </row>
    <row r="1635" ht="15" customHeight="1" s="20">
      <c r="A1635" s="19" t="inlineStr">
        <is>
          <t>s4957</t>
        </is>
      </c>
      <c r="B1635" s="19" t="inlineStr">
        <is>
          <t>Dramas</t>
        </is>
      </c>
      <c r="C1635" s="19">
        <f>IFERROR(INDEX(tblNetflix[type],MATCH($A1635,tblNetflix[show_id],0)),"")</f>
        <v/>
      </c>
      <c r="D1635" s="19">
        <f>IFERROR(INDEX(tblNetflix[rating],MATCH($A1635,tblNetflix[show_id],0)),"")</f>
        <v/>
      </c>
      <c r="E1635" s="19">
        <f>IFERROR(INDEX(tblNetflix[year_added],MATCH($A1635,tblNetflix[show_id],0)),"")</f>
        <v/>
      </c>
      <c r="F1635" s="19">
        <f>IF(AND(OR(YearFilter="All",$E1635=YearFilter),OR(RatingFilter="All",$D1635=RatingFilter),OR(TypeFilter="All",$C1635=TypeFilter)),1,0)</f>
        <v/>
      </c>
    </row>
    <row r="1636" ht="15" customHeight="1" s="20">
      <c r="A1636" s="19" t="inlineStr">
        <is>
          <t>s4957</t>
        </is>
      </c>
      <c r="B1636" s="19" t="inlineStr">
        <is>
          <t>International Movies</t>
        </is>
      </c>
      <c r="C1636" s="19">
        <f>IFERROR(INDEX(tblNetflix[type],MATCH($A1636,tblNetflix[show_id],0)),"")</f>
        <v/>
      </c>
      <c r="D1636" s="19">
        <f>IFERROR(INDEX(tblNetflix[rating],MATCH($A1636,tblNetflix[show_id],0)),"")</f>
        <v/>
      </c>
      <c r="E1636" s="19">
        <f>IFERROR(INDEX(tblNetflix[year_added],MATCH($A1636,tblNetflix[show_id],0)),"")</f>
        <v/>
      </c>
      <c r="F1636" s="19">
        <f>IF(AND(OR(YearFilter="All",$E1636=YearFilter),OR(RatingFilter="All",$D1636=RatingFilter),OR(TypeFilter="All",$C1636=TypeFilter)),1,0)</f>
        <v/>
      </c>
    </row>
    <row r="1637" ht="15" customHeight="1" s="20">
      <c r="A1637" s="19" t="inlineStr">
        <is>
          <t>s4976</t>
        </is>
      </c>
      <c r="B1637" s="19" t="inlineStr">
        <is>
          <t>Dramas</t>
        </is>
      </c>
      <c r="C1637" s="19">
        <f>IFERROR(INDEX(tblNetflix[type],MATCH($A1637,tblNetflix[show_id],0)),"")</f>
        <v/>
      </c>
      <c r="D1637" s="19">
        <f>IFERROR(INDEX(tblNetflix[rating],MATCH($A1637,tblNetflix[show_id],0)),"")</f>
        <v/>
      </c>
      <c r="E1637" s="19">
        <f>IFERROR(INDEX(tblNetflix[year_added],MATCH($A1637,tblNetflix[show_id],0)),"")</f>
        <v/>
      </c>
      <c r="F1637" s="19">
        <f>IF(AND(OR(YearFilter="All",$E1637=YearFilter),OR(RatingFilter="All",$D1637=RatingFilter),OR(TypeFilter="All",$C1637=TypeFilter)),1,0)</f>
        <v/>
      </c>
    </row>
    <row r="1638" ht="15" customHeight="1" s="20">
      <c r="A1638" s="19" t="inlineStr">
        <is>
          <t>s4976</t>
        </is>
      </c>
      <c r="B1638" s="19" t="inlineStr">
        <is>
          <t>International Movies</t>
        </is>
      </c>
      <c r="C1638" s="19">
        <f>IFERROR(INDEX(tblNetflix[type],MATCH($A1638,tblNetflix[show_id],0)),"")</f>
        <v/>
      </c>
      <c r="D1638" s="19">
        <f>IFERROR(INDEX(tblNetflix[rating],MATCH($A1638,tblNetflix[show_id],0)),"")</f>
        <v/>
      </c>
      <c r="E1638" s="19">
        <f>IFERROR(INDEX(tblNetflix[year_added],MATCH($A1638,tblNetflix[show_id],0)),"")</f>
        <v/>
      </c>
      <c r="F1638" s="19">
        <f>IF(AND(OR(YearFilter="All",$E1638=YearFilter),OR(RatingFilter="All",$D1638=RatingFilter),OR(TypeFilter="All",$C1638=TypeFilter)),1,0)</f>
        <v/>
      </c>
    </row>
    <row r="1639" ht="15" customHeight="1" s="20">
      <c r="A1639" s="19" t="inlineStr">
        <is>
          <t>s4976</t>
        </is>
      </c>
      <c r="B1639" s="19" t="inlineStr">
        <is>
          <t>Music &amp; Musicals</t>
        </is>
      </c>
      <c r="C1639" s="19">
        <f>IFERROR(INDEX(tblNetflix[type],MATCH($A1639,tblNetflix[show_id],0)),"")</f>
        <v/>
      </c>
      <c r="D1639" s="19">
        <f>IFERROR(INDEX(tblNetflix[rating],MATCH($A1639,tblNetflix[show_id],0)),"")</f>
        <v/>
      </c>
      <c r="E1639" s="19">
        <f>IFERROR(INDEX(tblNetflix[year_added],MATCH($A1639,tblNetflix[show_id],0)),"")</f>
        <v/>
      </c>
      <c r="F1639" s="19">
        <f>IF(AND(OR(YearFilter="All",$E1639=YearFilter),OR(RatingFilter="All",$D1639=RatingFilter),OR(TypeFilter="All",$C1639=TypeFilter)),1,0)</f>
        <v/>
      </c>
    </row>
    <row r="1640" ht="15" customHeight="1" s="20">
      <c r="A1640" s="19" t="inlineStr">
        <is>
          <t>s4996</t>
        </is>
      </c>
      <c r="B1640" s="19" t="inlineStr">
        <is>
          <t>Documentaries</t>
        </is>
      </c>
      <c r="C1640" s="19">
        <f>IFERROR(INDEX(tblNetflix[type],MATCH($A1640,tblNetflix[show_id],0)),"")</f>
        <v/>
      </c>
      <c r="D1640" s="19">
        <f>IFERROR(INDEX(tblNetflix[rating],MATCH($A1640,tblNetflix[show_id],0)),"")</f>
        <v/>
      </c>
      <c r="E1640" s="19">
        <f>IFERROR(INDEX(tblNetflix[year_added],MATCH($A1640,tblNetflix[show_id],0)),"")</f>
        <v/>
      </c>
      <c r="F1640" s="19">
        <f>IF(AND(OR(YearFilter="All",$E1640=YearFilter),OR(RatingFilter="All",$D1640=RatingFilter),OR(TypeFilter="All",$C1640=TypeFilter)),1,0)</f>
        <v/>
      </c>
    </row>
    <row r="1641" ht="15" customHeight="1" s="20">
      <c r="A1641" s="19" t="inlineStr">
        <is>
          <t>s4996</t>
        </is>
      </c>
      <c r="B1641" s="19" t="inlineStr">
        <is>
          <t>International Movies</t>
        </is>
      </c>
      <c r="C1641" s="19">
        <f>IFERROR(INDEX(tblNetflix[type],MATCH($A1641,tblNetflix[show_id],0)),"")</f>
        <v/>
      </c>
      <c r="D1641" s="19">
        <f>IFERROR(INDEX(tblNetflix[rating],MATCH($A1641,tblNetflix[show_id],0)),"")</f>
        <v/>
      </c>
      <c r="E1641" s="19">
        <f>IFERROR(INDEX(tblNetflix[year_added],MATCH($A1641,tblNetflix[show_id],0)),"")</f>
        <v/>
      </c>
      <c r="F1641" s="19">
        <f>IF(AND(OR(YearFilter="All",$E1641=YearFilter),OR(RatingFilter="All",$D1641=RatingFilter),OR(TypeFilter="All",$C1641=TypeFilter)),1,0)</f>
        <v/>
      </c>
    </row>
    <row r="1642" ht="15" customHeight="1" s="20">
      <c r="A1642" s="19" t="inlineStr">
        <is>
          <t>s4996</t>
        </is>
      </c>
      <c r="B1642" s="19" t="inlineStr">
        <is>
          <t>Sports Movies</t>
        </is>
      </c>
      <c r="C1642" s="19">
        <f>IFERROR(INDEX(tblNetflix[type],MATCH($A1642,tblNetflix[show_id],0)),"")</f>
        <v/>
      </c>
      <c r="D1642" s="19">
        <f>IFERROR(INDEX(tblNetflix[rating],MATCH($A1642,tblNetflix[show_id],0)),"")</f>
        <v/>
      </c>
      <c r="E1642" s="19">
        <f>IFERROR(INDEX(tblNetflix[year_added],MATCH($A1642,tblNetflix[show_id],0)),"")</f>
        <v/>
      </c>
      <c r="F1642" s="19">
        <f>IF(AND(OR(YearFilter="All",$E1642=YearFilter),OR(RatingFilter="All",$D1642=RatingFilter),OR(TypeFilter="All",$C1642=TypeFilter)),1,0)</f>
        <v/>
      </c>
    </row>
    <row r="1643" ht="15" customHeight="1" s="20">
      <c r="A1643" s="19" t="inlineStr">
        <is>
          <t>s5008</t>
        </is>
      </c>
      <c r="B1643" s="19" t="inlineStr">
        <is>
          <t>Dramas</t>
        </is>
      </c>
      <c r="C1643" s="19">
        <f>IFERROR(INDEX(tblNetflix[type],MATCH($A1643,tblNetflix[show_id],0)),"")</f>
        <v/>
      </c>
      <c r="D1643" s="19">
        <f>IFERROR(INDEX(tblNetflix[rating],MATCH($A1643,tblNetflix[show_id],0)),"")</f>
        <v/>
      </c>
      <c r="E1643" s="19">
        <f>IFERROR(INDEX(tblNetflix[year_added],MATCH($A1643,tblNetflix[show_id],0)),"")</f>
        <v/>
      </c>
      <c r="F1643" s="19">
        <f>IF(AND(OR(YearFilter="All",$E1643=YearFilter),OR(RatingFilter="All",$D1643=RatingFilter),OR(TypeFilter="All",$C1643=TypeFilter)),1,0)</f>
        <v/>
      </c>
    </row>
    <row r="1644" ht="15" customHeight="1" s="20">
      <c r="A1644" s="19" t="inlineStr">
        <is>
          <t>s5008</t>
        </is>
      </c>
      <c r="B1644" s="19" t="inlineStr">
        <is>
          <t>International Movies</t>
        </is>
      </c>
      <c r="C1644" s="19">
        <f>IFERROR(INDEX(tblNetflix[type],MATCH($A1644,tblNetflix[show_id],0)),"")</f>
        <v/>
      </c>
      <c r="D1644" s="19">
        <f>IFERROR(INDEX(tblNetflix[rating],MATCH($A1644,tblNetflix[show_id],0)),"")</f>
        <v/>
      </c>
      <c r="E1644" s="19">
        <f>IFERROR(INDEX(tblNetflix[year_added],MATCH($A1644,tblNetflix[show_id],0)),"")</f>
        <v/>
      </c>
      <c r="F1644" s="19">
        <f>IF(AND(OR(YearFilter="All",$E1644=YearFilter),OR(RatingFilter="All",$D1644=RatingFilter),OR(TypeFilter="All",$C1644=TypeFilter)),1,0)</f>
        <v/>
      </c>
    </row>
    <row r="1645" ht="15" customHeight="1" s="20">
      <c r="A1645" s="19" t="inlineStr">
        <is>
          <t>s5008</t>
        </is>
      </c>
      <c r="B1645" s="19" t="inlineStr">
        <is>
          <t>Romantic Movies</t>
        </is>
      </c>
      <c r="C1645" s="19">
        <f>IFERROR(INDEX(tblNetflix[type],MATCH($A1645,tblNetflix[show_id],0)),"")</f>
        <v/>
      </c>
      <c r="D1645" s="19">
        <f>IFERROR(INDEX(tblNetflix[rating],MATCH($A1645,tblNetflix[show_id],0)),"")</f>
        <v/>
      </c>
      <c r="E1645" s="19">
        <f>IFERROR(INDEX(tblNetflix[year_added],MATCH($A1645,tblNetflix[show_id],0)),"")</f>
        <v/>
      </c>
      <c r="F1645" s="19">
        <f>IF(AND(OR(YearFilter="All",$E1645=YearFilter),OR(RatingFilter="All",$D1645=RatingFilter),OR(TypeFilter="All",$C1645=TypeFilter)),1,0)</f>
        <v/>
      </c>
    </row>
    <row r="1646" ht="15" customHeight="1" s="20">
      <c r="A1646" s="19" t="inlineStr">
        <is>
          <t>s5009</t>
        </is>
      </c>
      <c r="B1646" s="19" t="inlineStr">
        <is>
          <t>Dramas</t>
        </is>
      </c>
      <c r="C1646" s="19">
        <f>IFERROR(INDEX(tblNetflix[type],MATCH($A1646,tblNetflix[show_id],0)),"")</f>
        <v/>
      </c>
      <c r="D1646" s="19">
        <f>IFERROR(INDEX(tblNetflix[rating],MATCH($A1646,tblNetflix[show_id],0)),"")</f>
        <v/>
      </c>
      <c r="E1646" s="19">
        <f>IFERROR(INDEX(tblNetflix[year_added],MATCH($A1646,tblNetflix[show_id],0)),"")</f>
        <v/>
      </c>
      <c r="F1646" s="19">
        <f>IF(AND(OR(YearFilter="All",$E1646=YearFilter),OR(RatingFilter="All",$D1646=RatingFilter),OR(TypeFilter="All",$C1646=TypeFilter)),1,0)</f>
        <v/>
      </c>
    </row>
    <row r="1647" ht="15" customHeight="1" s="20">
      <c r="A1647" s="19" t="inlineStr">
        <is>
          <t>s5009</t>
        </is>
      </c>
      <c r="B1647" s="19" t="inlineStr">
        <is>
          <t>International Movies</t>
        </is>
      </c>
      <c r="C1647" s="19">
        <f>IFERROR(INDEX(tblNetflix[type],MATCH($A1647,tblNetflix[show_id],0)),"")</f>
        <v/>
      </c>
      <c r="D1647" s="19">
        <f>IFERROR(INDEX(tblNetflix[rating],MATCH($A1647,tblNetflix[show_id],0)),"")</f>
        <v/>
      </c>
      <c r="E1647" s="19">
        <f>IFERROR(INDEX(tblNetflix[year_added],MATCH($A1647,tblNetflix[show_id],0)),"")</f>
        <v/>
      </c>
      <c r="F1647" s="19">
        <f>IF(AND(OR(YearFilter="All",$E1647=YearFilter),OR(RatingFilter="All",$D1647=RatingFilter),OR(TypeFilter="All",$C1647=TypeFilter)),1,0)</f>
        <v/>
      </c>
    </row>
    <row r="1648" ht="15" customHeight="1" s="20">
      <c r="A1648" s="19" t="inlineStr">
        <is>
          <t>s5010</t>
        </is>
      </c>
      <c r="B1648" s="19" t="inlineStr">
        <is>
          <t>Action &amp; Adventure</t>
        </is>
      </c>
      <c r="C1648" s="19">
        <f>IFERROR(INDEX(tblNetflix[type],MATCH($A1648,tblNetflix[show_id],0)),"")</f>
        <v/>
      </c>
      <c r="D1648" s="19">
        <f>IFERROR(INDEX(tblNetflix[rating],MATCH($A1648,tblNetflix[show_id],0)),"")</f>
        <v/>
      </c>
      <c r="E1648" s="19">
        <f>IFERROR(INDEX(tblNetflix[year_added],MATCH($A1648,tblNetflix[show_id],0)),"")</f>
        <v/>
      </c>
      <c r="F1648" s="19">
        <f>IF(AND(OR(YearFilter="All",$E1648=YearFilter),OR(RatingFilter="All",$D1648=RatingFilter),OR(TypeFilter="All",$C1648=TypeFilter)),1,0)</f>
        <v/>
      </c>
    </row>
    <row r="1649" ht="15" customHeight="1" s="20">
      <c r="A1649" s="19" t="inlineStr">
        <is>
          <t>s5010</t>
        </is>
      </c>
      <c r="B1649" s="19" t="inlineStr">
        <is>
          <t>Comedies</t>
        </is>
      </c>
      <c r="C1649" s="19">
        <f>IFERROR(INDEX(tblNetflix[type],MATCH($A1649,tblNetflix[show_id],0)),"")</f>
        <v/>
      </c>
      <c r="D1649" s="19">
        <f>IFERROR(INDEX(tblNetflix[rating],MATCH($A1649,tblNetflix[show_id],0)),"")</f>
        <v/>
      </c>
      <c r="E1649" s="19">
        <f>IFERROR(INDEX(tblNetflix[year_added],MATCH($A1649,tblNetflix[show_id],0)),"")</f>
        <v/>
      </c>
      <c r="F1649" s="19">
        <f>IF(AND(OR(YearFilter="All",$E1649=YearFilter),OR(RatingFilter="All",$D1649=RatingFilter),OR(TypeFilter="All",$C1649=TypeFilter)),1,0)</f>
        <v/>
      </c>
    </row>
    <row r="1650" ht="15" customHeight="1" s="20">
      <c r="A1650" s="19" t="inlineStr">
        <is>
          <t>s5010</t>
        </is>
      </c>
      <c r="B1650" s="19" t="inlineStr">
        <is>
          <t>International Movies</t>
        </is>
      </c>
      <c r="C1650" s="19">
        <f>IFERROR(INDEX(tblNetflix[type],MATCH($A1650,tblNetflix[show_id],0)),"")</f>
        <v/>
      </c>
      <c r="D1650" s="19">
        <f>IFERROR(INDEX(tblNetflix[rating],MATCH($A1650,tblNetflix[show_id],0)),"")</f>
        <v/>
      </c>
      <c r="E1650" s="19">
        <f>IFERROR(INDEX(tblNetflix[year_added],MATCH($A1650,tblNetflix[show_id],0)),"")</f>
        <v/>
      </c>
      <c r="F1650" s="19">
        <f>IF(AND(OR(YearFilter="All",$E1650=YearFilter),OR(RatingFilter="All",$D1650=RatingFilter),OR(TypeFilter="All",$C1650=TypeFilter)),1,0)</f>
        <v/>
      </c>
    </row>
    <row r="1651" ht="15" customHeight="1" s="20">
      <c r="A1651" s="19" t="inlineStr">
        <is>
          <t>s5013</t>
        </is>
      </c>
      <c r="B1651" s="19" t="inlineStr">
        <is>
          <t>Dramas</t>
        </is>
      </c>
      <c r="C1651" s="19">
        <f>IFERROR(INDEX(tblNetflix[type],MATCH($A1651,tblNetflix[show_id],0)),"")</f>
        <v/>
      </c>
      <c r="D1651" s="19">
        <f>IFERROR(INDEX(tblNetflix[rating],MATCH($A1651,tblNetflix[show_id],0)),"")</f>
        <v/>
      </c>
      <c r="E1651" s="19">
        <f>IFERROR(INDEX(tblNetflix[year_added],MATCH($A1651,tblNetflix[show_id],0)),"")</f>
        <v/>
      </c>
      <c r="F1651" s="19">
        <f>IF(AND(OR(YearFilter="All",$E1651=YearFilter),OR(RatingFilter="All",$D1651=RatingFilter),OR(TypeFilter="All",$C1651=TypeFilter)),1,0)</f>
        <v/>
      </c>
    </row>
    <row r="1652" ht="15" customHeight="1" s="20">
      <c r="A1652" s="19" t="inlineStr">
        <is>
          <t>s5013</t>
        </is>
      </c>
      <c r="B1652" s="19" t="inlineStr">
        <is>
          <t>International Movies</t>
        </is>
      </c>
      <c r="C1652" s="19">
        <f>IFERROR(INDEX(tblNetflix[type],MATCH($A1652,tblNetflix[show_id],0)),"")</f>
        <v/>
      </c>
      <c r="D1652" s="19">
        <f>IFERROR(INDEX(tblNetflix[rating],MATCH($A1652,tblNetflix[show_id],0)),"")</f>
        <v/>
      </c>
      <c r="E1652" s="19">
        <f>IFERROR(INDEX(tblNetflix[year_added],MATCH($A1652,tblNetflix[show_id],0)),"")</f>
        <v/>
      </c>
      <c r="F1652" s="19">
        <f>IF(AND(OR(YearFilter="All",$E1652=YearFilter),OR(RatingFilter="All",$D1652=RatingFilter),OR(TypeFilter="All",$C1652=TypeFilter)),1,0)</f>
        <v/>
      </c>
    </row>
    <row r="1653" ht="15" customHeight="1" s="20">
      <c r="A1653" s="19" t="inlineStr">
        <is>
          <t>s5013</t>
        </is>
      </c>
      <c r="B1653" s="19" t="inlineStr">
        <is>
          <t>Romantic Movies</t>
        </is>
      </c>
      <c r="C1653" s="19">
        <f>IFERROR(INDEX(tblNetflix[type],MATCH($A1653,tblNetflix[show_id],0)),"")</f>
        <v/>
      </c>
      <c r="D1653" s="19">
        <f>IFERROR(INDEX(tblNetflix[rating],MATCH($A1653,tblNetflix[show_id],0)),"")</f>
        <v/>
      </c>
      <c r="E1653" s="19">
        <f>IFERROR(INDEX(tblNetflix[year_added],MATCH($A1653,tblNetflix[show_id],0)),"")</f>
        <v/>
      </c>
      <c r="F1653" s="19">
        <f>IF(AND(OR(YearFilter="All",$E1653=YearFilter),OR(RatingFilter="All",$D1653=RatingFilter),OR(TypeFilter="All",$C1653=TypeFilter)),1,0)</f>
        <v/>
      </c>
    </row>
    <row r="1654" ht="15" customHeight="1" s="20">
      <c r="A1654" s="19" t="inlineStr">
        <is>
          <t>s5015</t>
        </is>
      </c>
      <c r="B1654" s="19" t="inlineStr">
        <is>
          <t>Dramas</t>
        </is>
      </c>
      <c r="C1654" s="19">
        <f>IFERROR(INDEX(tblNetflix[type],MATCH($A1654,tblNetflix[show_id],0)),"")</f>
        <v/>
      </c>
      <c r="D1654" s="19">
        <f>IFERROR(INDEX(tblNetflix[rating],MATCH($A1654,tblNetflix[show_id],0)),"")</f>
        <v/>
      </c>
      <c r="E1654" s="19">
        <f>IFERROR(INDEX(tblNetflix[year_added],MATCH($A1654,tblNetflix[show_id],0)),"")</f>
        <v/>
      </c>
      <c r="F1654" s="19">
        <f>IF(AND(OR(YearFilter="All",$E1654=YearFilter),OR(RatingFilter="All",$D1654=RatingFilter),OR(TypeFilter="All",$C1654=TypeFilter)),1,0)</f>
        <v/>
      </c>
    </row>
    <row r="1655" ht="15" customHeight="1" s="20">
      <c r="A1655" s="19" t="inlineStr">
        <is>
          <t>s5015</t>
        </is>
      </c>
      <c r="B1655" s="19" t="inlineStr">
        <is>
          <t>International Movies</t>
        </is>
      </c>
      <c r="C1655" s="19">
        <f>IFERROR(INDEX(tblNetflix[type],MATCH($A1655,tblNetflix[show_id],0)),"")</f>
        <v/>
      </c>
      <c r="D1655" s="19">
        <f>IFERROR(INDEX(tblNetflix[rating],MATCH($A1655,tblNetflix[show_id],0)),"")</f>
        <v/>
      </c>
      <c r="E1655" s="19">
        <f>IFERROR(INDEX(tblNetflix[year_added],MATCH($A1655,tblNetflix[show_id],0)),"")</f>
        <v/>
      </c>
      <c r="F1655" s="19">
        <f>IF(AND(OR(YearFilter="All",$E1655=YearFilter),OR(RatingFilter="All",$D1655=RatingFilter),OR(TypeFilter="All",$C1655=TypeFilter)),1,0)</f>
        <v/>
      </c>
    </row>
    <row r="1656" ht="15" customHeight="1" s="20">
      <c r="A1656" s="19" t="inlineStr">
        <is>
          <t>s5021</t>
        </is>
      </c>
      <c r="B1656" s="19" t="inlineStr">
        <is>
          <t>Comedies</t>
        </is>
      </c>
      <c r="C1656" s="19">
        <f>IFERROR(INDEX(tblNetflix[type],MATCH($A1656,tblNetflix[show_id],0)),"")</f>
        <v/>
      </c>
      <c r="D1656" s="19">
        <f>IFERROR(INDEX(tblNetflix[rating],MATCH($A1656,tblNetflix[show_id],0)),"")</f>
        <v/>
      </c>
      <c r="E1656" s="19">
        <f>IFERROR(INDEX(tblNetflix[year_added],MATCH($A1656,tblNetflix[show_id],0)),"")</f>
        <v/>
      </c>
      <c r="F1656" s="19">
        <f>IF(AND(OR(YearFilter="All",$E1656=YearFilter),OR(RatingFilter="All",$D1656=RatingFilter),OR(TypeFilter="All",$C1656=TypeFilter)),1,0)</f>
        <v/>
      </c>
    </row>
    <row r="1657" ht="15" customHeight="1" s="20">
      <c r="A1657" s="19" t="inlineStr">
        <is>
          <t>s5021</t>
        </is>
      </c>
      <c r="B1657" s="19" t="inlineStr">
        <is>
          <t>Independent Movies</t>
        </is>
      </c>
      <c r="C1657" s="19">
        <f>IFERROR(INDEX(tblNetflix[type],MATCH($A1657,tblNetflix[show_id],0)),"")</f>
        <v/>
      </c>
      <c r="D1657" s="19">
        <f>IFERROR(INDEX(tblNetflix[rating],MATCH($A1657,tblNetflix[show_id],0)),"")</f>
        <v/>
      </c>
      <c r="E1657" s="19">
        <f>IFERROR(INDEX(tblNetflix[year_added],MATCH($A1657,tblNetflix[show_id],0)),"")</f>
        <v/>
      </c>
      <c r="F1657" s="19">
        <f>IF(AND(OR(YearFilter="All",$E1657=YearFilter),OR(RatingFilter="All",$D1657=RatingFilter),OR(TypeFilter="All",$C1657=TypeFilter)),1,0)</f>
        <v/>
      </c>
    </row>
    <row r="1658" ht="15" customHeight="1" s="20">
      <c r="A1658" s="19" t="inlineStr">
        <is>
          <t>s5021</t>
        </is>
      </c>
      <c r="B1658" s="19" t="inlineStr">
        <is>
          <t>International Movies</t>
        </is>
      </c>
      <c r="C1658" s="19">
        <f>IFERROR(INDEX(tblNetflix[type],MATCH($A1658,tblNetflix[show_id],0)),"")</f>
        <v/>
      </c>
      <c r="D1658" s="19">
        <f>IFERROR(INDEX(tblNetflix[rating],MATCH($A1658,tblNetflix[show_id],0)),"")</f>
        <v/>
      </c>
      <c r="E1658" s="19">
        <f>IFERROR(INDEX(tblNetflix[year_added],MATCH($A1658,tblNetflix[show_id],0)),"")</f>
        <v/>
      </c>
      <c r="F1658" s="19">
        <f>IF(AND(OR(YearFilter="All",$E1658=YearFilter),OR(RatingFilter="All",$D1658=RatingFilter),OR(TypeFilter="All",$C1658=TypeFilter)),1,0)</f>
        <v/>
      </c>
    </row>
    <row r="1659" ht="15" customHeight="1" s="20">
      <c r="A1659" s="19" t="inlineStr">
        <is>
          <t>s5022</t>
        </is>
      </c>
      <c r="B1659" s="19" t="inlineStr">
        <is>
          <t>Dramas</t>
        </is>
      </c>
      <c r="C1659" s="19">
        <f>IFERROR(INDEX(tblNetflix[type],MATCH($A1659,tblNetflix[show_id],0)),"")</f>
        <v/>
      </c>
      <c r="D1659" s="19">
        <f>IFERROR(INDEX(tblNetflix[rating],MATCH($A1659,tblNetflix[show_id],0)),"")</f>
        <v/>
      </c>
      <c r="E1659" s="19">
        <f>IFERROR(INDEX(tblNetflix[year_added],MATCH($A1659,tblNetflix[show_id],0)),"")</f>
        <v/>
      </c>
      <c r="F1659" s="19">
        <f>IF(AND(OR(YearFilter="All",$E1659=YearFilter),OR(RatingFilter="All",$D1659=RatingFilter),OR(TypeFilter="All",$C1659=TypeFilter)),1,0)</f>
        <v/>
      </c>
    </row>
    <row r="1660" ht="15" customHeight="1" s="20">
      <c r="A1660" s="19" t="inlineStr">
        <is>
          <t>s5022</t>
        </is>
      </c>
      <c r="B1660" s="19" t="inlineStr">
        <is>
          <t>International Movies</t>
        </is>
      </c>
      <c r="C1660" s="19">
        <f>IFERROR(INDEX(tblNetflix[type],MATCH($A1660,tblNetflix[show_id],0)),"")</f>
        <v/>
      </c>
      <c r="D1660" s="19">
        <f>IFERROR(INDEX(tblNetflix[rating],MATCH($A1660,tblNetflix[show_id],0)),"")</f>
        <v/>
      </c>
      <c r="E1660" s="19">
        <f>IFERROR(INDEX(tblNetflix[year_added],MATCH($A1660,tblNetflix[show_id],0)),"")</f>
        <v/>
      </c>
      <c r="F1660" s="19">
        <f>IF(AND(OR(YearFilter="All",$E1660=YearFilter),OR(RatingFilter="All",$D1660=RatingFilter),OR(TypeFilter="All",$C1660=TypeFilter)),1,0)</f>
        <v/>
      </c>
    </row>
    <row r="1661" ht="15" customHeight="1" s="20">
      <c r="A1661" s="19" t="inlineStr">
        <is>
          <t>s5041</t>
        </is>
      </c>
      <c r="B1661" s="19" t="inlineStr">
        <is>
          <t>Comedies</t>
        </is>
      </c>
      <c r="C1661" s="19">
        <f>IFERROR(INDEX(tblNetflix[type],MATCH($A1661,tblNetflix[show_id],0)),"")</f>
        <v/>
      </c>
      <c r="D1661" s="19">
        <f>IFERROR(INDEX(tblNetflix[rating],MATCH($A1661,tblNetflix[show_id],0)),"")</f>
        <v/>
      </c>
      <c r="E1661" s="19">
        <f>IFERROR(INDEX(tblNetflix[year_added],MATCH($A1661,tblNetflix[show_id],0)),"")</f>
        <v/>
      </c>
      <c r="F1661" s="19">
        <f>IF(AND(OR(YearFilter="All",$E1661=YearFilter),OR(RatingFilter="All",$D1661=RatingFilter),OR(TypeFilter="All",$C1661=TypeFilter)),1,0)</f>
        <v/>
      </c>
    </row>
    <row r="1662" ht="15" customHeight="1" s="20">
      <c r="A1662" s="19" t="inlineStr">
        <is>
          <t>s5041</t>
        </is>
      </c>
      <c r="B1662" s="19" t="inlineStr">
        <is>
          <t>International Movies</t>
        </is>
      </c>
      <c r="C1662" s="19">
        <f>IFERROR(INDEX(tblNetflix[type],MATCH($A1662,tblNetflix[show_id],0)),"")</f>
        <v/>
      </c>
      <c r="D1662" s="19">
        <f>IFERROR(INDEX(tblNetflix[rating],MATCH($A1662,tblNetflix[show_id],0)),"")</f>
        <v/>
      </c>
      <c r="E1662" s="19">
        <f>IFERROR(INDEX(tblNetflix[year_added],MATCH($A1662,tblNetflix[show_id],0)),"")</f>
        <v/>
      </c>
      <c r="F1662" s="19">
        <f>IF(AND(OR(YearFilter="All",$E1662=YearFilter),OR(RatingFilter="All",$D1662=RatingFilter),OR(TypeFilter="All",$C1662=TypeFilter)),1,0)</f>
        <v/>
      </c>
    </row>
    <row r="1663" ht="15" customHeight="1" s="20">
      <c r="A1663" s="19" t="inlineStr">
        <is>
          <t>s5041</t>
        </is>
      </c>
      <c r="B1663" s="19" t="inlineStr">
        <is>
          <t>Romantic Movies</t>
        </is>
      </c>
      <c r="C1663" s="19">
        <f>IFERROR(INDEX(tblNetflix[type],MATCH($A1663,tblNetflix[show_id],0)),"")</f>
        <v/>
      </c>
      <c r="D1663" s="19">
        <f>IFERROR(INDEX(tblNetflix[rating],MATCH($A1663,tblNetflix[show_id],0)),"")</f>
        <v/>
      </c>
      <c r="E1663" s="19">
        <f>IFERROR(INDEX(tblNetflix[year_added],MATCH($A1663,tblNetflix[show_id],0)),"")</f>
        <v/>
      </c>
      <c r="F1663" s="19">
        <f>IF(AND(OR(YearFilter="All",$E1663=YearFilter),OR(RatingFilter="All",$D1663=RatingFilter),OR(TypeFilter="All",$C1663=TypeFilter)),1,0)</f>
        <v/>
      </c>
    </row>
    <row r="1664" ht="15" customHeight="1" s="20">
      <c r="A1664" s="19" t="inlineStr">
        <is>
          <t>s5080</t>
        </is>
      </c>
      <c r="B1664" s="19" t="inlineStr">
        <is>
          <t>Action &amp; Adventure</t>
        </is>
      </c>
      <c r="C1664" s="19">
        <f>IFERROR(INDEX(tblNetflix[type],MATCH($A1664,tblNetflix[show_id],0)),"")</f>
        <v/>
      </c>
      <c r="D1664" s="19">
        <f>IFERROR(INDEX(tblNetflix[rating],MATCH($A1664,tblNetflix[show_id],0)),"")</f>
        <v/>
      </c>
      <c r="E1664" s="19">
        <f>IFERROR(INDEX(tblNetflix[year_added],MATCH($A1664,tblNetflix[show_id],0)),"")</f>
        <v/>
      </c>
      <c r="F1664" s="19">
        <f>IF(AND(OR(YearFilter="All",$E1664=YearFilter),OR(RatingFilter="All",$D1664=RatingFilter),OR(TypeFilter="All",$C1664=TypeFilter)),1,0)</f>
        <v/>
      </c>
    </row>
    <row r="1665" ht="15" customHeight="1" s="20">
      <c r="A1665" s="19" t="inlineStr">
        <is>
          <t>s5080</t>
        </is>
      </c>
      <c r="B1665" s="19" t="inlineStr">
        <is>
          <t>International Movies</t>
        </is>
      </c>
      <c r="C1665" s="19">
        <f>IFERROR(INDEX(tblNetflix[type],MATCH($A1665,tblNetflix[show_id],0)),"")</f>
        <v/>
      </c>
      <c r="D1665" s="19">
        <f>IFERROR(INDEX(tblNetflix[rating],MATCH($A1665,tblNetflix[show_id],0)),"")</f>
        <v/>
      </c>
      <c r="E1665" s="19">
        <f>IFERROR(INDEX(tblNetflix[year_added],MATCH($A1665,tblNetflix[show_id],0)),"")</f>
        <v/>
      </c>
      <c r="F1665" s="19">
        <f>IF(AND(OR(YearFilter="All",$E1665=YearFilter),OR(RatingFilter="All",$D1665=RatingFilter),OR(TypeFilter="All",$C1665=TypeFilter)),1,0)</f>
        <v/>
      </c>
    </row>
    <row r="1666" ht="15" customHeight="1" s="20">
      <c r="A1666" s="19" t="inlineStr">
        <is>
          <t>s5080</t>
        </is>
      </c>
      <c r="B1666" s="19" t="inlineStr">
        <is>
          <t>Sci-Fi &amp; Fantasy</t>
        </is>
      </c>
      <c r="C1666" s="19">
        <f>IFERROR(INDEX(tblNetflix[type],MATCH($A1666,tblNetflix[show_id],0)),"")</f>
        <v/>
      </c>
      <c r="D1666" s="19">
        <f>IFERROR(INDEX(tblNetflix[rating],MATCH($A1666,tblNetflix[show_id],0)),"")</f>
        <v/>
      </c>
      <c r="E1666" s="19">
        <f>IFERROR(INDEX(tblNetflix[year_added],MATCH($A1666,tblNetflix[show_id],0)),"")</f>
        <v/>
      </c>
      <c r="F1666" s="19">
        <f>IF(AND(OR(YearFilter="All",$E1666=YearFilter),OR(RatingFilter="All",$D1666=RatingFilter),OR(TypeFilter="All",$C1666=TypeFilter)),1,0)</f>
        <v/>
      </c>
    </row>
    <row r="1667" ht="15" customHeight="1" s="20">
      <c r="A1667" s="19" t="inlineStr">
        <is>
          <t>s5081</t>
        </is>
      </c>
      <c r="B1667" s="19" t="inlineStr">
        <is>
          <t>Dramas</t>
        </is>
      </c>
      <c r="C1667" s="19">
        <f>IFERROR(INDEX(tblNetflix[type],MATCH($A1667,tblNetflix[show_id],0)),"")</f>
        <v/>
      </c>
      <c r="D1667" s="19">
        <f>IFERROR(INDEX(tblNetflix[rating],MATCH($A1667,tblNetflix[show_id],0)),"")</f>
        <v/>
      </c>
      <c r="E1667" s="19">
        <f>IFERROR(INDEX(tblNetflix[year_added],MATCH($A1667,tblNetflix[show_id],0)),"")</f>
        <v/>
      </c>
      <c r="F1667" s="19">
        <f>IF(AND(OR(YearFilter="All",$E1667=YearFilter),OR(RatingFilter="All",$D1667=RatingFilter),OR(TypeFilter="All",$C1667=TypeFilter)),1,0)</f>
        <v/>
      </c>
    </row>
    <row r="1668" ht="15" customHeight="1" s="20">
      <c r="A1668" s="19" t="inlineStr">
        <is>
          <t>s5081</t>
        </is>
      </c>
      <c r="B1668" s="19" t="inlineStr">
        <is>
          <t>International Movies</t>
        </is>
      </c>
      <c r="C1668" s="19">
        <f>IFERROR(INDEX(tblNetflix[type],MATCH($A1668,tblNetflix[show_id],0)),"")</f>
        <v/>
      </c>
      <c r="D1668" s="19">
        <f>IFERROR(INDEX(tblNetflix[rating],MATCH($A1668,tblNetflix[show_id],0)),"")</f>
        <v/>
      </c>
      <c r="E1668" s="19">
        <f>IFERROR(INDEX(tblNetflix[year_added],MATCH($A1668,tblNetflix[show_id],0)),"")</f>
        <v/>
      </c>
      <c r="F1668" s="19">
        <f>IF(AND(OR(YearFilter="All",$E1668=YearFilter),OR(RatingFilter="All",$D1668=RatingFilter),OR(TypeFilter="All",$C1668=TypeFilter)),1,0)</f>
        <v/>
      </c>
    </row>
    <row r="1669" ht="15" customHeight="1" s="20">
      <c r="A1669" s="19" t="inlineStr">
        <is>
          <t>s5081</t>
        </is>
      </c>
      <c r="B1669" s="19" t="inlineStr">
        <is>
          <t>Music &amp; Musicals</t>
        </is>
      </c>
      <c r="C1669" s="19">
        <f>IFERROR(INDEX(tblNetflix[type],MATCH($A1669,tblNetflix[show_id],0)),"")</f>
        <v/>
      </c>
      <c r="D1669" s="19">
        <f>IFERROR(INDEX(tblNetflix[rating],MATCH($A1669,tblNetflix[show_id],0)),"")</f>
        <v/>
      </c>
      <c r="E1669" s="19">
        <f>IFERROR(INDEX(tblNetflix[year_added],MATCH($A1669,tblNetflix[show_id],0)),"")</f>
        <v/>
      </c>
      <c r="F1669" s="19">
        <f>IF(AND(OR(YearFilter="All",$E1669=YearFilter),OR(RatingFilter="All",$D1669=RatingFilter),OR(TypeFilter="All",$C1669=TypeFilter)),1,0)</f>
        <v/>
      </c>
    </row>
    <row r="1670" ht="15" customHeight="1" s="20">
      <c r="A1670" s="19" t="inlineStr">
        <is>
          <t>s5089</t>
        </is>
      </c>
      <c r="B1670" s="19" t="inlineStr">
        <is>
          <t>Horror Movies</t>
        </is>
      </c>
      <c r="C1670" s="19">
        <f>IFERROR(INDEX(tblNetflix[type],MATCH($A1670,tblNetflix[show_id],0)),"")</f>
        <v/>
      </c>
      <c r="D1670" s="19">
        <f>IFERROR(INDEX(tblNetflix[rating],MATCH($A1670,tblNetflix[show_id],0)),"")</f>
        <v/>
      </c>
      <c r="E1670" s="19">
        <f>IFERROR(INDEX(tblNetflix[year_added],MATCH($A1670,tblNetflix[show_id],0)),"")</f>
        <v/>
      </c>
      <c r="F1670" s="19">
        <f>IF(AND(OR(YearFilter="All",$E1670=YearFilter),OR(RatingFilter="All",$D1670=RatingFilter),OR(TypeFilter="All",$C1670=TypeFilter)),1,0)</f>
        <v/>
      </c>
    </row>
    <row r="1671" ht="15" customHeight="1" s="20">
      <c r="A1671" s="19" t="inlineStr">
        <is>
          <t>s5089</t>
        </is>
      </c>
      <c r="B1671" s="19" t="inlineStr">
        <is>
          <t>International Movies</t>
        </is>
      </c>
      <c r="C1671" s="19">
        <f>IFERROR(INDEX(tblNetflix[type],MATCH($A1671,tblNetflix[show_id],0)),"")</f>
        <v/>
      </c>
      <c r="D1671" s="19">
        <f>IFERROR(INDEX(tblNetflix[rating],MATCH($A1671,tblNetflix[show_id],0)),"")</f>
        <v/>
      </c>
      <c r="E1671" s="19">
        <f>IFERROR(INDEX(tblNetflix[year_added],MATCH($A1671,tblNetflix[show_id],0)),"")</f>
        <v/>
      </c>
      <c r="F1671" s="19">
        <f>IF(AND(OR(YearFilter="All",$E1671=YearFilter),OR(RatingFilter="All",$D1671=RatingFilter),OR(TypeFilter="All",$C1671=TypeFilter)),1,0)</f>
        <v/>
      </c>
    </row>
    <row r="1672" ht="15" customHeight="1" s="20">
      <c r="A1672" s="19" t="inlineStr">
        <is>
          <t>s5089</t>
        </is>
      </c>
      <c r="B1672" s="19" t="inlineStr">
        <is>
          <t>Thrillers</t>
        </is>
      </c>
      <c r="C1672" s="19">
        <f>IFERROR(INDEX(tblNetflix[type],MATCH($A1672,tblNetflix[show_id],0)),"")</f>
        <v/>
      </c>
      <c r="D1672" s="19">
        <f>IFERROR(INDEX(tblNetflix[rating],MATCH($A1672,tblNetflix[show_id],0)),"")</f>
        <v/>
      </c>
      <c r="E1672" s="19">
        <f>IFERROR(INDEX(tblNetflix[year_added],MATCH($A1672,tblNetflix[show_id],0)),"")</f>
        <v/>
      </c>
      <c r="F1672" s="19">
        <f>IF(AND(OR(YearFilter="All",$E1672=YearFilter),OR(RatingFilter="All",$D1672=RatingFilter),OR(TypeFilter="All",$C1672=TypeFilter)),1,0)</f>
        <v/>
      </c>
    </row>
    <row r="1673" ht="15" customHeight="1" s="20">
      <c r="A1673" s="19" t="inlineStr">
        <is>
          <t>s5123</t>
        </is>
      </c>
      <c r="B1673" s="19" t="inlineStr">
        <is>
          <t>Comedies</t>
        </is>
      </c>
      <c r="C1673" s="19">
        <f>IFERROR(INDEX(tblNetflix[type],MATCH($A1673,tblNetflix[show_id],0)),"")</f>
        <v/>
      </c>
      <c r="D1673" s="19">
        <f>IFERROR(INDEX(tblNetflix[rating],MATCH($A1673,tblNetflix[show_id],0)),"")</f>
        <v/>
      </c>
      <c r="E1673" s="19">
        <f>IFERROR(INDEX(tblNetflix[year_added],MATCH($A1673,tblNetflix[show_id],0)),"")</f>
        <v/>
      </c>
      <c r="F1673" s="19">
        <f>IF(AND(OR(YearFilter="All",$E1673=YearFilter),OR(RatingFilter="All",$D1673=RatingFilter),OR(TypeFilter="All",$C1673=TypeFilter)),1,0)</f>
        <v/>
      </c>
    </row>
    <row r="1674" ht="15" customHeight="1" s="20">
      <c r="A1674" s="19" t="inlineStr">
        <is>
          <t>s5123</t>
        </is>
      </c>
      <c r="B1674" s="19" t="inlineStr">
        <is>
          <t>Dramas</t>
        </is>
      </c>
      <c r="C1674" s="19">
        <f>IFERROR(INDEX(tblNetflix[type],MATCH($A1674,tblNetflix[show_id],0)),"")</f>
        <v/>
      </c>
      <c r="D1674" s="19">
        <f>IFERROR(INDEX(tblNetflix[rating],MATCH($A1674,tblNetflix[show_id],0)),"")</f>
        <v/>
      </c>
      <c r="E1674" s="19">
        <f>IFERROR(INDEX(tblNetflix[year_added],MATCH($A1674,tblNetflix[show_id],0)),"")</f>
        <v/>
      </c>
      <c r="F1674" s="19">
        <f>IF(AND(OR(YearFilter="All",$E1674=YearFilter),OR(RatingFilter="All",$D1674=RatingFilter),OR(TypeFilter="All",$C1674=TypeFilter)),1,0)</f>
        <v/>
      </c>
    </row>
    <row r="1675" ht="15" customHeight="1" s="20">
      <c r="A1675" s="19" t="inlineStr">
        <is>
          <t>s5123</t>
        </is>
      </c>
      <c r="B1675" s="19" t="inlineStr">
        <is>
          <t>International Movies</t>
        </is>
      </c>
      <c r="C1675" s="19">
        <f>IFERROR(INDEX(tblNetflix[type],MATCH($A1675,tblNetflix[show_id],0)),"")</f>
        <v/>
      </c>
      <c r="D1675" s="19">
        <f>IFERROR(INDEX(tblNetflix[rating],MATCH($A1675,tblNetflix[show_id],0)),"")</f>
        <v/>
      </c>
      <c r="E1675" s="19">
        <f>IFERROR(INDEX(tblNetflix[year_added],MATCH($A1675,tblNetflix[show_id],0)),"")</f>
        <v/>
      </c>
      <c r="F1675" s="19">
        <f>IF(AND(OR(YearFilter="All",$E1675=YearFilter),OR(RatingFilter="All",$D1675=RatingFilter),OR(TypeFilter="All",$C1675=TypeFilter)),1,0)</f>
        <v/>
      </c>
    </row>
    <row r="1676" ht="15" customHeight="1" s="20">
      <c r="A1676" s="19" t="inlineStr">
        <is>
          <t>s5131</t>
        </is>
      </c>
      <c r="B1676" s="19" t="inlineStr">
        <is>
          <t>Action &amp; Adventure</t>
        </is>
      </c>
      <c r="C1676" s="19">
        <f>IFERROR(INDEX(tblNetflix[type],MATCH($A1676,tblNetflix[show_id],0)),"")</f>
        <v/>
      </c>
      <c r="D1676" s="19">
        <f>IFERROR(INDEX(tblNetflix[rating],MATCH($A1676,tblNetflix[show_id],0)),"")</f>
        <v/>
      </c>
      <c r="E1676" s="19">
        <f>IFERROR(INDEX(tblNetflix[year_added],MATCH($A1676,tblNetflix[show_id],0)),"")</f>
        <v/>
      </c>
      <c r="F1676" s="19">
        <f>IF(AND(OR(YearFilter="All",$E1676=YearFilter),OR(RatingFilter="All",$D1676=RatingFilter),OR(TypeFilter="All",$C1676=TypeFilter)),1,0)</f>
        <v/>
      </c>
    </row>
    <row r="1677" ht="15" customHeight="1" s="20">
      <c r="A1677" s="19" t="inlineStr">
        <is>
          <t>s5131</t>
        </is>
      </c>
      <c r="B1677" s="19" t="inlineStr">
        <is>
          <t>International Movies</t>
        </is>
      </c>
      <c r="C1677" s="19">
        <f>IFERROR(INDEX(tblNetflix[type],MATCH($A1677,tblNetflix[show_id],0)),"")</f>
        <v/>
      </c>
      <c r="D1677" s="19">
        <f>IFERROR(INDEX(tblNetflix[rating],MATCH($A1677,tblNetflix[show_id],0)),"")</f>
        <v/>
      </c>
      <c r="E1677" s="19">
        <f>IFERROR(INDEX(tblNetflix[year_added],MATCH($A1677,tblNetflix[show_id],0)),"")</f>
        <v/>
      </c>
      <c r="F1677" s="19">
        <f>IF(AND(OR(YearFilter="All",$E1677=YearFilter),OR(RatingFilter="All",$D1677=RatingFilter),OR(TypeFilter="All",$C1677=TypeFilter)),1,0)</f>
        <v/>
      </c>
    </row>
    <row r="1678" ht="15" customHeight="1" s="20">
      <c r="A1678" s="19" t="inlineStr">
        <is>
          <t>s5132</t>
        </is>
      </c>
      <c r="B1678" s="19" t="inlineStr">
        <is>
          <t>Dramas</t>
        </is>
      </c>
      <c r="C1678" s="19">
        <f>IFERROR(INDEX(tblNetflix[type],MATCH($A1678,tblNetflix[show_id],0)),"")</f>
        <v/>
      </c>
      <c r="D1678" s="19">
        <f>IFERROR(INDEX(tblNetflix[rating],MATCH($A1678,tblNetflix[show_id],0)),"")</f>
        <v/>
      </c>
      <c r="E1678" s="19">
        <f>IFERROR(INDEX(tblNetflix[year_added],MATCH($A1678,tblNetflix[show_id],0)),"")</f>
        <v/>
      </c>
      <c r="F1678" s="19">
        <f>IF(AND(OR(YearFilter="All",$E1678=YearFilter),OR(RatingFilter="All",$D1678=RatingFilter),OR(TypeFilter="All",$C1678=TypeFilter)),1,0)</f>
        <v/>
      </c>
    </row>
    <row r="1679" ht="15" customHeight="1" s="20">
      <c r="A1679" s="19" t="inlineStr">
        <is>
          <t>s5132</t>
        </is>
      </c>
      <c r="B1679" s="19" t="inlineStr">
        <is>
          <t>International Movies</t>
        </is>
      </c>
      <c r="C1679" s="19">
        <f>IFERROR(INDEX(tblNetflix[type],MATCH($A1679,tblNetflix[show_id],0)),"")</f>
        <v/>
      </c>
      <c r="D1679" s="19">
        <f>IFERROR(INDEX(tblNetflix[rating],MATCH($A1679,tblNetflix[show_id],0)),"")</f>
        <v/>
      </c>
      <c r="E1679" s="19">
        <f>IFERROR(INDEX(tblNetflix[year_added],MATCH($A1679,tblNetflix[show_id],0)),"")</f>
        <v/>
      </c>
      <c r="F1679" s="19">
        <f>IF(AND(OR(YearFilter="All",$E1679=YearFilter),OR(RatingFilter="All",$D1679=RatingFilter),OR(TypeFilter="All",$C1679=TypeFilter)),1,0)</f>
        <v/>
      </c>
    </row>
    <row r="1680" ht="15" customHeight="1" s="20">
      <c r="A1680" s="19" t="inlineStr">
        <is>
          <t>s5132</t>
        </is>
      </c>
      <c r="B1680" s="19" t="inlineStr">
        <is>
          <t>Music &amp; Musicals</t>
        </is>
      </c>
      <c r="C1680" s="19">
        <f>IFERROR(INDEX(tblNetflix[type],MATCH($A1680,tblNetflix[show_id],0)),"")</f>
        <v/>
      </c>
      <c r="D1680" s="19">
        <f>IFERROR(INDEX(tblNetflix[rating],MATCH($A1680,tblNetflix[show_id],0)),"")</f>
        <v/>
      </c>
      <c r="E1680" s="19">
        <f>IFERROR(INDEX(tblNetflix[year_added],MATCH($A1680,tblNetflix[show_id],0)),"")</f>
        <v/>
      </c>
      <c r="F1680" s="19">
        <f>IF(AND(OR(YearFilter="All",$E1680=YearFilter),OR(RatingFilter="All",$D1680=RatingFilter),OR(TypeFilter="All",$C1680=TypeFilter)),1,0)</f>
        <v/>
      </c>
    </row>
    <row r="1681" ht="15" customHeight="1" s="20">
      <c r="A1681" s="19" t="inlineStr">
        <is>
          <t>s5136</t>
        </is>
      </c>
      <c r="B1681" s="19" t="inlineStr">
        <is>
          <t>Comedies</t>
        </is>
      </c>
      <c r="C1681" s="19">
        <f>IFERROR(INDEX(tblNetflix[type],MATCH($A1681,tblNetflix[show_id],0)),"")</f>
        <v/>
      </c>
      <c r="D1681" s="19">
        <f>IFERROR(INDEX(tblNetflix[rating],MATCH($A1681,tblNetflix[show_id],0)),"")</f>
        <v/>
      </c>
      <c r="E1681" s="19">
        <f>IFERROR(INDEX(tblNetflix[year_added],MATCH($A1681,tblNetflix[show_id],0)),"")</f>
        <v/>
      </c>
      <c r="F1681" s="19">
        <f>IF(AND(OR(YearFilter="All",$E1681=YearFilter),OR(RatingFilter="All",$D1681=RatingFilter),OR(TypeFilter="All",$C1681=TypeFilter)),1,0)</f>
        <v/>
      </c>
    </row>
    <row r="1682" ht="15" customHeight="1" s="20">
      <c r="A1682" s="19" t="inlineStr">
        <is>
          <t>s5136</t>
        </is>
      </c>
      <c r="B1682" s="19" t="inlineStr">
        <is>
          <t>International Movies</t>
        </is>
      </c>
      <c r="C1682" s="19">
        <f>IFERROR(INDEX(tblNetflix[type],MATCH($A1682,tblNetflix[show_id],0)),"")</f>
        <v/>
      </c>
      <c r="D1682" s="19">
        <f>IFERROR(INDEX(tblNetflix[rating],MATCH($A1682,tblNetflix[show_id],0)),"")</f>
        <v/>
      </c>
      <c r="E1682" s="19">
        <f>IFERROR(INDEX(tblNetflix[year_added],MATCH($A1682,tblNetflix[show_id],0)),"")</f>
        <v/>
      </c>
      <c r="F1682" s="19">
        <f>IF(AND(OR(YearFilter="All",$E1682=YearFilter),OR(RatingFilter="All",$D1682=RatingFilter),OR(TypeFilter="All",$C1682=TypeFilter)),1,0)</f>
        <v/>
      </c>
    </row>
    <row r="1683" ht="15" customHeight="1" s="20">
      <c r="A1683" s="19" t="inlineStr">
        <is>
          <t>s5136</t>
        </is>
      </c>
      <c r="B1683" s="19" t="inlineStr">
        <is>
          <t>Romantic Movies</t>
        </is>
      </c>
      <c r="C1683" s="19">
        <f>IFERROR(INDEX(tblNetflix[type],MATCH($A1683,tblNetflix[show_id],0)),"")</f>
        <v/>
      </c>
      <c r="D1683" s="19">
        <f>IFERROR(INDEX(tblNetflix[rating],MATCH($A1683,tblNetflix[show_id],0)),"")</f>
        <v/>
      </c>
      <c r="E1683" s="19">
        <f>IFERROR(INDEX(tblNetflix[year_added],MATCH($A1683,tblNetflix[show_id],0)),"")</f>
        <v/>
      </c>
      <c r="F1683" s="19">
        <f>IF(AND(OR(YearFilter="All",$E1683=YearFilter),OR(RatingFilter="All",$D1683=RatingFilter),OR(TypeFilter="All",$C1683=TypeFilter)),1,0)</f>
        <v/>
      </c>
    </row>
    <row r="1684" ht="15" customHeight="1" s="20">
      <c r="A1684" s="19" t="inlineStr">
        <is>
          <t>s5143</t>
        </is>
      </c>
      <c r="B1684" s="19" t="inlineStr">
        <is>
          <t>Children &amp; Family Movies</t>
        </is>
      </c>
      <c r="C1684" s="19">
        <f>IFERROR(INDEX(tblNetflix[type],MATCH($A1684,tblNetflix[show_id],0)),"")</f>
        <v/>
      </c>
      <c r="D1684" s="19">
        <f>IFERROR(INDEX(tblNetflix[rating],MATCH($A1684,tblNetflix[show_id],0)),"")</f>
        <v/>
      </c>
      <c r="E1684" s="19">
        <f>IFERROR(INDEX(tblNetflix[year_added],MATCH($A1684,tblNetflix[show_id],0)),"")</f>
        <v/>
      </c>
      <c r="F1684" s="19">
        <f>IF(AND(OR(YearFilter="All",$E1684=YearFilter),OR(RatingFilter="All",$D1684=RatingFilter),OR(TypeFilter="All",$C1684=TypeFilter)),1,0)</f>
        <v/>
      </c>
    </row>
    <row r="1685" ht="15" customHeight="1" s="20">
      <c r="A1685" s="19" t="inlineStr">
        <is>
          <t>s5152</t>
        </is>
      </c>
      <c r="B1685" s="19" t="inlineStr">
        <is>
          <t>Comedies</t>
        </is>
      </c>
      <c r="C1685" s="19">
        <f>IFERROR(INDEX(tblNetflix[type],MATCH($A1685,tblNetflix[show_id],0)),"")</f>
        <v/>
      </c>
      <c r="D1685" s="19">
        <f>IFERROR(INDEX(tblNetflix[rating],MATCH($A1685,tblNetflix[show_id],0)),"")</f>
        <v/>
      </c>
      <c r="E1685" s="19">
        <f>IFERROR(INDEX(tblNetflix[year_added],MATCH($A1685,tblNetflix[show_id],0)),"")</f>
        <v/>
      </c>
      <c r="F1685" s="19">
        <f>IF(AND(OR(YearFilter="All",$E1685=YearFilter),OR(RatingFilter="All",$D1685=RatingFilter),OR(TypeFilter="All",$C1685=TypeFilter)),1,0)</f>
        <v/>
      </c>
    </row>
    <row r="1686" ht="15" customHeight="1" s="20">
      <c r="A1686" s="19" t="inlineStr">
        <is>
          <t>s5152</t>
        </is>
      </c>
      <c r="B1686" s="19" t="inlineStr">
        <is>
          <t>International Movies</t>
        </is>
      </c>
      <c r="C1686" s="19">
        <f>IFERROR(INDEX(tblNetflix[type],MATCH($A1686,tblNetflix[show_id],0)),"")</f>
        <v/>
      </c>
      <c r="D1686" s="19">
        <f>IFERROR(INDEX(tblNetflix[rating],MATCH($A1686,tblNetflix[show_id],0)),"")</f>
        <v/>
      </c>
      <c r="E1686" s="19">
        <f>IFERROR(INDEX(tblNetflix[year_added],MATCH($A1686,tblNetflix[show_id],0)),"")</f>
        <v/>
      </c>
      <c r="F1686" s="19">
        <f>IF(AND(OR(YearFilter="All",$E1686=YearFilter),OR(RatingFilter="All",$D1686=RatingFilter),OR(TypeFilter="All",$C1686=TypeFilter)),1,0)</f>
        <v/>
      </c>
    </row>
    <row r="1687" ht="15" customHeight="1" s="20">
      <c r="A1687" s="19" t="inlineStr">
        <is>
          <t>s5184</t>
        </is>
      </c>
      <c r="B1687" s="19" t="inlineStr">
        <is>
          <t>Comedies</t>
        </is>
      </c>
      <c r="C1687" s="19">
        <f>IFERROR(INDEX(tblNetflix[type],MATCH($A1687,tblNetflix[show_id],0)),"")</f>
        <v/>
      </c>
      <c r="D1687" s="19">
        <f>IFERROR(INDEX(tblNetflix[rating],MATCH($A1687,tblNetflix[show_id],0)),"")</f>
        <v/>
      </c>
      <c r="E1687" s="19">
        <f>IFERROR(INDEX(tblNetflix[year_added],MATCH($A1687,tblNetflix[show_id],0)),"")</f>
        <v/>
      </c>
      <c r="F1687" s="19">
        <f>IF(AND(OR(YearFilter="All",$E1687=YearFilter),OR(RatingFilter="All",$D1687=RatingFilter),OR(TypeFilter="All",$C1687=TypeFilter)),1,0)</f>
        <v/>
      </c>
    </row>
    <row r="1688" ht="15" customHeight="1" s="20">
      <c r="A1688" s="19" t="inlineStr">
        <is>
          <t>s5184</t>
        </is>
      </c>
      <c r="B1688" s="19" t="inlineStr">
        <is>
          <t>Dramas</t>
        </is>
      </c>
      <c r="C1688" s="19">
        <f>IFERROR(INDEX(tblNetflix[type],MATCH($A1688,tblNetflix[show_id],0)),"")</f>
        <v/>
      </c>
      <c r="D1688" s="19">
        <f>IFERROR(INDEX(tblNetflix[rating],MATCH($A1688,tblNetflix[show_id],0)),"")</f>
        <v/>
      </c>
      <c r="E1688" s="19">
        <f>IFERROR(INDEX(tblNetflix[year_added],MATCH($A1688,tblNetflix[show_id],0)),"")</f>
        <v/>
      </c>
      <c r="F1688" s="19">
        <f>IF(AND(OR(YearFilter="All",$E1688=YearFilter),OR(RatingFilter="All",$D1688=RatingFilter),OR(TypeFilter="All",$C1688=TypeFilter)),1,0)</f>
        <v/>
      </c>
    </row>
    <row r="1689" ht="15" customHeight="1" s="20">
      <c r="A1689" s="19" t="inlineStr">
        <is>
          <t>s5184</t>
        </is>
      </c>
      <c r="B1689" s="19" t="inlineStr">
        <is>
          <t>International Movies</t>
        </is>
      </c>
      <c r="C1689" s="19">
        <f>IFERROR(INDEX(tblNetflix[type],MATCH($A1689,tblNetflix[show_id],0)),"")</f>
        <v/>
      </c>
      <c r="D1689" s="19">
        <f>IFERROR(INDEX(tblNetflix[rating],MATCH($A1689,tblNetflix[show_id],0)),"")</f>
        <v/>
      </c>
      <c r="E1689" s="19">
        <f>IFERROR(INDEX(tblNetflix[year_added],MATCH($A1689,tblNetflix[show_id],0)),"")</f>
        <v/>
      </c>
      <c r="F1689" s="19">
        <f>IF(AND(OR(YearFilter="All",$E1689=YearFilter),OR(RatingFilter="All",$D1689=RatingFilter),OR(TypeFilter="All",$C1689=TypeFilter)),1,0)</f>
        <v/>
      </c>
    </row>
    <row r="1690" ht="15" customHeight="1" s="20">
      <c r="A1690" s="19" t="inlineStr">
        <is>
          <t>s5187</t>
        </is>
      </c>
      <c r="B1690" s="19" t="inlineStr">
        <is>
          <t>Action &amp; Adventure</t>
        </is>
      </c>
      <c r="C1690" s="19">
        <f>IFERROR(INDEX(tblNetflix[type],MATCH($A1690,tblNetflix[show_id],0)),"")</f>
        <v/>
      </c>
      <c r="D1690" s="19">
        <f>IFERROR(INDEX(tblNetflix[rating],MATCH($A1690,tblNetflix[show_id],0)),"")</f>
        <v/>
      </c>
      <c r="E1690" s="19">
        <f>IFERROR(INDEX(tblNetflix[year_added],MATCH($A1690,tblNetflix[show_id],0)),"")</f>
        <v/>
      </c>
      <c r="F1690" s="19">
        <f>IF(AND(OR(YearFilter="All",$E1690=YearFilter),OR(RatingFilter="All",$D1690=RatingFilter),OR(TypeFilter="All",$C1690=TypeFilter)),1,0)</f>
        <v/>
      </c>
    </row>
    <row r="1691" ht="15" customHeight="1" s="20">
      <c r="A1691" s="19" t="inlineStr">
        <is>
          <t>s5187</t>
        </is>
      </c>
      <c r="B1691" s="19" t="inlineStr">
        <is>
          <t>Dramas</t>
        </is>
      </c>
      <c r="C1691" s="19">
        <f>IFERROR(INDEX(tblNetflix[type],MATCH($A1691,tblNetflix[show_id],0)),"")</f>
        <v/>
      </c>
      <c r="D1691" s="19">
        <f>IFERROR(INDEX(tblNetflix[rating],MATCH($A1691,tblNetflix[show_id],0)),"")</f>
        <v/>
      </c>
      <c r="E1691" s="19">
        <f>IFERROR(INDEX(tblNetflix[year_added],MATCH($A1691,tblNetflix[show_id],0)),"")</f>
        <v/>
      </c>
      <c r="F1691" s="19">
        <f>IF(AND(OR(YearFilter="All",$E1691=YearFilter),OR(RatingFilter="All",$D1691=RatingFilter),OR(TypeFilter="All",$C1691=TypeFilter)),1,0)</f>
        <v/>
      </c>
    </row>
    <row r="1692" ht="15" customHeight="1" s="20">
      <c r="A1692" s="19" t="inlineStr">
        <is>
          <t>s5187</t>
        </is>
      </c>
      <c r="B1692" s="19" t="inlineStr">
        <is>
          <t>International Movies</t>
        </is>
      </c>
      <c r="C1692" s="19">
        <f>IFERROR(INDEX(tblNetflix[type],MATCH($A1692,tblNetflix[show_id],0)),"")</f>
        <v/>
      </c>
      <c r="D1692" s="19">
        <f>IFERROR(INDEX(tblNetflix[rating],MATCH($A1692,tblNetflix[show_id],0)),"")</f>
        <v/>
      </c>
      <c r="E1692" s="19">
        <f>IFERROR(INDEX(tblNetflix[year_added],MATCH($A1692,tblNetflix[show_id],0)),"")</f>
        <v/>
      </c>
      <c r="F1692" s="19">
        <f>IF(AND(OR(YearFilter="All",$E1692=YearFilter),OR(RatingFilter="All",$D1692=RatingFilter),OR(TypeFilter="All",$C1692=TypeFilter)),1,0)</f>
        <v/>
      </c>
    </row>
    <row r="1693" ht="15" customHeight="1" s="20">
      <c r="A1693" s="19" t="inlineStr">
        <is>
          <t>s5215</t>
        </is>
      </c>
      <c r="B1693" s="19" t="inlineStr">
        <is>
          <t>Action &amp; Adventure</t>
        </is>
      </c>
      <c r="C1693" s="19">
        <f>IFERROR(INDEX(tblNetflix[type],MATCH($A1693,tblNetflix[show_id],0)),"")</f>
        <v/>
      </c>
      <c r="D1693" s="19">
        <f>IFERROR(INDEX(tblNetflix[rating],MATCH($A1693,tblNetflix[show_id],0)),"")</f>
        <v/>
      </c>
      <c r="E1693" s="19">
        <f>IFERROR(INDEX(tblNetflix[year_added],MATCH($A1693,tblNetflix[show_id],0)),"")</f>
        <v/>
      </c>
      <c r="F1693" s="19">
        <f>IF(AND(OR(YearFilter="All",$E1693=YearFilter),OR(RatingFilter="All",$D1693=RatingFilter),OR(TypeFilter="All",$C1693=TypeFilter)),1,0)</f>
        <v/>
      </c>
    </row>
    <row r="1694" ht="15" customHeight="1" s="20">
      <c r="A1694" s="19" t="inlineStr">
        <is>
          <t>s5215</t>
        </is>
      </c>
      <c r="B1694" s="19" t="inlineStr">
        <is>
          <t>International Movies</t>
        </is>
      </c>
      <c r="C1694" s="19">
        <f>IFERROR(INDEX(tblNetflix[type],MATCH($A1694,tblNetflix[show_id],0)),"")</f>
        <v/>
      </c>
      <c r="D1694" s="19">
        <f>IFERROR(INDEX(tblNetflix[rating],MATCH($A1694,tblNetflix[show_id],0)),"")</f>
        <v/>
      </c>
      <c r="E1694" s="19">
        <f>IFERROR(INDEX(tblNetflix[year_added],MATCH($A1694,tblNetflix[show_id],0)),"")</f>
        <v/>
      </c>
      <c r="F1694" s="19">
        <f>IF(AND(OR(YearFilter="All",$E1694=YearFilter),OR(RatingFilter="All",$D1694=RatingFilter),OR(TypeFilter="All",$C1694=TypeFilter)),1,0)</f>
        <v/>
      </c>
    </row>
    <row r="1695" ht="15" customHeight="1" s="20">
      <c r="A1695" s="19" t="inlineStr">
        <is>
          <t>s5218</t>
        </is>
      </c>
      <c r="B1695" s="19" t="inlineStr">
        <is>
          <t>Dramas</t>
        </is>
      </c>
      <c r="C1695" s="19">
        <f>IFERROR(INDEX(tblNetflix[type],MATCH($A1695,tblNetflix[show_id],0)),"")</f>
        <v/>
      </c>
      <c r="D1695" s="19">
        <f>IFERROR(INDEX(tblNetflix[rating],MATCH($A1695,tblNetflix[show_id],0)),"")</f>
        <v/>
      </c>
      <c r="E1695" s="19">
        <f>IFERROR(INDEX(tblNetflix[year_added],MATCH($A1695,tblNetflix[show_id],0)),"")</f>
        <v/>
      </c>
      <c r="F1695" s="19">
        <f>IF(AND(OR(YearFilter="All",$E1695=YearFilter),OR(RatingFilter="All",$D1695=RatingFilter),OR(TypeFilter="All",$C1695=TypeFilter)),1,0)</f>
        <v/>
      </c>
    </row>
    <row r="1696" ht="15" customHeight="1" s="20">
      <c r="A1696" s="19" t="inlineStr">
        <is>
          <t>s5218</t>
        </is>
      </c>
      <c r="B1696" s="19" t="inlineStr">
        <is>
          <t>International Movies</t>
        </is>
      </c>
      <c r="C1696" s="19">
        <f>IFERROR(INDEX(tblNetflix[type],MATCH($A1696,tblNetflix[show_id],0)),"")</f>
        <v/>
      </c>
      <c r="D1696" s="19">
        <f>IFERROR(INDEX(tblNetflix[rating],MATCH($A1696,tblNetflix[show_id],0)),"")</f>
        <v/>
      </c>
      <c r="E1696" s="19">
        <f>IFERROR(INDEX(tblNetflix[year_added],MATCH($A1696,tblNetflix[show_id],0)),"")</f>
        <v/>
      </c>
      <c r="F1696" s="19">
        <f>IF(AND(OR(YearFilter="All",$E1696=YearFilter),OR(RatingFilter="All",$D1696=RatingFilter),OR(TypeFilter="All",$C1696=TypeFilter)),1,0)</f>
        <v/>
      </c>
    </row>
    <row r="1697" ht="15" customHeight="1" s="20">
      <c r="A1697" s="19" t="inlineStr">
        <is>
          <t>s5218</t>
        </is>
      </c>
      <c r="B1697" s="19" t="inlineStr">
        <is>
          <t>Music &amp; Musicals</t>
        </is>
      </c>
      <c r="C1697" s="19">
        <f>IFERROR(INDEX(tblNetflix[type],MATCH($A1697,tblNetflix[show_id],0)),"")</f>
        <v/>
      </c>
      <c r="D1697" s="19">
        <f>IFERROR(INDEX(tblNetflix[rating],MATCH($A1697,tblNetflix[show_id],0)),"")</f>
        <v/>
      </c>
      <c r="E1697" s="19">
        <f>IFERROR(INDEX(tblNetflix[year_added],MATCH($A1697,tblNetflix[show_id],0)),"")</f>
        <v/>
      </c>
      <c r="F1697" s="19">
        <f>IF(AND(OR(YearFilter="All",$E1697=YearFilter),OR(RatingFilter="All",$D1697=RatingFilter),OR(TypeFilter="All",$C1697=TypeFilter)),1,0)</f>
        <v/>
      </c>
    </row>
    <row r="1698" ht="15" customHeight="1" s="20">
      <c r="A1698" s="19" t="inlineStr">
        <is>
          <t>s5221</t>
        </is>
      </c>
      <c r="B1698" s="19" t="inlineStr">
        <is>
          <t>Comedies</t>
        </is>
      </c>
      <c r="C1698" s="19">
        <f>IFERROR(INDEX(tblNetflix[type],MATCH($A1698,tblNetflix[show_id],0)),"")</f>
        <v/>
      </c>
      <c r="D1698" s="19">
        <f>IFERROR(INDEX(tblNetflix[rating],MATCH($A1698,tblNetflix[show_id],0)),"")</f>
        <v/>
      </c>
      <c r="E1698" s="19">
        <f>IFERROR(INDEX(tblNetflix[year_added],MATCH($A1698,tblNetflix[show_id],0)),"")</f>
        <v/>
      </c>
      <c r="F1698" s="19">
        <f>IF(AND(OR(YearFilter="All",$E1698=YearFilter),OR(RatingFilter="All",$D1698=RatingFilter),OR(TypeFilter="All",$C1698=TypeFilter)),1,0)</f>
        <v/>
      </c>
    </row>
    <row r="1699" ht="15" customHeight="1" s="20">
      <c r="A1699" s="19" t="inlineStr">
        <is>
          <t>s5221</t>
        </is>
      </c>
      <c r="B1699" s="19" t="inlineStr">
        <is>
          <t>Dramas</t>
        </is>
      </c>
      <c r="C1699" s="19">
        <f>IFERROR(INDEX(tblNetflix[type],MATCH($A1699,tblNetflix[show_id],0)),"")</f>
        <v/>
      </c>
      <c r="D1699" s="19">
        <f>IFERROR(INDEX(tblNetflix[rating],MATCH($A1699,tblNetflix[show_id],0)),"")</f>
        <v/>
      </c>
      <c r="E1699" s="19">
        <f>IFERROR(INDEX(tblNetflix[year_added],MATCH($A1699,tblNetflix[show_id],0)),"")</f>
        <v/>
      </c>
      <c r="F1699" s="19">
        <f>IF(AND(OR(YearFilter="All",$E1699=YearFilter),OR(RatingFilter="All",$D1699=RatingFilter),OR(TypeFilter="All",$C1699=TypeFilter)),1,0)</f>
        <v/>
      </c>
    </row>
    <row r="1700" ht="15" customHeight="1" s="20">
      <c r="A1700" s="19" t="inlineStr">
        <is>
          <t>s5221</t>
        </is>
      </c>
      <c r="B1700" s="19" t="inlineStr">
        <is>
          <t>International Movies</t>
        </is>
      </c>
      <c r="C1700" s="19">
        <f>IFERROR(INDEX(tblNetflix[type],MATCH($A1700,tblNetflix[show_id],0)),"")</f>
        <v/>
      </c>
      <c r="D1700" s="19">
        <f>IFERROR(INDEX(tblNetflix[rating],MATCH($A1700,tblNetflix[show_id],0)),"")</f>
        <v/>
      </c>
      <c r="E1700" s="19">
        <f>IFERROR(INDEX(tblNetflix[year_added],MATCH($A1700,tblNetflix[show_id],0)),"")</f>
        <v/>
      </c>
      <c r="F1700" s="19">
        <f>IF(AND(OR(YearFilter="All",$E1700=YearFilter),OR(RatingFilter="All",$D1700=RatingFilter),OR(TypeFilter="All",$C1700=TypeFilter)),1,0)</f>
        <v/>
      </c>
    </row>
    <row r="1701" ht="15" customHeight="1" s="20">
      <c r="A1701" s="19" t="inlineStr">
        <is>
          <t>s5291</t>
        </is>
      </c>
      <c r="B1701" s="19" t="inlineStr">
        <is>
          <t>Action &amp; Adventure</t>
        </is>
      </c>
      <c r="C1701" s="19">
        <f>IFERROR(INDEX(tblNetflix[type],MATCH($A1701,tblNetflix[show_id],0)),"")</f>
        <v/>
      </c>
      <c r="D1701" s="19">
        <f>IFERROR(INDEX(tblNetflix[rating],MATCH($A1701,tblNetflix[show_id],0)),"")</f>
        <v/>
      </c>
      <c r="E1701" s="19">
        <f>IFERROR(INDEX(tblNetflix[year_added],MATCH($A1701,tblNetflix[show_id],0)),"")</f>
        <v/>
      </c>
      <c r="F1701" s="19">
        <f>IF(AND(OR(YearFilter="All",$E1701=YearFilter),OR(RatingFilter="All",$D1701=RatingFilter),OR(TypeFilter="All",$C1701=TypeFilter)),1,0)</f>
        <v/>
      </c>
    </row>
    <row r="1702" ht="15" customHeight="1" s="20">
      <c r="A1702" s="19" t="inlineStr">
        <is>
          <t>s5291</t>
        </is>
      </c>
      <c r="B1702" s="19" t="inlineStr">
        <is>
          <t>International Movies</t>
        </is>
      </c>
      <c r="C1702" s="19">
        <f>IFERROR(INDEX(tblNetflix[type],MATCH($A1702,tblNetflix[show_id],0)),"")</f>
        <v/>
      </c>
      <c r="D1702" s="19">
        <f>IFERROR(INDEX(tblNetflix[rating],MATCH($A1702,tblNetflix[show_id],0)),"")</f>
        <v/>
      </c>
      <c r="E1702" s="19">
        <f>IFERROR(INDEX(tblNetflix[year_added],MATCH($A1702,tblNetflix[show_id],0)),"")</f>
        <v/>
      </c>
      <c r="F1702" s="19">
        <f>IF(AND(OR(YearFilter="All",$E1702=YearFilter),OR(RatingFilter="All",$D1702=RatingFilter),OR(TypeFilter="All",$C1702=TypeFilter)),1,0)</f>
        <v/>
      </c>
    </row>
    <row r="1703" ht="15" customHeight="1" s="20">
      <c r="A1703" s="19" t="inlineStr">
        <is>
          <t>s5296</t>
        </is>
      </c>
      <c r="B1703" s="19" t="inlineStr">
        <is>
          <t>Comedies</t>
        </is>
      </c>
      <c r="C1703" s="19">
        <f>IFERROR(INDEX(tblNetflix[type],MATCH($A1703,tblNetflix[show_id],0)),"")</f>
        <v/>
      </c>
      <c r="D1703" s="19">
        <f>IFERROR(INDEX(tblNetflix[rating],MATCH($A1703,tblNetflix[show_id],0)),"")</f>
        <v/>
      </c>
      <c r="E1703" s="19">
        <f>IFERROR(INDEX(tblNetflix[year_added],MATCH($A1703,tblNetflix[show_id],0)),"")</f>
        <v/>
      </c>
      <c r="F1703" s="19">
        <f>IF(AND(OR(YearFilter="All",$E1703=YearFilter),OR(RatingFilter="All",$D1703=RatingFilter),OR(TypeFilter="All",$C1703=TypeFilter)),1,0)</f>
        <v/>
      </c>
    </row>
    <row r="1704" ht="15" customHeight="1" s="20">
      <c r="A1704" s="19" t="inlineStr">
        <is>
          <t>s5296</t>
        </is>
      </c>
      <c r="B1704" s="19" t="inlineStr">
        <is>
          <t>International Movies</t>
        </is>
      </c>
      <c r="C1704" s="19">
        <f>IFERROR(INDEX(tblNetflix[type],MATCH($A1704,tblNetflix[show_id],0)),"")</f>
        <v/>
      </c>
      <c r="D1704" s="19">
        <f>IFERROR(INDEX(tblNetflix[rating],MATCH($A1704,tblNetflix[show_id],0)),"")</f>
        <v/>
      </c>
      <c r="E1704" s="19">
        <f>IFERROR(INDEX(tblNetflix[year_added],MATCH($A1704,tblNetflix[show_id],0)),"")</f>
        <v/>
      </c>
      <c r="F1704" s="19">
        <f>IF(AND(OR(YearFilter="All",$E1704=YearFilter),OR(RatingFilter="All",$D1704=RatingFilter),OR(TypeFilter="All",$C1704=TypeFilter)),1,0)</f>
        <v/>
      </c>
    </row>
    <row r="1705" ht="15" customHeight="1" s="20">
      <c r="A1705" s="19" t="inlineStr">
        <is>
          <t>s5296</t>
        </is>
      </c>
      <c r="B1705" s="19" t="inlineStr">
        <is>
          <t>Romantic Movies</t>
        </is>
      </c>
      <c r="C1705" s="19">
        <f>IFERROR(INDEX(tblNetflix[type],MATCH($A1705,tblNetflix[show_id],0)),"")</f>
        <v/>
      </c>
      <c r="D1705" s="19">
        <f>IFERROR(INDEX(tblNetflix[rating],MATCH($A1705,tblNetflix[show_id],0)),"")</f>
        <v/>
      </c>
      <c r="E1705" s="19">
        <f>IFERROR(INDEX(tblNetflix[year_added],MATCH($A1705,tblNetflix[show_id],0)),"")</f>
        <v/>
      </c>
      <c r="F1705" s="19">
        <f>IF(AND(OR(YearFilter="All",$E1705=YearFilter),OR(RatingFilter="All",$D1705=RatingFilter),OR(TypeFilter="All",$C1705=TypeFilter)),1,0)</f>
        <v/>
      </c>
    </row>
    <row r="1706" ht="15" customHeight="1" s="20">
      <c r="A1706" s="19" t="inlineStr">
        <is>
          <t>s5297</t>
        </is>
      </c>
      <c r="B1706" s="19" t="inlineStr">
        <is>
          <t>Dramas</t>
        </is>
      </c>
      <c r="C1706" s="19">
        <f>IFERROR(INDEX(tblNetflix[type],MATCH($A1706,tblNetflix[show_id],0)),"")</f>
        <v/>
      </c>
      <c r="D1706" s="19">
        <f>IFERROR(INDEX(tblNetflix[rating],MATCH($A1706,tblNetflix[show_id],0)),"")</f>
        <v/>
      </c>
      <c r="E1706" s="19">
        <f>IFERROR(INDEX(tblNetflix[year_added],MATCH($A1706,tblNetflix[show_id],0)),"")</f>
        <v/>
      </c>
      <c r="F1706" s="19">
        <f>IF(AND(OR(YearFilter="All",$E1706=YearFilter),OR(RatingFilter="All",$D1706=RatingFilter),OR(TypeFilter="All",$C1706=TypeFilter)),1,0)</f>
        <v/>
      </c>
    </row>
    <row r="1707" ht="15" customHeight="1" s="20">
      <c r="A1707" s="19" t="inlineStr">
        <is>
          <t>s5297</t>
        </is>
      </c>
      <c r="B1707" s="19" t="inlineStr">
        <is>
          <t>International Movies</t>
        </is>
      </c>
      <c r="C1707" s="19">
        <f>IFERROR(INDEX(tblNetflix[type],MATCH($A1707,tblNetflix[show_id],0)),"")</f>
        <v/>
      </c>
      <c r="D1707" s="19">
        <f>IFERROR(INDEX(tblNetflix[rating],MATCH($A1707,tblNetflix[show_id],0)),"")</f>
        <v/>
      </c>
      <c r="E1707" s="19">
        <f>IFERROR(INDEX(tblNetflix[year_added],MATCH($A1707,tblNetflix[show_id],0)),"")</f>
        <v/>
      </c>
      <c r="F1707" s="19">
        <f>IF(AND(OR(YearFilter="All",$E1707=YearFilter),OR(RatingFilter="All",$D1707=RatingFilter),OR(TypeFilter="All",$C1707=TypeFilter)),1,0)</f>
        <v/>
      </c>
    </row>
    <row r="1708" ht="15" customHeight="1" s="20">
      <c r="A1708" s="19" t="inlineStr">
        <is>
          <t>s5297</t>
        </is>
      </c>
      <c r="B1708" s="19" t="inlineStr">
        <is>
          <t>Music &amp; Musicals</t>
        </is>
      </c>
      <c r="C1708" s="19">
        <f>IFERROR(INDEX(tblNetflix[type],MATCH($A1708,tblNetflix[show_id],0)),"")</f>
        <v/>
      </c>
      <c r="D1708" s="19">
        <f>IFERROR(INDEX(tblNetflix[rating],MATCH($A1708,tblNetflix[show_id],0)),"")</f>
        <v/>
      </c>
      <c r="E1708" s="19">
        <f>IFERROR(INDEX(tblNetflix[year_added],MATCH($A1708,tblNetflix[show_id],0)),"")</f>
        <v/>
      </c>
      <c r="F1708" s="19">
        <f>IF(AND(OR(YearFilter="All",$E1708=YearFilter),OR(RatingFilter="All",$D1708=RatingFilter),OR(TypeFilter="All",$C1708=TypeFilter)),1,0)</f>
        <v/>
      </c>
    </row>
    <row r="1709" ht="15" customHeight="1" s="20">
      <c r="A1709" s="19" t="inlineStr">
        <is>
          <t>s5301</t>
        </is>
      </c>
      <c r="B1709" s="19" t="inlineStr">
        <is>
          <t>Action &amp; Adventure</t>
        </is>
      </c>
      <c r="C1709" s="19">
        <f>IFERROR(INDEX(tblNetflix[type],MATCH($A1709,tblNetflix[show_id],0)),"")</f>
        <v/>
      </c>
      <c r="D1709" s="19">
        <f>IFERROR(INDEX(tblNetflix[rating],MATCH($A1709,tblNetflix[show_id],0)),"")</f>
        <v/>
      </c>
      <c r="E1709" s="19">
        <f>IFERROR(INDEX(tblNetflix[year_added],MATCH($A1709,tblNetflix[show_id],0)),"")</f>
        <v/>
      </c>
      <c r="F1709" s="19">
        <f>IF(AND(OR(YearFilter="All",$E1709=YearFilter),OR(RatingFilter="All",$D1709=RatingFilter),OR(TypeFilter="All",$C1709=TypeFilter)),1,0)</f>
        <v/>
      </c>
    </row>
    <row r="1710" ht="15" customHeight="1" s="20">
      <c r="A1710" s="19" t="inlineStr">
        <is>
          <t>s5301</t>
        </is>
      </c>
      <c r="B1710" s="19" t="inlineStr">
        <is>
          <t>International Movies</t>
        </is>
      </c>
      <c r="C1710" s="19">
        <f>IFERROR(INDEX(tblNetflix[type],MATCH($A1710,tblNetflix[show_id],0)),"")</f>
        <v/>
      </c>
      <c r="D1710" s="19">
        <f>IFERROR(INDEX(tblNetflix[rating],MATCH($A1710,tblNetflix[show_id],0)),"")</f>
        <v/>
      </c>
      <c r="E1710" s="19">
        <f>IFERROR(INDEX(tblNetflix[year_added],MATCH($A1710,tblNetflix[show_id],0)),"")</f>
        <v/>
      </c>
      <c r="F1710" s="19">
        <f>IF(AND(OR(YearFilter="All",$E1710=YearFilter),OR(RatingFilter="All",$D1710=RatingFilter),OR(TypeFilter="All",$C1710=TypeFilter)),1,0)</f>
        <v/>
      </c>
    </row>
    <row r="1711" ht="15" customHeight="1" s="20">
      <c r="A1711" s="19" t="inlineStr">
        <is>
          <t>s5304</t>
        </is>
      </c>
      <c r="B1711" s="19" t="inlineStr">
        <is>
          <t>Comedies</t>
        </is>
      </c>
      <c r="C1711" s="19">
        <f>IFERROR(INDEX(tblNetflix[type],MATCH($A1711,tblNetflix[show_id],0)),"")</f>
        <v/>
      </c>
      <c r="D1711" s="19">
        <f>IFERROR(INDEX(tblNetflix[rating],MATCH($A1711,tblNetflix[show_id],0)),"")</f>
        <v/>
      </c>
      <c r="E1711" s="19">
        <f>IFERROR(INDEX(tblNetflix[year_added],MATCH($A1711,tblNetflix[show_id],0)),"")</f>
        <v/>
      </c>
      <c r="F1711" s="19">
        <f>IF(AND(OR(YearFilter="All",$E1711=YearFilter),OR(RatingFilter="All",$D1711=RatingFilter),OR(TypeFilter="All",$C1711=TypeFilter)),1,0)</f>
        <v/>
      </c>
    </row>
    <row r="1712" ht="15" customHeight="1" s="20">
      <c r="A1712" s="19" t="inlineStr">
        <is>
          <t>s5304</t>
        </is>
      </c>
      <c r="B1712" s="19" t="inlineStr">
        <is>
          <t>International Movies</t>
        </is>
      </c>
      <c r="C1712" s="19">
        <f>IFERROR(INDEX(tblNetflix[type],MATCH($A1712,tblNetflix[show_id],0)),"")</f>
        <v/>
      </c>
      <c r="D1712" s="19">
        <f>IFERROR(INDEX(tblNetflix[rating],MATCH($A1712,tblNetflix[show_id],0)),"")</f>
        <v/>
      </c>
      <c r="E1712" s="19">
        <f>IFERROR(INDEX(tblNetflix[year_added],MATCH($A1712,tblNetflix[show_id],0)),"")</f>
        <v/>
      </c>
      <c r="F1712" s="19">
        <f>IF(AND(OR(YearFilter="All",$E1712=YearFilter),OR(RatingFilter="All",$D1712=RatingFilter),OR(TypeFilter="All",$C1712=TypeFilter)),1,0)</f>
        <v/>
      </c>
    </row>
    <row r="1713" ht="15" customHeight="1" s="20">
      <c r="A1713" s="19" t="inlineStr">
        <is>
          <t>s5304</t>
        </is>
      </c>
      <c r="B1713" s="19" t="inlineStr">
        <is>
          <t>Music &amp; Musicals</t>
        </is>
      </c>
      <c r="C1713" s="19">
        <f>IFERROR(INDEX(tblNetflix[type],MATCH($A1713,tblNetflix[show_id],0)),"")</f>
        <v/>
      </c>
      <c r="D1713" s="19">
        <f>IFERROR(INDEX(tblNetflix[rating],MATCH($A1713,tblNetflix[show_id],0)),"")</f>
        <v/>
      </c>
      <c r="E1713" s="19">
        <f>IFERROR(INDEX(tblNetflix[year_added],MATCH($A1713,tblNetflix[show_id],0)),"")</f>
        <v/>
      </c>
      <c r="F1713" s="19">
        <f>IF(AND(OR(YearFilter="All",$E1713=YearFilter),OR(RatingFilter="All",$D1713=RatingFilter),OR(TypeFilter="All",$C1713=TypeFilter)),1,0)</f>
        <v/>
      </c>
    </row>
    <row r="1714" ht="15" customHeight="1" s="20">
      <c r="A1714" s="19" t="inlineStr">
        <is>
          <t>s5305</t>
        </is>
      </c>
      <c r="B1714" s="19" t="inlineStr">
        <is>
          <t>Action &amp; Adventure</t>
        </is>
      </c>
      <c r="C1714" s="19">
        <f>IFERROR(INDEX(tblNetflix[type],MATCH($A1714,tblNetflix[show_id],0)),"")</f>
        <v/>
      </c>
      <c r="D1714" s="19">
        <f>IFERROR(INDEX(tblNetflix[rating],MATCH($A1714,tblNetflix[show_id],0)),"")</f>
        <v/>
      </c>
      <c r="E1714" s="19">
        <f>IFERROR(INDEX(tblNetflix[year_added],MATCH($A1714,tblNetflix[show_id],0)),"")</f>
        <v/>
      </c>
      <c r="F1714" s="19">
        <f>IF(AND(OR(YearFilter="All",$E1714=YearFilter),OR(RatingFilter="All",$D1714=RatingFilter),OR(TypeFilter="All",$C1714=TypeFilter)),1,0)</f>
        <v/>
      </c>
    </row>
    <row r="1715" ht="15" customHeight="1" s="20">
      <c r="A1715" s="19" t="inlineStr">
        <is>
          <t>s5305</t>
        </is>
      </c>
      <c r="B1715" s="19" t="inlineStr">
        <is>
          <t>Dramas</t>
        </is>
      </c>
      <c r="C1715" s="19">
        <f>IFERROR(INDEX(tblNetflix[type],MATCH($A1715,tblNetflix[show_id],0)),"")</f>
        <v/>
      </c>
      <c r="D1715" s="19">
        <f>IFERROR(INDEX(tblNetflix[rating],MATCH($A1715,tblNetflix[show_id],0)),"")</f>
        <v/>
      </c>
      <c r="E1715" s="19">
        <f>IFERROR(INDEX(tblNetflix[year_added],MATCH($A1715,tblNetflix[show_id],0)),"")</f>
        <v/>
      </c>
      <c r="F1715" s="19">
        <f>IF(AND(OR(YearFilter="All",$E1715=YearFilter),OR(RatingFilter="All",$D1715=RatingFilter),OR(TypeFilter="All",$C1715=TypeFilter)),1,0)</f>
        <v/>
      </c>
    </row>
    <row r="1716" ht="15" customHeight="1" s="20">
      <c r="A1716" s="19" t="inlineStr">
        <is>
          <t>s5305</t>
        </is>
      </c>
      <c r="B1716" s="19" t="inlineStr">
        <is>
          <t>International Movies</t>
        </is>
      </c>
      <c r="C1716" s="19">
        <f>IFERROR(INDEX(tblNetflix[type],MATCH($A1716,tblNetflix[show_id],0)),"")</f>
        <v/>
      </c>
      <c r="D1716" s="19">
        <f>IFERROR(INDEX(tblNetflix[rating],MATCH($A1716,tblNetflix[show_id],0)),"")</f>
        <v/>
      </c>
      <c r="E1716" s="19">
        <f>IFERROR(INDEX(tblNetflix[year_added],MATCH($A1716,tblNetflix[show_id],0)),"")</f>
        <v/>
      </c>
      <c r="F1716" s="19">
        <f>IF(AND(OR(YearFilter="All",$E1716=YearFilter),OR(RatingFilter="All",$D1716=RatingFilter),OR(TypeFilter="All",$C1716=TypeFilter)),1,0)</f>
        <v/>
      </c>
    </row>
    <row r="1717" ht="15" customHeight="1" s="20">
      <c r="A1717" s="19" t="inlineStr">
        <is>
          <t>s5310</t>
        </is>
      </c>
      <c r="B1717" s="19" t="inlineStr">
        <is>
          <t>Dramas</t>
        </is>
      </c>
      <c r="C1717" s="19">
        <f>IFERROR(INDEX(tblNetflix[type],MATCH($A1717,tblNetflix[show_id],0)),"")</f>
        <v/>
      </c>
      <c r="D1717" s="19">
        <f>IFERROR(INDEX(tblNetflix[rating],MATCH($A1717,tblNetflix[show_id],0)),"")</f>
        <v/>
      </c>
      <c r="E1717" s="19">
        <f>IFERROR(INDEX(tblNetflix[year_added],MATCH($A1717,tblNetflix[show_id],0)),"")</f>
        <v/>
      </c>
      <c r="F1717" s="19">
        <f>IF(AND(OR(YearFilter="All",$E1717=YearFilter),OR(RatingFilter="All",$D1717=RatingFilter),OR(TypeFilter="All",$C1717=TypeFilter)),1,0)</f>
        <v/>
      </c>
    </row>
    <row r="1718" ht="15" customHeight="1" s="20">
      <c r="A1718" s="19" t="inlineStr">
        <is>
          <t>s5310</t>
        </is>
      </c>
      <c r="B1718" s="19" t="inlineStr">
        <is>
          <t>International Movies</t>
        </is>
      </c>
      <c r="C1718" s="19">
        <f>IFERROR(INDEX(tblNetflix[type],MATCH($A1718,tblNetflix[show_id],0)),"")</f>
        <v/>
      </c>
      <c r="D1718" s="19">
        <f>IFERROR(INDEX(tblNetflix[rating],MATCH($A1718,tblNetflix[show_id],0)),"")</f>
        <v/>
      </c>
      <c r="E1718" s="19">
        <f>IFERROR(INDEX(tblNetflix[year_added],MATCH($A1718,tblNetflix[show_id],0)),"")</f>
        <v/>
      </c>
      <c r="F1718" s="19">
        <f>IF(AND(OR(YearFilter="All",$E1718=YearFilter),OR(RatingFilter="All",$D1718=RatingFilter),OR(TypeFilter="All",$C1718=TypeFilter)),1,0)</f>
        <v/>
      </c>
    </row>
    <row r="1719" ht="15" customHeight="1" s="20">
      <c r="A1719" s="19" t="inlineStr">
        <is>
          <t>s5310</t>
        </is>
      </c>
      <c r="B1719" s="19" t="inlineStr">
        <is>
          <t>Romantic Movies</t>
        </is>
      </c>
      <c r="C1719" s="19">
        <f>IFERROR(INDEX(tblNetflix[type],MATCH($A1719,tblNetflix[show_id],0)),"")</f>
        <v/>
      </c>
      <c r="D1719" s="19">
        <f>IFERROR(INDEX(tblNetflix[rating],MATCH($A1719,tblNetflix[show_id],0)),"")</f>
        <v/>
      </c>
      <c r="E1719" s="19">
        <f>IFERROR(INDEX(tblNetflix[year_added],MATCH($A1719,tblNetflix[show_id],0)),"")</f>
        <v/>
      </c>
      <c r="F1719" s="19">
        <f>IF(AND(OR(YearFilter="All",$E1719=YearFilter),OR(RatingFilter="All",$D1719=RatingFilter),OR(TypeFilter="All",$C1719=TypeFilter)),1,0)</f>
        <v/>
      </c>
    </row>
    <row r="1720" ht="15" customHeight="1" s="20">
      <c r="A1720" s="19" t="inlineStr">
        <is>
          <t>s5335</t>
        </is>
      </c>
      <c r="B1720" s="19" t="inlineStr">
        <is>
          <t>Action &amp; Adventure</t>
        </is>
      </c>
      <c r="C1720" s="19">
        <f>IFERROR(INDEX(tblNetflix[type],MATCH($A1720,tblNetflix[show_id],0)),"")</f>
        <v/>
      </c>
      <c r="D1720" s="19">
        <f>IFERROR(INDEX(tblNetflix[rating],MATCH($A1720,tblNetflix[show_id],0)),"")</f>
        <v/>
      </c>
      <c r="E1720" s="19">
        <f>IFERROR(INDEX(tblNetflix[year_added],MATCH($A1720,tblNetflix[show_id],0)),"")</f>
        <v/>
      </c>
      <c r="F1720" s="19">
        <f>IF(AND(OR(YearFilter="All",$E1720=YearFilter),OR(RatingFilter="All",$D1720=RatingFilter),OR(TypeFilter="All",$C1720=TypeFilter)),1,0)</f>
        <v/>
      </c>
    </row>
    <row r="1721" ht="15" customHeight="1" s="20">
      <c r="A1721" s="19" t="inlineStr">
        <is>
          <t>s5335</t>
        </is>
      </c>
      <c r="B1721" s="19" t="inlineStr">
        <is>
          <t>Dramas</t>
        </is>
      </c>
      <c r="C1721" s="19">
        <f>IFERROR(INDEX(tblNetflix[type],MATCH($A1721,tblNetflix[show_id],0)),"")</f>
        <v/>
      </c>
      <c r="D1721" s="19">
        <f>IFERROR(INDEX(tblNetflix[rating],MATCH($A1721,tblNetflix[show_id],0)),"")</f>
        <v/>
      </c>
      <c r="E1721" s="19">
        <f>IFERROR(INDEX(tblNetflix[year_added],MATCH($A1721,tblNetflix[show_id],0)),"")</f>
        <v/>
      </c>
      <c r="F1721" s="19">
        <f>IF(AND(OR(YearFilter="All",$E1721=YearFilter),OR(RatingFilter="All",$D1721=RatingFilter),OR(TypeFilter="All",$C1721=TypeFilter)),1,0)</f>
        <v/>
      </c>
    </row>
    <row r="1722" ht="15" customHeight="1" s="20">
      <c r="A1722" s="19" t="inlineStr">
        <is>
          <t>s5335</t>
        </is>
      </c>
      <c r="B1722" s="19" t="inlineStr">
        <is>
          <t>International Movies</t>
        </is>
      </c>
      <c r="C1722" s="19">
        <f>IFERROR(INDEX(tblNetflix[type],MATCH($A1722,tblNetflix[show_id],0)),"")</f>
        <v/>
      </c>
      <c r="D1722" s="19">
        <f>IFERROR(INDEX(tblNetflix[rating],MATCH($A1722,tblNetflix[show_id],0)),"")</f>
        <v/>
      </c>
      <c r="E1722" s="19">
        <f>IFERROR(INDEX(tblNetflix[year_added],MATCH($A1722,tblNetflix[show_id],0)),"")</f>
        <v/>
      </c>
      <c r="F1722" s="19">
        <f>IF(AND(OR(YearFilter="All",$E1722=YearFilter),OR(RatingFilter="All",$D1722=RatingFilter),OR(TypeFilter="All",$C1722=TypeFilter)),1,0)</f>
        <v/>
      </c>
    </row>
    <row r="1723" ht="15" customHeight="1" s="20">
      <c r="A1723" s="19" t="inlineStr">
        <is>
          <t>s5338</t>
        </is>
      </c>
      <c r="B1723" s="19" t="inlineStr">
        <is>
          <t>Action &amp; Adventure</t>
        </is>
      </c>
      <c r="C1723" s="19">
        <f>IFERROR(INDEX(tblNetflix[type],MATCH($A1723,tblNetflix[show_id],0)),"")</f>
        <v/>
      </c>
      <c r="D1723" s="19">
        <f>IFERROR(INDEX(tblNetflix[rating],MATCH($A1723,tblNetflix[show_id],0)),"")</f>
        <v/>
      </c>
      <c r="E1723" s="19">
        <f>IFERROR(INDEX(tblNetflix[year_added],MATCH($A1723,tblNetflix[show_id],0)),"")</f>
        <v/>
      </c>
      <c r="F1723" s="19">
        <f>IF(AND(OR(YearFilter="All",$E1723=YearFilter),OR(RatingFilter="All",$D1723=RatingFilter),OR(TypeFilter="All",$C1723=TypeFilter)),1,0)</f>
        <v/>
      </c>
    </row>
    <row r="1724" ht="15" customHeight="1" s="20">
      <c r="A1724" s="19" t="inlineStr">
        <is>
          <t>s5338</t>
        </is>
      </c>
      <c r="B1724" s="19" t="inlineStr">
        <is>
          <t>Dramas</t>
        </is>
      </c>
      <c r="C1724" s="19">
        <f>IFERROR(INDEX(tblNetflix[type],MATCH($A1724,tblNetflix[show_id],0)),"")</f>
        <v/>
      </c>
      <c r="D1724" s="19">
        <f>IFERROR(INDEX(tblNetflix[rating],MATCH($A1724,tblNetflix[show_id],0)),"")</f>
        <v/>
      </c>
      <c r="E1724" s="19">
        <f>IFERROR(INDEX(tblNetflix[year_added],MATCH($A1724,tblNetflix[show_id],0)),"")</f>
        <v/>
      </c>
      <c r="F1724" s="19">
        <f>IF(AND(OR(YearFilter="All",$E1724=YearFilter),OR(RatingFilter="All",$D1724=RatingFilter),OR(TypeFilter="All",$C1724=TypeFilter)),1,0)</f>
        <v/>
      </c>
    </row>
    <row r="1725" ht="15" customHeight="1" s="20">
      <c r="A1725" s="19" t="inlineStr">
        <is>
          <t>s5338</t>
        </is>
      </c>
      <c r="B1725" s="19" t="inlineStr">
        <is>
          <t>International Movies</t>
        </is>
      </c>
      <c r="C1725" s="19">
        <f>IFERROR(INDEX(tblNetflix[type],MATCH($A1725,tblNetflix[show_id],0)),"")</f>
        <v/>
      </c>
      <c r="D1725" s="19">
        <f>IFERROR(INDEX(tblNetflix[rating],MATCH($A1725,tblNetflix[show_id],0)),"")</f>
        <v/>
      </c>
      <c r="E1725" s="19">
        <f>IFERROR(INDEX(tblNetflix[year_added],MATCH($A1725,tblNetflix[show_id],0)),"")</f>
        <v/>
      </c>
      <c r="F1725" s="19">
        <f>IF(AND(OR(YearFilter="All",$E1725=YearFilter),OR(RatingFilter="All",$D1725=RatingFilter),OR(TypeFilter="All",$C1725=TypeFilter)),1,0)</f>
        <v/>
      </c>
    </row>
    <row r="1726" ht="15" customHeight="1" s="20">
      <c r="A1726" s="19" t="inlineStr">
        <is>
          <t>s5372</t>
        </is>
      </c>
      <c r="B1726" s="19" t="inlineStr">
        <is>
          <t>Stand-Up Comedy</t>
        </is>
      </c>
      <c r="C1726" s="19">
        <f>IFERROR(INDEX(tblNetflix[type],MATCH($A1726,tblNetflix[show_id],0)),"")</f>
        <v/>
      </c>
      <c r="D1726" s="19">
        <f>IFERROR(INDEX(tblNetflix[rating],MATCH($A1726,tblNetflix[show_id],0)),"")</f>
        <v/>
      </c>
      <c r="E1726" s="19">
        <f>IFERROR(INDEX(tblNetflix[year_added],MATCH($A1726,tblNetflix[show_id],0)),"")</f>
        <v/>
      </c>
      <c r="F1726" s="19">
        <f>IF(AND(OR(YearFilter="All",$E1726=YearFilter),OR(RatingFilter="All",$D1726=RatingFilter),OR(TypeFilter="All",$C1726=TypeFilter)),1,0)</f>
        <v/>
      </c>
    </row>
    <row r="1727" ht="15" customHeight="1" s="20">
      <c r="A1727" s="19" t="inlineStr">
        <is>
          <t>s5392</t>
        </is>
      </c>
      <c r="B1727" s="19" t="inlineStr">
        <is>
          <t>Dramas</t>
        </is>
      </c>
      <c r="C1727" s="19">
        <f>IFERROR(INDEX(tblNetflix[type],MATCH($A1727,tblNetflix[show_id],0)),"")</f>
        <v/>
      </c>
      <c r="D1727" s="19">
        <f>IFERROR(INDEX(tblNetflix[rating],MATCH($A1727,tblNetflix[show_id],0)),"")</f>
        <v/>
      </c>
      <c r="E1727" s="19">
        <f>IFERROR(INDEX(tblNetflix[year_added],MATCH($A1727,tblNetflix[show_id],0)),"")</f>
        <v/>
      </c>
      <c r="F1727" s="19">
        <f>IF(AND(OR(YearFilter="All",$E1727=YearFilter),OR(RatingFilter="All",$D1727=RatingFilter),OR(TypeFilter="All",$C1727=TypeFilter)),1,0)</f>
        <v/>
      </c>
    </row>
    <row r="1728" ht="15" customHeight="1" s="20">
      <c r="A1728" s="19" t="inlineStr">
        <is>
          <t>s5392</t>
        </is>
      </c>
      <c r="B1728" s="19" t="inlineStr">
        <is>
          <t>International Movies</t>
        </is>
      </c>
      <c r="C1728" s="19">
        <f>IFERROR(INDEX(tblNetflix[type],MATCH($A1728,tblNetflix[show_id],0)),"")</f>
        <v/>
      </c>
      <c r="D1728" s="19">
        <f>IFERROR(INDEX(tblNetflix[rating],MATCH($A1728,tblNetflix[show_id],0)),"")</f>
        <v/>
      </c>
      <c r="E1728" s="19">
        <f>IFERROR(INDEX(tblNetflix[year_added],MATCH($A1728,tblNetflix[show_id],0)),"")</f>
        <v/>
      </c>
      <c r="F1728" s="19">
        <f>IF(AND(OR(YearFilter="All",$E1728=YearFilter),OR(RatingFilter="All",$D1728=RatingFilter),OR(TypeFilter="All",$C1728=TypeFilter)),1,0)</f>
        <v/>
      </c>
    </row>
    <row r="1729" ht="15" customHeight="1" s="20">
      <c r="A1729" s="19" t="inlineStr">
        <is>
          <t>s5392</t>
        </is>
      </c>
      <c r="B1729" s="19" t="inlineStr">
        <is>
          <t>Music &amp; Musicals</t>
        </is>
      </c>
      <c r="C1729" s="19">
        <f>IFERROR(INDEX(tblNetflix[type],MATCH($A1729,tblNetflix[show_id],0)),"")</f>
        <v/>
      </c>
      <c r="D1729" s="19">
        <f>IFERROR(INDEX(tblNetflix[rating],MATCH($A1729,tblNetflix[show_id],0)),"")</f>
        <v/>
      </c>
      <c r="E1729" s="19">
        <f>IFERROR(INDEX(tblNetflix[year_added],MATCH($A1729,tblNetflix[show_id],0)),"")</f>
        <v/>
      </c>
      <c r="F1729" s="19">
        <f>IF(AND(OR(YearFilter="All",$E1729=YearFilter),OR(RatingFilter="All",$D1729=RatingFilter),OR(TypeFilter="All",$C1729=TypeFilter)),1,0)</f>
        <v/>
      </c>
    </row>
    <row r="1730" ht="15" customHeight="1" s="20">
      <c r="A1730" s="19" t="inlineStr">
        <is>
          <t>s5397</t>
        </is>
      </c>
      <c r="B1730" s="19" t="inlineStr">
        <is>
          <t>Classic Movies</t>
        </is>
      </c>
      <c r="C1730" s="19">
        <f>IFERROR(INDEX(tblNetflix[type],MATCH($A1730,tblNetflix[show_id],0)),"")</f>
        <v/>
      </c>
      <c r="D1730" s="19">
        <f>IFERROR(INDEX(tblNetflix[rating],MATCH($A1730,tblNetflix[show_id],0)),"")</f>
        <v/>
      </c>
      <c r="E1730" s="19">
        <f>IFERROR(INDEX(tblNetflix[year_added],MATCH($A1730,tblNetflix[show_id],0)),"")</f>
        <v/>
      </c>
      <c r="F1730" s="19">
        <f>IF(AND(OR(YearFilter="All",$E1730=YearFilter),OR(RatingFilter="All",$D1730=RatingFilter),OR(TypeFilter="All",$C1730=TypeFilter)),1,0)</f>
        <v/>
      </c>
    </row>
    <row r="1731" ht="15" customHeight="1" s="20">
      <c r="A1731" s="19" t="inlineStr">
        <is>
          <t>s5397</t>
        </is>
      </c>
      <c r="B1731" s="19" t="inlineStr">
        <is>
          <t>Dramas</t>
        </is>
      </c>
      <c r="C1731" s="19">
        <f>IFERROR(INDEX(tblNetflix[type],MATCH($A1731,tblNetflix[show_id],0)),"")</f>
        <v/>
      </c>
      <c r="D1731" s="19">
        <f>IFERROR(INDEX(tblNetflix[rating],MATCH($A1731,tblNetflix[show_id],0)),"")</f>
        <v/>
      </c>
      <c r="E1731" s="19">
        <f>IFERROR(INDEX(tblNetflix[year_added],MATCH($A1731,tblNetflix[show_id],0)),"")</f>
        <v/>
      </c>
      <c r="F1731" s="19">
        <f>IF(AND(OR(YearFilter="All",$E1731=YearFilter),OR(RatingFilter="All",$D1731=RatingFilter),OR(TypeFilter="All",$C1731=TypeFilter)),1,0)</f>
        <v/>
      </c>
    </row>
    <row r="1732" ht="15" customHeight="1" s="20">
      <c r="A1732" s="19" t="inlineStr">
        <is>
          <t>s5397</t>
        </is>
      </c>
      <c r="B1732" s="19" t="inlineStr">
        <is>
          <t>International Movies</t>
        </is>
      </c>
      <c r="C1732" s="19">
        <f>IFERROR(INDEX(tblNetflix[type],MATCH($A1732,tblNetflix[show_id],0)),"")</f>
        <v/>
      </c>
      <c r="D1732" s="19">
        <f>IFERROR(INDEX(tblNetflix[rating],MATCH($A1732,tblNetflix[show_id],0)),"")</f>
        <v/>
      </c>
      <c r="E1732" s="19">
        <f>IFERROR(INDEX(tblNetflix[year_added],MATCH($A1732,tblNetflix[show_id],0)),"")</f>
        <v/>
      </c>
      <c r="F1732" s="19">
        <f>IF(AND(OR(YearFilter="All",$E1732=YearFilter),OR(RatingFilter="All",$D1732=RatingFilter),OR(TypeFilter="All",$C1732=TypeFilter)),1,0)</f>
        <v/>
      </c>
    </row>
    <row r="1733" ht="15" customHeight="1" s="20">
      <c r="A1733" s="19" t="inlineStr">
        <is>
          <t>s5399</t>
        </is>
      </c>
      <c r="B1733" s="19" t="inlineStr">
        <is>
          <t>Dramas</t>
        </is>
      </c>
      <c r="C1733" s="19">
        <f>IFERROR(INDEX(tblNetflix[type],MATCH($A1733,tblNetflix[show_id],0)),"")</f>
        <v/>
      </c>
      <c r="D1733" s="19">
        <f>IFERROR(INDEX(tblNetflix[rating],MATCH($A1733,tblNetflix[show_id],0)),"")</f>
        <v/>
      </c>
      <c r="E1733" s="19">
        <f>IFERROR(INDEX(tblNetflix[year_added],MATCH($A1733,tblNetflix[show_id],0)),"")</f>
        <v/>
      </c>
      <c r="F1733" s="19">
        <f>IF(AND(OR(YearFilter="All",$E1733=YearFilter),OR(RatingFilter="All",$D1733=RatingFilter),OR(TypeFilter="All",$C1733=TypeFilter)),1,0)</f>
        <v/>
      </c>
    </row>
    <row r="1734" ht="15" customHeight="1" s="20">
      <c r="A1734" s="19" t="inlineStr">
        <is>
          <t>s5399</t>
        </is>
      </c>
      <c r="B1734" s="19" t="inlineStr">
        <is>
          <t>Independent Movies</t>
        </is>
      </c>
      <c r="C1734" s="19">
        <f>IFERROR(INDEX(tblNetflix[type],MATCH($A1734,tblNetflix[show_id],0)),"")</f>
        <v/>
      </c>
      <c r="D1734" s="19">
        <f>IFERROR(INDEX(tblNetflix[rating],MATCH($A1734,tblNetflix[show_id],0)),"")</f>
        <v/>
      </c>
      <c r="E1734" s="19">
        <f>IFERROR(INDEX(tblNetflix[year_added],MATCH($A1734,tblNetflix[show_id],0)),"")</f>
        <v/>
      </c>
      <c r="F1734" s="19">
        <f>IF(AND(OR(YearFilter="All",$E1734=YearFilter),OR(RatingFilter="All",$D1734=RatingFilter),OR(TypeFilter="All",$C1734=TypeFilter)),1,0)</f>
        <v/>
      </c>
    </row>
    <row r="1735" ht="15" customHeight="1" s="20">
      <c r="A1735" s="19" t="inlineStr">
        <is>
          <t>s5399</t>
        </is>
      </c>
      <c r="B1735" s="19" t="inlineStr">
        <is>
          <t>International Movies</t>
        </is>
      </c>
      <c r="C1735" s="19">
        <f>IFERROR(INDEX(tblNetflix[type],MATCH($A1735,tblNetflix[show_id],0)),"")</f>
        <v/>
      </c>
      <c r="D1735" s="19">
        <f>IFERROR(INDEX(tblNetflix[rating],MATCH($A1735,tblNetflix[show_id],0)),"")</f>
        <v/>
      </c>
      <c r="E1735" s="19">
        <f>IFERROR(INDEX(tblNetflix[year_added],MATCH($A1735,tblNetflix[show_id],0)),"")</f>
        <v/>
      </c>
      <c r="F1735" s="19">
        <f>IF(AND(OR(YearFilter="All",$E1735=YearFilter),OR(RatingFilter="All",$D1735=RatingFilter),OR(TypeFilter="All",$C1735=TypeFilter)),1,0)</f>
        <v/>
      </c>
    </row>
    <row r="1736" ht="15" customHeight="1" s="20">
      <c r="A1736" s="19" t="inlineStr">
        <is>
          <t>s5401</t>
        </is>
      </c>
      <c r="B1736" s="19" t="inlineStr">
        <is>
          <t>Comedies</t>
        </is>
      </c>
      <c r="C1736" s="19">
        <f>IFERROR(INDEX(tblNetflix[type],MATCH($A1736,tblNetflix[show_id],0)),"")</f>
        <v/>
      </c>
      <c r="D1736" s="19">
        <f>IFERROR(INDEX(tblNetflix[rating],MATCH($A1736,tblNetflix[show_id],0)),"")</f>
        <v/>
      </c>
      <c r="E1736" s="19">
        <f>IFERROR(INDEX(tblNetflix[year_added],MATCH($A1736,tblNetflix[show_id],0)),"")</f>
        <v/>
      </c>
      <c r="F1736" s="19">
        <f>IF(AND(OR(YearFilter="All",$E1736=YearFilter),OR(RatingFilter="All",$D1736=RatingFilter),OR(TypeFilter="All",$C1736=TypeFilter)),1,0)</f>
        <v/>
      </c>
    </row>
    <row r="1737" ht="15" customHeight="1" s="20">
      <c r="A1737" s="19" t="inlineStr">
        <is>
          <t>s5401</t>
        </is>
      </c>
      <c r="B1737" s="19" t="inlineStr">
        <is>
          <t>Dramas</t>
        </is>
      </c>
      <c r="C1737" s="19">
        <f>IFERROR(INDEX(tblNetflix[type],MATCH($A1737,tblNetflix[show_id],0)),"")</f>
        <v/>
      </c>
      <c r="D1737" s="19">
        <f>IFERROR(INDEX(tblNetflix[rating],MATCH($A1737,tblNetflix[show_id],0)),"")</f>
        <v/>
      </c>
      <c r="E1737" s="19">
        <f>IFERROR(INDEX(tblNetflix[year_added],MATCH($A1737,tblNetflix[show_id],0)),"")</f>
        <v/>
      </c>
      <c r="F1737" s="19">
        <f>IF(AND(OR(YearFilter="All",$E1737=YearFilter),OR(RatingFilter="All",$D1737=RatingFilter),OR(TypeFilter="All",$C1737=TypeFilter)),1,0)</f>
        <v/>
      </c>
    </row>
    <row r="1738" ht="15" customHeight="1" s="20">
      <c r="A1738" s="19" t="inlineStr">
        <is>
          <t>s5401</t>
        </is>
      </c>
      <c r="B1738" s="19" t="inlineStr">
        <is>
          <t>International Movies</t>
        </is>
      </c>
      <c r="C1738" s="19">
        <f>IFERROR(INDEX(tblNetflix[type],MATCH($A1738,tblNetflix[show_id],0)),"")</f>
        <v/>
      </c>
      <c r="D1738" s="19">
        <f>IFERROR(INDEX(tblNetflix[rating],MATCH($A1738,tblNetflix[show_id],0)),"")</f>
        <v/>
      </c>
      <c r="E1738" s="19">
        <f>IFERROR(INDEX(tblNetflix[year_added],MATCH($A1738,tblNetflix[show_id],0)),"")</f>
        <v/>
      </c>
      <c r="F1738" s="19">
        <f>IF(AND(OR(YearFilter="All",$E1738=YearFilter),OR(RatingFilter="All",$D1738=RatingFilter),OR(TypeFilter="All",$C1738=TypeFilter)),1,0)</f>
        <v/>
      </c>
    </row>
    <row r="1739" ht="15" customHeight="1" s="20">
      <c r="A1739" s="19" t="inlineStr">
        <is>
          <t>s5409</t>
        </is>
      </c>
      <c r="B1739" s="19" t="inlineStr">
        <is>
          <t>Dramas</t>
        </is>
      </c>
      <c r="C1739" s="19">
        <f>IFERROR(INDEX(tblNetflix[type],MATCH($A1739,tblNetflix[show_id],0)),"")</f>
        <v/>
      </c>
      <c r="D1739" s="19">
        <f>IFERROR(INDEX(tblNetflix[rating],MATCH($A1739,tblNetflix[show_id],0)),"")</f>
        <v/>
      </c>
      <c r="E1739" s="19">
        <f>IFERROR(INDEX(tblNetflix[year_added],MATCH($A1739,tblNetflix[show_id],0)),"")</f>
        <v/>
      </c>
      <c r="F1739" s="19">
        <f>IF(AND(OR(YearFilter="All",$E1739=YearFilter),OR(RatingFilter="All",$D1739=RatingFilter),OR(TypeFilter="All",$C1739=TypeFilter)),1,0)</f>
        <v/>
      </c>
    </row>
    <row r="1740" ht="15" customHeight="1" s="20">
      <c r="A1740" s="19" t="inlineStr">
        <is>
          <t>s5409</t>
        </is>
      </c>
      <c r="B1740" s="19" t="inlineStr">
        <is>
          <t>International Movies</t>
        </is>
      </c>
      <c r="C1740" s="19">
        <f>IFERROR(INDEX(tblNetflix[type],MATCH($A1740,tblNetflix[show_id],0)),"")</f>
        <v/>
      </c>
      <c r="D1740" s="19">
        <f>IFERROR(INDEX(tblNetflix[rating],MATCH($A1740,tblNetflix[show_id],0)),"")</f>
        <v/>
      </c>
      <c r="E1740" s="19">
        <f>IFERROR(INDEX(tblNetflix[year_added],MATCH($A1740,tblNetflix[show_id],0)),"")</f>
        <v/>
      </c>
      <c r="F1740" s="19">
        <f>IF(AND(OR(YearFilter="All",$E1740=YearFilter),OR(RatingFilter="All",$D1740=RatingFilter),OR(TypeFilter="All",$C1740=TypeFilter)),1,0)</f>
        <v/>
      </c>
    </row>
    <row r="1741" ht="15" customHeight="1" s="20">
      <c r="A1741" s="19" t="inlineStr">
        <is>
          <t>s5421</t>
        </is>
      </c>
      <c r="B1741" s="19" t="inlineStr">
        <is>
          <t>Dramas</t>
        </is>
      </c>
      <c r="C1741" s="19">
        <f>IFERROR(INDEX(tblNetflix[type],MATCH($A1741,tblNetflix[show_id],0)),"")</f>
        <v/>
      </c>
      <c r="D1741" s="19">
        <f>IFERROR(INDEX(tblNetflix[rating],MATCH($A1741,tblNetflix[show_id],0)),"")</f>
        <v/>
      </c>
      <c r="E1741" s="19">
        <f>IFERROR(INDEX(tblNetflix[year_added],MATCH($A1741,tblNetflix[show_id],0)),"")</f>
        <v/>
      </c>
      <c r="F1741" s="19">
        <f>IF(AND(OR(YearFilter="All",$E1741=YearFilter),OR(RatingFilter="All",$D1741=RatingFilter),OR(TypeFilter="All",$C1741=TypeFilter)),1,0)</f>
        <v/>
      </c>
    </row>
    <row r="1742" ht="15" customHeight="1" s="20">
      <c r="A1742" s="19" t="inlineStr">
        <is>
          <t>s5421</t>
        </is>
      </c>
      <c r="B1742" s="19" t="inlineStr">
        <is>
          <t>International Movies</t>
        </is>
      </c>
      <c r="C1742" s="19">
        <f>IFERROR(INDEX(tblNetflix[type],MATCH($A1742,tblNetflix[show_id],0)),"")</f>
        <v/>
      </c>
      <c r="D1742" s="19">
        <f>IFERROR(INDEX(tblNetflix[rating],MATCH($A1742,tblNetflix[show_id],0)),"")</f>
        <v/>
      </c>
      <c r="E1742" s="19">
        <f>IFERROR(INDEX(tblNetflix[year_added],MATCH($A1742,tblNetflix[show_id],0)),"")</f>
        <v/>
      </c>
      <c r="F1742" s="19">
        <f>IF(AND(OR(YearFilter="All",$E1742=YearFilter),OR(RatingFilter="All",$D1742=RatingFilter),OR(TypeFilter="All",$C1742=TypeFilter)),1,0)</f>
        <v/>
      </c>
    </row>
    <row r="1743" ht="15" customHeight="1" s="20">
      <c r="A1743" s="19" t="inlineStr">
        <is>
          <t>s5421</t>
        </is>
      </c>
      <c r="B1743" s="19" t="inlineStr">
        <is>
          <t>Sports Movies</t>
        </is>
      </c>
      <c r="C1743" s="19">
        <f>IFERROR(INDEX(tblNetflix[type],MATCH($A1743,tblNetflix[show_id],0)),"")</f>
        <v/>
      </c>
      <c r="D1743" s="19">
        <f>IFERROR(INDEX(tblNetflix[rating],MATCH($A1743,tblNetflix[show_id],0)),"")</f>
        <v/>
      </c>
      <c r="E1743" s="19">
        <f>IFERROR(INDEX(tblNetflix[year_added],MATCH($A1743,tblNetflix[show_id],0)),"")</f>
        <v/>
      </c>
      <c r="F1743" s="19">
        <f>IF(AND(OR(YearFilter="All",$E1743=YearFilter),OR(RatingFilter="All",$D1743=RatingFilter),OR(TypeFilter="All",$C1743=TypeFilter)),1,0)</f>
        <v/>
      </c>
    </row>
    <row r="1744" ht="15" customHeight="1" s="20">
      <c r="A1744" s="19" t="inlineStr">
        <is>
          <t>s5430</t>
        </is>
      </c>
      <c r="B1744" s="19" t="inlineStr">
        <is>
          <t>Comedies</t>
        </is>
      </c>
      <c r="C1744" s="19">
        <f>IFERROR(INDEX(tblNetflix[type],MATCH($A1744,tblNetflix[show_id],0)),"")</f>
        <v/>
      </c>
      <c r="D1744" s="19">
        <f>IFERROR(INDEX(tblNetflix[rating],MATCH($A1744,tblNetflix[show_id],0)),"")</f>
        <v/>
      </c>
      <c r="E1744" s="19">
        <f>IFERROR(INDEX(tblNetflix[year_added],MATCH($A1744,tblNetflix[show_id],0)),"")</f>
        <v/>
      </c>
      <c r="F1744" s="19">
        <f>IF(AND(OR(YearFilter="All",$E1744=YearFilter),OR(RatingFilter="All",$D1744=RatingFilter),OR(TypeFilter="All",$C1744=TypeFilter)),1,0)</f>
        <v/>
      </c>
    </row>
    <row r="1745" ht="15" customHeight="1" s="20">
      <c r="A1745" s="19" t="inlineStr">
        <is>
          <t>s5430</t>
        </is>
      </c>
      <c r="B1745" s="19" t="inlineStr">
        <is>
          <t>Dramas</t>
        </is>
      </c>
      <c r="C1745" s="19">
        <f>IFERROR(INDEX(tblNetflix[type],MATCH($A1745,tblNetflix[show_id],0)),"")</f>
        <v/>
      </c>
      <c r="D1745" s="19">
        <f>IFERROR(INDEX(tblNetflix[rating],MATCH($A1745,tblNetflix[show_id],0)),"")</f>
        <v/>
      </c>
      <c r="E1745" s="19">
        <f>IFERROR(INDEX(tblNetflix[year_added],MATCH($A1745,tblNetflix[show_id],0)),"")</f>
        <v/>
      </c>
      <c r="F1745" s="19">
        <f>IF(AND(OR(YearFilter="All",$E1745=YearFilter),OR(RatingFilter="All",$D1745=RatingFilter),OR(TypeFilter="All",$C1745=TypeFilter)),1,0)</f>
        <v/>
      </c>
    </row>
    <row r="1746" ht="15" customHeight="1" s="20">
      <c r="A1746" s="19" t="inlineStr">
        <is>
          <t>s5430</t>
        </is>
      </c>
      <c r="B1746" s="19" t="inlineStr">
        <is>
          <t>International Movies</t>
        </is>
      </c>
      <c r="C1746" s="19">
        <f>IFERROR(INDEX(tblNetflix[type],MATCH($A1746,tblNetflix[show_id],0)),"")</f>
        <v/>
      </c>
      <c r="D1746" s="19">
        <f>IFERROR(INDEX(tblNetflix[rating],MATCH($A1746,tblNetflix[show_id],0)),"")</f>
        <v/>
      </c>
      <c r="E1746" s="19">
        <f>IFERROR(INDEX(tblNetflix[year_added],MATCH($A1746,tblNetflix[show_id],0)),"")</f>
        <v/>
      </c>
      <c r="F1746" s="19">
        <f>IF(AND(OR(YearFilter="All",$E1746=YearFilter),OR(RatingFilter="All",$D1746=RatingFilter),OR(TypeFilter="All",$C1746=TypeFilter)),1,0)</f>
        <v/>
      </c>
    </row>
    <row r="1747" ht="15" customHeight="1" s="20">
      <c r="A1747" s="19" t="inlineStr">
        <is>
          <t>s5442</t>
        </is>
      </c>
      <c r="B1747" s="19" t="inlineStr">
        <is>
          <t>Children &amp; Family Movies</t>
        </is>
      </c>
      <c r="C1747" s="19">
        <f>IFERROR(INDEX(tblNetflix[type],MATCH($A1747,tblNetflix[show_id],0)),"")</f>
        <v/>
      </c>
      <c r="D1747" s="19">
        <f>IFERROR(INDEX(tblNetflix[rating],MATCH($A1747,tblNetflix[show_id],0)),"")</f>
        <v/>
      </c>
      <c r="E1747" s="19">
        <f>IFERROR(INDEX(tblNetflix[year_added],MATCH($A1747,tblNetflix[show_id],0)),"")</f>
        <v/>
      </c>
      <c r="F1747" s="19">
        <f>IF(AND(OR(YearFilter="All",$E1747=YearFilter),OR(RatingFilter="All",$D1747=RatingFilter),OR(TypeFilter="All",$C1747=TypeFilter)),1,0)</f>
        <v/>
      </c>
    </row>
    <row r="1748" ht="15" customHeight="1" s="20">
      <c r="A1748" s="19" t="inlineStr">
        <is>
          <t>s5442</t>
        </is>
      </c>
      <c r="B1748" s="19" t="inlineStr">
        <is>
          <t>Dramas</t>
        </is>
      </c>
      <c r="C1748" s="19">
        <f>IFERROR(INDEX(tblNetflix[type],MATCH($A1748,tblNetflix[show_id],0)),"")</f>
        <v/>
      </c>
      <c r="D1748" s="19">
        <f>IFERROR(INDEX(tblNetflix[rating],MATCH($A1748,tblNetflix[show_id],0)),"")</f>
        <v/>
      </c>
      <c r="E1748" s="19">
        <f>IFERROR(INDEX(tblNetflix[year_added],MATCH($A1748,tblNetflix[show_id],0)),"")</f>
        <v/>
      </c>
      <c r="F1748" s="19">
        <f>IF(AND(OR(YearFilter="All",$E1748=YearFilter),OR(RatingFilter="All",$D1748=RatingFilter),OR(TypeFilter="All",$C1748=TypeFilter)),1,0)</f>
        <v/>
      </c>
    </row>
    <row r="1749" ht="15" customHeight="1" s="20">
      <c r="A1749" s="19" t="inlineStr">
        <is>
          <t>s5442</t>
        </is>
      </c>
      <c r="B1749" s="19" t="inlineStr">
        <is>
          <t>Music &amp; Musicals</t>
        </is>
      </c>
      <c r="C1749" s="19">
        <f>IFERROR(INDEX(tblNetflix[type],MATCH($A1749,tblNetflix[show_id],0)),"")</f>
        <v/>
      </c>
      <c r="D1749" s="19">
        <f>IFERROR(INDEX(tblNetflix[rating],MATCH($A1749,tblNetflix[show_id],0)),"")</f>
        <v/>
      </c>
      <c r="E1749" s="19">
        <f>IFERROR(INDEX(tblNetflix[year_added],MATCH($A1749,tblNetflix[show_id],0)),"")</f>
        <v/>
      </c>
      <c r="F1749" s="19">
        <f>IF(AND(OR(YearFilter="All",$E1749=YearFilter),OR(RatingFilter="All",$D1749=RatingFilter),OR(TypeFilter="All",$C1749=TypeFilter)),1,0)</f>
        <v/>
      </c>
    </row>
    <row r="1750" ht="15" customHeight="1" s="20">
      <c r="A1750" s="19" t="inlineStr">
        <is>
          <t>s5448</t>
        </is>
      </c>
      <c r="B1750" s="19" t="inlineStr">
        <is>
          <t>Dramas</t>
        </is>
      </c>
      <c r="C1750" s="19">
        <f>IFERROR(INDEX(tblNetflix[type],MATCH($A1750,tblNetflix[show_id],0)),"")</f>
        <v/>
      </c>
      <c r="D1750" s="19">
        <f>IFERROR(INDEX(tblNetflix[rating],MATCH($A1750,tblNetflix[show_id],0)),"")</f>
        <v/>
      </c>
      <c r="E1750" s="19">
        <f>IFERROR(INDEX(tblNetflix[year_added],MATCH($A1750,tblNetflix[show_id],0)),"")</f>
        <v/>
      </c>
      <c r="F1750" s="19">
        <f>IF(AND(OR(YearFilter="All",$E1750=YearFilter),OR(RatingFilter="All",$D1750=RatingFilter),OR(TypeFilter="All",$C1750=TypeFilter)),1,0)</f>
        <v/>
      </c>
    </row>
    <row r="1751" ht="15" customHeight="1" s="20">
      <c r="A1751" s="19" t="inlineStr">
        <is>
          <t>s5448</t>
        </is>
      </c>
      <c r="B1751" s="19" t="inlineStr">
        <is>
          <t>International Movies</t>
        </is>
      </c>
      <c r="C1751" s="19">
        <f>IFERROR(INDEX(tblNetflix[type],MATCH($A1751,tblNetflix[show_id],0)),"")</f>
        <v/>
      </c>
      <c r="D1751" s="19">
        <f>IFERROR(INDEX(tblNetflix[rating],MATCH($A1751,tblNetflix[show_id],0)),"")</f>
        <v/>
      </c>
      <c r="E1751" s="19">
        <f>IFERROR(INDEX(tblNetflix[year_added],MATCH($A1751,tblNetflix[show_id],0)),"")</f>
        <v/>
      </c>
      <c r="F1751" s="19">
        <f>IF(AND(OR(YearFilter="All",$E1751=YearFilter),OR(RatingFilter="All",$D1751=RatingFilter),OR(TypeFilter="All",$C1751=TypeFilter)),1,0)</f>
        <v/>
      </c>
    </row>
    <row r="1752" ht="15" customHeight="1" s="20">
      <c r="A1752" s="19" t="inlineStr">
        <is>
          <t>s5448</t>
        </is>
      </c>
      <c r="B1752" s="19" t="inlineStr">
        <is>
          <t>Music &amp; Musicals</t>
        </is>
      </c>
      <c r="C1752" s="19">
        <f>IFERROR(INDEX(tblNetflix[type],MATCH($A1752,tblNetflix[show_id],0)),"")</f>
        <v/>
      </c>
      <c r="D1752" s="19">
        <f>IFERROR(INDEX(tblNetflix[rating],MATCH($A1752,tblNetflix[show_id],0)),"")</f>
        <v/>
      </c>
      <c r="E1752" s="19">
        <f>IFERROR(INDEX(tblNetflix[year_added],MATCH($A1752,tblNetflix[show_id],0)),"")</f>
        <v/>
      </c>
      <c r="F1752" s="19">
        <f>IF(AND(OR(YearFilter="All",$E1752=YearFilter),OR(RatingFilter="All",$D1752=RatingFilter),OR(TypeFilter="All",$C1752=TypeFilter)),1,0)</f>
        <v/>
      </c>
    </row>
    <row r="1753" ht="15" customHeight="1" s="20">
      <c r="A1753" s="19" t="inlineStr">
        <is>
          <t>s5453</t>
        </is>
      </c>
      <c r="B1753" s="19" t="inlineStr">
        <is>
          <t>Dramas</t>
        </is>
      </c>
      <c r="C1753" s="19">
        <f>IFERROR(INDEX(tblNetflix[type],MATCH($A1753,tblNetflix[show_id],0)),"")</f>
        <v/>
      </c>
      <c r="D1753" s="19">
        <f>IFERROR(INDEX(tblNetflix[rating],MATCH($A1753,tblNetflix[show_id],0)),"")</f>
        <v/>
      </c>
      <c r="E1753" s="19">
        <f>IFERROR(INDEX(tblNetflix[year_added],MATCH($A1753,tblNetflix[show_id],0)),"")</f>
        <v/>
      </c>
      <c r="F1753" s="19">
        <f>IF(AND(OR(YearFilter="All",$E1753=YearFilter),OR(RatingFilter="All",$D1753=RatingFilter),OR(TypeFilter="All",$C1753=TypeFilter)),1,0)</f>
        <v/>
      </c>
    </row>
    <row r="1754" ht="15" customHeight="1" s="20">
      <c r="A1754" s="19" t="inlineStr">
        <is>
          <t>s5453</t>
        </is>
      </c>
      <c r="B1754" s="19" t="inlineStr">
        <is>
          <t>Independent Movies</t>
        </is>
      </c>
      <c r="C1754" s="19">
        <f>IFERROR(INDEX(tblNetflix[type],MATCH($A1754,tblNetflix[show_id],0)),"")</f>
        <v/>
      </c>
      <c r="D1754" s="19">
        <f>IFERROR(INDEX(tblNetflix[rating],MATCH($A1754,tblNetflix[show_id],0)),"")</f>
        <v/>
      </c>
      <c r="E1754" s="19">
        <f>IFERROR(INDEX(tblNetflix[year_added],MATCH($A1754,tblNetflix[show_id],0)),"")</f>
        <v/>
      </c>
      <c r="F1754" s="19">
        <f>IF(AND(OR(YearFilter="All",$E1754=YearFilter),OR(RatingFilter="All",$D1754=RatingFilter),OR(TypeFilter="All",$C1754=TypeFilter)),1,0)</f>
        <v/>
      </c>
    </row>
    <row r="1755" ht="15" customHeight="1" s="20">
      <c r="A1755" s="19" t="inlineStr">
        <is>
          <t>s5453</t>
        </is>
      </c>
      <c r="B1755" s="19" t="inlineStr">
        <is>
          <t>International Movies</t>
        </is>
      </c>
      <c r="C1755" s="19">
        <f>IFERROR(INDEX(tblNetflix[type],MATCH($A1755,tblNetflix[show_id],0)),"")</f>
        <v/>
      </c>
      <c r="D1755" s="19">
        <f>IFERROR(INDEX(tblNetflix[rating],MATCH($A1755,tblNetflix[show_id],0)),"")</f>
        <v/>
      </c>
      <c r="E1755" s="19">
        <f>IFERROR(INDEX(tblNetflix[year_added],MATCH($A1755,tblNetflix[show_id],0)),"")</f>
        <v/>
      </c>
      <c r="F1755" s="19">
        <f>IF(AND(OR(YearFilter="All",$E1755=YearFilter),OR(RatingFilter="All",$D1755=RatingFilter),OR(TypeFilter="All",$C1755=TypeFilter)),1,0)</f>
        <v/>
      </c>
    </row>
    <row r="1756" ht="15" customHeight="1" s="20">
      <c r="A1756" s="19" t="inlineStr">
        <is>
          <t>s5456</t>
        </is>
      </c>
      <c r="B1756" s="19" t="inlineStr">
        <is>
          <t>Dramas</t>
        </is>
      </c>
      <c r="C1756" s="19">
        <f>IFERROR(INDEX(tblNetflix[type],MATCH($A1756,tblNetflix[show_id],0)),"")</f>
        <v/>
      </c>
      <c r="D1756" s="19">
        <f>IFERROR(INDEX(tblNetflix[rating],MATCH($A1756,tblNetflix[show_id],0)),"")</f>
        <v/>
      </c>
      <c r="E1756" s="19">
        <f>IFERROR(INDEX(tblNetflix[year_added],MATCH($A1756,tblNetflix[show_id],0)),"")</f>
        <v/>
      </c>
      <c r="F1756" s="19">
        <f>IF(AND(OR(YearFilter="All",$E1756=YearFilter),OR(RatingFilter="All",$D1756=RatingFilter),OR(TypeFilter="All",$C1756=TypeFilter)),1,0)</f>
        <v/>
      </c>
    </row>
    <row r="1757" ht="15" customHeight="1" s="20">
      <c r="A1757" s="19" t="inlineStr">
        <is>
          <t>s5456</t>
        </is>
      </c>
      <c r="B1757" s="19" t="inlineStr">
        <is>
          <t>International Movies</t>
        </is>
      </c>
      <c r="C1757" s="19">
        <f>IFERROR(INDEX(tblNetflix[type],MATCH($A1757,tblNetflix[show_id],0)),"")</f>
        <v/>
      </c>
      <c r="D1757" s="19">
        <f>IFERROR(INDEX(tblNetflix[rating],MATCH($A1757,tblNetflix[show_id],0)),"")</f>
        <v/>
      </c>
      <c r="E1757" s="19">
        <f>IFERROR(INDEX(tblNetflix[year_added],MATCH($A1757,tblNetflix[show_id],0)),"")</f>
        <v/>
      </c>
      <c r="F1757" s="19">
        <f>IF(AND(OR(YearFilter="All",$E1757=YearFilter),OR(RatingFilter="All",$D1757=RatingFilter),OR(TypeFilter="All",$C1757=TypeFilter)),1,0)</f>
        <v/>
      </c>
    </row>
    <row r="1758" ht="15" customHeight="1" s="20">
      <c r="A1758" s="19" t="inlineStr">
        <is>
          <t>s5456</t>
        </is>
      </c>
      <c r="B1758" s="19" t="inlineStr">
        <is>
          <t>Music &amp; Musicals</t>
        </is>
      </c>
      <c r="C1758" s="19">
        <f>IFERROR(INDEX(tblNetflix[type],MATCH($A1758,tblNetflix[show_id],0)),"")</f>
        <v/>
      </c>
      <c r="D1758" s="19">
        <f>IFERROR(INDEX(tblNetflix[rating],MATCH($A1758,tblNetflix[show_id],0)),"")</f>
        <v/>
      </c>
      <c r="E1758" s="19">
        <f>IFERROR(INDEX(tblNetflix[year_added],MATCH($A1758,tblNetflix[show_id],0)),"")</f>
        <v/>
      </c>
      <c r="F1758" s="19">
        <f>IF(AND(OR(YearFilter="All",$E1758=YearFilter),OR(RatingFilter="All",$D1758=RatingFilter),OR(TypeFilter="All",$C1758=TypeFilter)),1,0)</f>
        <v/>
      </c>
    </row>
    <row r="1759" ht="15" customHeight="1" s="20">
      <c r="A1759" s="19" t="inlineStr">
        <is>
          <t>s5461</t>
        </is>
      </c>
      <c r="B1759" s="19" t="inlineStr">
        <is>
          <t>Action &amp; Adventure</t>
        </is>
      </c>
      <c r="C1759" s="19">
        <f>IFERROR(INDEX(tblNetflix[type],MATCH($A1759,tblNetflix[show_id],0)),"")</f>
        <v/>
      </c>
      <c r="D1759" s="19">
        <f>IFERROR(INDEX(tblNetflix[rating],MATCH($A1759,tblNetflix[show_id],0)),"")</f>
        <v/>
      </c>
      <c r="E1759" s="19">
        <f>IFERROR(INDEX(tblNetflix[year_added],MATCH($A1759,tblNetflix[show_id],0)),"")</f>
        <v/>
      </c>
      <c r="F1759" s="19">
        <f>IF(AND(OR(YearFilter="All",$E1759=YearFilter),OR(RatingFilter="All",$D1759=RatingFilter),OR(TypeFilter="All",$C1759=TypeFilter)),1,0)</f>
        <v/>
      </c>
    </row>
    <row r="1760" ht="15" customHeight="1" s="20">
      <c r="A1760" s="19" t="inlineStr">
        <is>
          <t>s5461</t>
        </is>
      </c>
      <c r="B1760" s="19" t="inlineStr">
        <is>
          <t>Comedies</t>
        </is>
      </c>
      <c r="C1760" s="19">
        <f>IFERROR(INDEX(tblNetflix[type],MATCH($A1760,tblNetflix[show_id],0)),"")</f>
        <v/>
      </c>
      <c r="D1760" s="19">
        <f>IFERROR(INDEX(tblNetflix[rating],MATCH($A1760,tblNetflix[show_id],0)),"")</f>
        <v/>
      </c>
      <c r="E1760" s="19">
        <f>IFERROR(INDEX(tblNetflix[year_added],MATCH($A1760,tblNetflix[show_id],0)),"")</f>
        <v/>
      </c>
      <c r="F1760" s="19">
        <f>IF(AND(OR(YearFilter="All",$E1760=YearFilter),OR(RatingFilter="All",$D1760=RatingFilter),OR(TypeFilter="All",$C1760=TypeFilter)),1,0)</f>
        <v/>
      </c>
    </row>
    <row r="1761" ht="15" customHeight="1" s="20">
      <c r="A1761" s="19" t="inlineStr">
        <is>
          <t>s5461</t>
        </is>
      </c>
      <c r="B1761" s="19" t="inlineStr">
        <is>
          <t>International Movies</t>
        </is>
      </c>
      <c r="C1761" s="19">
        <f>IFERROR(INDEX(tblNetflix[type],MATCH($A1761,tblNetflix[show_id],0)),"")</f>
        <v/>
      </c>
      <c r="D1761" s="19">
        <f>IFERROR(INDEX(tblNetflix[rating],MATCH($A1761,tblNetflix[show_id],0)),"")</f>
        <v/>
      </c>
      <c r="E1761" s="19">
        <f>IFERROR(INDEX(tblNetflix[year_added],MATCH($A1761,tblNetflix[show_id],0)),"")</f>
        <v/>
      </c>
      <c r="F1761" s="19">
        <f>IF(AND(OR(YearFilter="All",$E1761=YearFilter),OR(RatingFilter="All",$D1761=RatingFilter),OR(TypeFilter="All",$C1761=TypeFilter)),1,0)</f>
        <v/>
      </c>
    </row>
    <row r="1762" ht="15" customHeight="1" s="20">
      <c r="A1762" s="19" t="inlineStr">
        <is>
          <t>s5462</t>
        </is>
      </c>
      <c r="B1762" s="19" t="inlineStr">
        <is>
          <t>Dramas</t>
        </is>
      </c>
      <c r="C1762" s="19">
        <f>IFERROR(INDEX(tblNetflix[type],MATCH($A1762,tblNetflix[show_id],0)),"")</f>
        <v/>
      </c>
      <c r="D1762" s="19">
        <f>IFERROR(INDEX(tblNetflix[rating],MATCH($A1762,tblNetflix[show_id],0)),"")</f>
        <v/>
      </c>
      <c r="E1762" s="19">
        <f>IFERROR(INDEX(tblNetflix[year_added],MATCH($A1762,tblNetflix[show_id],0)),"")</f>
        <v/>
      </c>
      <c r="F1762" s="19">
        <f>IF(AND(OR(YearFilter="All",$E1762=YearFilter),OR(RatingFilter="All",$D1762=RatingFilter),OR(TypeFilter="All",$C1762=TypeFilter)),1,0)</f>
        <v/>
      </c>
    </row>
    <row r="1763" ht="15" customHeight="1" s="20">
      <c r="A1763" s="19" t="inlineStr">
        <is>
          <t>s5462</t>
        </is>
      </c>
      <c r="B1763" s="19" t="inlineStr">
        <is>
          <t>International Movies</t>
        </is>
      </c>
      <c r="C1763" s="19">
        <f>IFERROR(INDEX(tblNetflix[type],MATCH($A1763,tblNetflix[show_id],0)),"")</f>
        <v/>
      </c>
      <c r="D1763" s="19">
        <f>IFERROR(INDEX(tblNetflix[rating],MATCH($A1763,tblNetflix[show_id],0)),"")</f>
        <v/>
      </c>
      <c r="E1763" s="19">
        <f>IFERROR(INDEX(tblNetflix[year_added],MATCH($A1763,tblNetflix[show_id],0)),"")</f>
        <v/>
      </c>
      <c r="F1763" s="19">
        <f>IF(AND(OR(YearFilter="All",$E1763=YearFilter),OR(RatingFilter="All",$D1763=RatingFilter),OR(TypeFilter="All",$C1763=TypeFilter)),1,0)</f>
        <v/>
      </c>
    </row>
    <row r="1764" ht="15" customHeight="1" s="20">
      <c r="A1764" s="19" t="inlineStr">
        <is>
          <t>s5462</t>
        </is>
      </c>
      <c r="B1764" s="19" t="inlineStr">
        <is>
          <t>Romantic Movies</t>
        </is>
      </c>
      <c r="C1764" s="19">
        <f>IFERROR(INDEX(tblNetflix[type],MATCH($A1764,tblNetflix[show_id],0)),"")</f>
        <v/>
      </c>
      <c r="D1764" s="19">
        <f>IFERROR(INDEX(tblNetflix[rating],MATCH($A1764,tblNetflix[show_id],0)),"")</f>
        <v/>
      </c>
      <c r="E1764" s="19">
        <f>IFERROR(INDEX(tblNetflix[year_added],MATCH($A1764,tblNetflix[show_id],0)),"")</f>
        <v/>
      </c>
      <c r="F1764" s="19">
        <f>IF(AND(OR(YearFilter="All",$E1764=YearFilter),OR(RatingFilter="All",$D1764=RatingFilter),OR(TypeFilter="All",$C1764=TypeFilter)),1,0)</f>
        <v/>
      </c>
    </row>
    <row r="1765" ht="15" customHeight="1" s="20">
      <c r="A1765" s="19" t="inlineStr">
        <is>
          <t>s5463</t>
        </is>
      </c>
      <c r="B1765" s="19" t="inlineStr">
        <is>
          <t>Dramas</t>
        </is>
      </c>
      <c r="C1765" s="19">
        <f>IFERROR(INDEX(tblNetflix[type],MATCH($A1765,tblNetflix[show_id],0)),"")</f>
        <v/>
      </c>
      <c r="D1765" s="19">
        <f>IFERROR(INDEX(tblNetflix[rating],MATCH($A1765,tblNetflix[show_id],0)),"")</f>
        <v/>
      </c>
      <c r="E1765" s="19">
        <f>IFERROR(INDEX(tblNetflix[year_added],MATCH($A1765,tblNetflix[show_id],0)),"")</f>
        <v/>
      </c>
      <c r="F1765" s="19">
        <f>IF(AND(OR(YearFilter="All",$E1765=YearFilter),OR(RatingFilter="All",$D1765=RatingFilter),OR(TypeFilter="All",$C1765=TypeFilter)),1,0)</f>
        <v/>
      </c>
    </row>
    <row r="1766" ht="15" customHeight="1" s="20">
      <c r="A1766" s="19" t="inlineStr">
        <is>
          <t>s5463</t>
        </is>
      </c>
      <c r="B1766" s="19" t="inlineStr">
        <is>
          <t>International Movies</t>
        </is>
      </c>
      <c r="C1766" s="19">
        <f>IFERROR(INDEX(tblNetflix[type],MATCH($A1766,tblNetflix[show_id],0)),"")</f>
        <v/>
      </c>
      <c r="D1766" s="19">
        <f>IFERROR(INDEX(tblNetflix[rating],MATCH($A1766,tblNetflix[show_id],0)),"")</f>
        <v/>
      </c>
      <c r="E1766" s="19">
        <f>IFERROR(INDEX(tblNetflix[year_added],MATCH($A1766,tblNetflix[show_id],0)),"")</f>
        <v/>
      </c>
      <c r="F1766" s="19">
        <f>IF(AND(OR(YearFilter="All",$E1766=YearFilter),OR(RatingFilter="All",$D1766=RatingFilter),OR(TypeFilter="All",$C1766=TypeFilter)),1,0)</f>
        <v/>
      </c>
    </row>
    <row r="1767" ht="15" customHeight="1" s="20">
      <c r="A1767" s="19" t="inlineStr">
        <is>
          <t>s5470</t>
        </is>
      </c>
      <c r="B1767" s="19" t="inlineStr">
        <is>
          <t>Action &amp; Adventure</t>
        </is>
      </c>
      <c r="C1767" s="19">
        <f>IFERROR(INDEX(tblNetflix[type],MATCH($A1767,tblNetflix[show_id],0)),"")</f>
        <v/>
      </c>
      <c r="D1767" s="19">
        <f>IFERROR(INDEX(tblNetflix[rating],MATCH($A1767,tblNetflix[show_id],0)),"")</f>
        <v/>
      </c>
      <c r="E1767" s="19">
        <f>IFERROR(INDEX(tblNetflix[year_added],MATCH($A1767,tblNetflix[show_id],0)),"")</f>
        <v/>
      </c>
      <c r="F1767" s="19">
        <f>IF(AND(OR(YearFilter="All",$E1767=YearFilter),OR(RatingFilter="All",$D1767=RatingFilter),OR(TypeFilter="All",$C1767=TypeFilter)),1,0)</f>
        <v/>
      </c>
    </row>
    <row r="1768" ht="15" customHeight="1" s="20">
      <c r="A1768" s="19" t="inlineStr">
        <is>
          <t>s5470</t>
        </is>
      </c>
      <c r="B1768" s="19" t="inlineStr">
        <is>
          <t>Dramas</t>
        </is>
      </c>
      <c r="C1768" s="19">
        <f>IFERROR(INDEX(tblNetflix[type],MATCH($A1768,tblNetflix[show_id],0)),"")</f>
        <v/>
      </c>
      <c r="D1768" s="19">
        <f>IFERROR(INDEX(tblNetflix[rating],MATCH($A1768,tblNetflix[show_id],0)),"")</f>
        <v/>
      </c>
      <c r="E1768" s="19">
        <f>IFERROR(INDEX(tblNetflix[year_added],MATCH($A1768,tblNetflix[show_id],0)),"")</f>
        <v/>
      </c>
      <c r="F1768" s="19">
        <f>IF(AND(OR(YearFilter="All",$E1768=YearFilter),OR(RatingFilter="All",$D1768=RatingFilter),OR(TypeFilter="All",$C1768=TypeFilter)),1,0)</f>
        <v/>
      </c>
    </row>
    <row r="1769" ht="15" customHeight="1" s="20">
      <c r="A1769" s="19" t="inlineStr">
        <is>
          <t>s5470</t>
        </is>
      </c>
      <c r="B1769" s="19" t="inlineStr">
        <is>
          <t>International Movies</t>
        </is>
      </c>
      <c r="C1769" s="19">
        <f>IFERROR(INDEX(tblNetflix[type],MATCH($A1769,tblNetflix[show_id],0)),"")</f>
        <v/>
      </c>
      <c r="D1769" s="19">
        <f>IFERROR(INDEX(tblNetflix[rating],MATCH($A1769,tblNetflix[show_id],0)),"")</f>
        <v/>
      </c>
      <c r="E1769" s="19">
        <f>IFERROR(INDEX(tblNetflix[year_added],MATCH($A1769,tblNetflix[show_id],0)),"")</f>
        <v/>
      </c>
      <c r="F1769" s="19">
        <f>IF(AND(OR(YearFilter="All",$E1769=YearFilter),OR(RatingFilter="All",$D1769=RatingFilter),OR(TypeFilter="All",$C1769=TypeFilter)),1,0)</f>
        <v/>
      </c>
    </row>
    <row r="1770" ht="15" customHeight="1" s="20">
      <c r="A1770" s="19" t="inlineStr">
        <is>
          <t>s5473</t>
        </is>
      </c>
      <c r="B1770" s="19" t="inlineStr">
        <is>
          <t>Action &amp; Adventure</t>
        </is>
      </c>
      <c r="C1770" s="19">
        <f>IFERROR(INDEX(tblNetflix[type],MATCH($A1770,tblNetflix[show_id],0)),"")</f>
        <v/>
      </c>
      <c r="D1770" s="19">
        <f>IFERROR(INDEX(tblNetflix[rating],MATCH($A1770,tblNetflix[show_id],0)),"")</f>
        <v/>
      </c>
      <c r="E1770" s="19">
        <f>IFERROR(INDEX(tblNetflix[year_added],MATCH($A1770,tblNetflix[show_id],0)),"")</f>
        <v/>
      </c>
      <c r="F1770" s="19">
        <f>IF(AND(OR(YearFilter="All",$E1770=YearFilter),OR(RatingFilter="All",$D1770=RatingFilter),OR(TypeFilter="All",$C1770=TypeFilter)),1,0)</f>
        <v/>
      </c>
    </row>
    <row r="1771" ht="15" customHeight="1" s="20">
      <c r="A1771" s="19" t="inlineStr">
        <is>
          <t>s5473</t>
        </is>
      </c>
      <c r="B1771" s="19" t="inlineStr">
        <is>
          <t>Dramas</t>
        </is>
      </c>
      <c r="C1771" s="19">
        <f>IFERROR(INDEX(tblNetflix[type],MATCH($A1771,tblNetflix[show_id],0)),"")</f>
        <v/>
      </c>
      <c r="D1771" s="19">
        <f>IFERROR(INDEX(tblNetflix[rating],MATCH($A1771,tblNetflix[show_id],0)),"")</f>
        <v/>
      </c>
      <c r="E1771" s="19">
        <f>IFERROR(INDEX(tblNetflix[year_added],MATCH($A1771,tblNetflix[show_id],0)),"")</f>
        <v/>
      </c>
      <c r="F1771" s="19">
        <f>IF(AND(OR(YearFilter="All",$E1771=YearFilter),OR(RatingFilter="All",$D1771=RatingFilter),OR(TypeFilter="All",$C1771=TypeFilter)),1,0)</f>
        <v/>
      </c>
    </row>
    <row r="1772" ht="15" customHeight="1" s="20">
      <c r="A1772" s="19" t="inlineStr">
        <is>
          <t>s5473</t>
        </is>
      </c>
      <c r="B1772" s="19" t="inlineStr">
        <is>
          <t>International Movies</t>
        </is>
      </c>
      <c r="C1772" s="19">
        <f>IFERROR(INDEX(tblNetflix[type],MATCH($A1772,tblNetflix[show_id],0)),"")</f>
        <v/>
      </c>
      <c r="D1772" s="19">
        <f>IFERROR(INDEX(tblNetflix[rating],MATCH($A1772,tblNetflix[show_id],0)),"")</f>
        <v/>
      </c>
      <c r="E1772" s="19">
        <f>IFERROR(INDEX(tblNetflix[year_added],MATCH($A1772,tblNetflix[show_id],0)),"")</f>
        <v/>
      </c>
      <c r="F1772" s="19">
        <f>IF(AND(OR(YearFilter="All",$E1772=YearFilter),OR(RatingFilter="All",$D1772=RatingFilter),OR(TypeFilter="All",$C1772=TypeFilter)),1,0)</f>
        <v/>
      </c>
    </row>
    <row r="1773" ht="15" customHeight="1" s="20">
      <c r="A1773" s="19" t="inlineStr">
        <is>
          <t>s5482</t>
        </is>
      </c>
      <c r="B1773" s="19" t="inlineStr">
        <is>
          <t>Comedies</t>
        </is>
      </c>
      <c r="C1773" s="19">
        <f>IFERROR(INDEX(tblNetflix[type],MATCH($A1773,tblNetflix[show_id],0)),"")</f>
        <v/>
      </c>
      <c r="D1773" s="19">
        <f>IFERROR(INDEX(tblNetflix[rating],MATCH($A1773,tblNetflix[show_id],0)),"")</f>
        <v/>
      </c>
      <c r="E1773" s="19">
        <f>IFERROR(INDEX(tblNetflix[year_added],MATCH($A1773,tblNetflix[show_id],0)),"")</f>
        <v/>
      </c>
      <c r="F1773" s="19">
        <f>IF(AND(OR(YearFilter="All",$E1773=YearFilter),OR(RatingFilter="All",$D1773=RatingFilter),OR(TypeFilter="All",$C1773=TypeFilter)),1,0)</f>
        <v/>
      </c>
    </row>
    <row r="1774" ht="15" customHeight="1" s="20">
      <c r="A1774" s="19" t="inlineStr">
        <is>
          <t>s5482</t>
        </is>
      </c>
      <c r="B1774" s="19" t="inlineStr">
        <is>
          <t>International Movies</t>
        </is>
      </c>
      <c r="C1774" s="19">
        <f>IFERROR(INDEX(tblNetflix[type],MATCH($A1774,tblNetflix[show_id],0)),"")</f>
        <v/>
      </c>
      <c r="D1774" s="19">
        <f>IFERROR(INDEX(tblNetflix[rating],MATCH($A1774,tblNetflix[show_id],0)),"")</f>
        <v/>
      </c>
      <c r="E1774" s="19">
        <f>IFERROR(INDEX(tblNetflix[year_added],MATCH($A1774,tblNetflix[show_id],0)),"")</f>
        <v/>
      </c>
      <c r="F1774" s="19">
        <f>IF(AND(OR(YearFilter="All",$E1774=YearFilter),OR(RatingFilter="All",$D1774=RatingFilter),OR(TypeFilter="All",$C1774=TypeFilter)),1,0)</f>
        <v/>
      </c>
    </row>
    <row r="1775" ht="15" customHeight="1" s="20">
      <c r="A1775" s="19" t="inlineStr">
        <is>
          <t>s5482</t>
        </is>
      </c>
      <c r="B1775" s="19" t="inlineStr">
        <is>
          <t>Sci-Fi &amp; Fantasy</t>
        </is>
      </c>
      <c r="C1775" s="19">
        <f>IFERROR(INDEX(tblNetflix[type],MATCH($A1775,tblNetflix[show_id],0)),"")</f>
        <v/>
      </c>
      <c r="D1775" s="19">
        <f>IFERROR(INDEX(tblNetflix[rating],MATCH($A1775,tblNetflix[show_id],0)),"")</f>
        <v/>
      </c>
      <c r="E1775" s="19">
        <f>IFERROR(INDEX(tblNetflix[year_added],MATCH($A1775,tblNetflix[show_id],0)),"")</f>
        <v/>
      </c>
      <c r="F1775" s="19">
        <f>IF(AND(OR(YearFilter="All",$E1775=YearFilter),OR(RatingFilter="All",$D1775=RatingFilter),OR(TypeFilter="All",$C1775=TypeFilter)),1,0)</f>
        <v/>
      </c>
    </row>
    <row r="1776" ht="15" customHeight="1" s="20">
      <c r="A1776" s="19" t="inlineStr">
        <is>
          <t>s5483</t>
        </is>
      </c>
      <c r="B1776" s="19" t="inlineStr">
        <is>
          <t>Comedies</t>
        </is>
      </c>
      <c r="C1776" s="19">
        <f>IFERROR(INDEX(tblNetflix[type],MATCH($A1776,tblNetflix[show_id],0)),"")</f>
        <v/>
      </c>
      <c r="D1776" s="19">
        <f>IFERROR(INDEX(tblNetflix[rating],MATCH($A1776,tblNetflix[show_id],0)),"")</f>
        <v/>
      </c>
      <c r="E1776" s="19">
        <f>IFERROR(INDEX(tblNetflix[year_added],MATCH($A1776,tblNetflix[show_id],0)),"")</f>
        <v/>
      </c>
      <c r="F1776" s="19">
        <f>IF(AND(OR(YearFilter="All",$E1776=YearFilter),OR(RatingFilter="All",$D1776=RatingFilter),OR(TypeFilter="All",$C1776=TypeFilter)),1,0)</f>
        <v/>
      </c>
    </row>
    <row r="1777" ht="15" customHeight="1" s="20">
      <c r="A1777" s="19" t="inlineStr">
        <is>
          <t>s5483</t>
        </is>
      </c>
      <c r="B1777" s="19" t="inlineStr">
        <is>
          <t>Dramas</t>
        </is>
      </c>
      <c r="C1777" s="19">
        <f>IFERROR(INDEX(tblNetflix[type],MATCH($A1777,tblNetflix[show_id],0)),"")</f>
        <v/>
      </c>
      <c r="D1777" s="19">
        <f>IFERROR(INDEX(tblNetflix[rating],MATCH($A1777,tblNetflix[show_id],0)),"")</f>
        <v/>
      </c>
      <c r="E1777" s="19">
        <f>IFERROR(INDEX(tblNetflix[year_added],MATCH($A1777,tblNetflix[show_id],0)),"")</f>
        <v/>
      </c>
      <c r="F1777" s="19">
        <f>IF(AND(OR(YearFilter="All",$E1777=YearFilter),OR(RatingFilter="All",$D1777=RatingFilter),OR(TypeFilter="All",$C1777=TypeFilter)),1,0)</f>
        <v/>
      </c>
    </row>
    <row r="1778" ht="15" customHeight="1" s="20">
      <c r="A1778" s="19" t="inlineStr">
        <is>
          <t>s5483</t>
        </is>
      </c>
      <c r="B1778" s="19" t="inlineStr">
        <is>
          <t>International Movies</t>
        </is>
      </c>
      <c r="C1778" s="19">
        <f>IFERROR(INDEX(tblNetflix[type],MATCH($A1778,tblNetflix[show_id],0)),"")</f>
        <v/>
      </c>
      <c r="D1778" s="19">
        <f>IFERROR(INDEX(tblNetflix[rating],MATCH($A1778,tblNetflix[show_id],0)),"")</f>
        <v/>
      </c>
      <c r="E1778" s="19">
        <f>IFERROR(INDEX(tblNetflix[year_added],MATCH($A1778,tblNetflix[show_id],0)),"")</f>
        <v/>
      </c>
      <c r="F1778" s="19">
        <f>IF(AND(OR(YearFilter="All",$E1778=YearFilter),OR(RatingFilter="All",$D1778=RatingFilter),OR(TypeFilter="All",$C1778=TypeFilter)),1,0)</f>
        <v/>
      </c>
    </row>
    <row r="1779" ht="15" customHeight="1" s="20">
      <c r="A1779" s="19" t="inlineStr">
        <is>
          <t>s5486</t>
        </is>
      </c>
      <c r="B1779" s="19" t="inlineStr">
        <is>
          <t>Dramas</t>
        </is>
      </c>
      <c r="C1779" s="19">
        <f>IFERROR(INDEX(tblNetflix[type],MATCH($A1779,tblNetflix[show_id],0)),"")</f>
        <v/>
      </c>
      <c r="D1779" s="19">
        <f>IFERROR(INDEX(tblNetflix[rating],MATCH($A1779,tblNetflix[show_id],0)),"")</f>
        <v/>
      </c>
      <c r="E1779" s="19">
        <f>IFERROR(INDEX(tblNetflix[year_added],MATCH($A1779,tblNetflix[show_id],0)),"")</f>
        <v/>
      </c>
      <c r="F1779" s="19">
        <f>IF(AND(OR(YearFilter="All",$E1779=YearFilter),OR(RatingFilter="All",$D1779=RatingFilter),OR(TypeFilter="All",$C1779=TypeFilter)),1,0)</f>
        <v/>
      </c>
    </row>
    <row r="1780" ht="15" customHeight="1" s="20">
      <c r="A1780" s="19" t="inlineStr">
        <is>
          <t>s5486</t>
        </is>
      </c>
      <c r="B1780" s="19" t="inlineStr">
        <is>
          <t>International Movies</t>
        </is>
      </c>
      <c r="C1780" s="19">
        <f>IFERROR(INDEX(tblNetflix[type],MATCH($A1780,tblNetflix[show_id],0)),"")</f>
        <v/>
      </c>
      <c r="D1780" s="19">
        <f>IFERROR(INDEX(tblNetflix[rating],MATCH($A1780,tblNetflix[show_id],0)),"")</f>
        <v/>
      </c>
      <c r="E1780" s="19">
        <f>IFERROR(INDEX(tblNetflix[year_added],MATCH($A1780,tblNetflix[show_id],0)),"")</f>
        <v/>
      </c>
      <c r="F1780" s="19">
        <f>IF(AND(OR(YearFilter="All",$E1780=YearFilter),OR(RatingFilter="All",$D1780=RatingFilter),OR(TypeFilter="All",$C1780=TypeFilter)),1,0)</f>
        <v/>
      </c>
    </row>
    <row r="1781" ht="15" customHeight="1" s="20">
      <c r="A1781" s="19" t="inlineStr">
        <is>
          <t>s5486</t>
        </is>
      </c>
      <c r="B1781" s="19" t="inlineStr">
        <is>
          <t>Music &amp; Musicals</t>
        </is>
      </c>
      <c r="C1781" s="19">
        <f>IFERROR(INDEX(tblNetflix[type],MATCH($A1781,tblNetflix[show_id],0)),"")</f>
        <v/>
      </c>
      <c r="D1781" s="19">
        <f>IFERROR(INDEX(tblNetflix[rating],MATCH($A1781,tblNetflix[show_id],0)),"")</f>
        <v/>
      </c>
      <c r="E1781" s="19">
        <f>IFERROR(INDEX(tblNetflix[year_added],MATCH($A1781,tblNetflix[show_id],0)),"")</f>
        <v/>
      </c>
      <c r="F1781" s="19">
        <f>IF(AND(OR(YearFilter="All",$E1781=YearFilter),OR(RatingFilter="All",$D1781=RatingFilter),OR(TypeFilter="All",$C1781=TypeFilter)),1,0)</f>
        <v/>
      </c>
    </row>
    <row r="1782" ht="15" customHeight="1" s="20">
      <c r="A1782" s="19" t="inlineStr">
        <is>
          <t>s5500</t>
        </is>
      </c>
      <c r="B1782" s="19" t="inlineStr">
        <is>
          <t>Dramas</t>
        </is>
      </c>
      <c r="C1782" s="19">
        <f>IFERROR(INDEX(tblNetflix[type],MATCH($A1782,tblNetflix[show_id],0)),"")</f>
        <v/>
      </c>
      <c r="D1782" s="19">
        <f>IFERROR(INDEX(tblNetflix[rating],MATCH($A1782,tblNetflix[show_id],0)),"")</f>
        <v/>
      </c>
      <c r="E1782" s="19">
        <f>IFERROR(INDEX(tblNetflix[year_added],MATCH($A1782,tblNetflix[show_id],0)),"")</f>
        <v/>
      </c>
      <c r="F1782" s="19">
        <f>IF(AND(OR(YearFilter="All",$E1782=YearFilter),OR(RatingFilter="All",$D1782=RatingFilter),OR(TypeFilter="All",$C1782=TypeFilter)),1,0)</f>
        <v/>
      </c>
    </row>
    <row r="1783" ht="15" customHeight="1" s="20">
      <c r="A1783" s="19" t="inlineStr">
        <is>
          <t>s5500</t>
        </is>
      </c>
      <c r="B1783" s="19" t="inlineStr">
        <is>
          <t>International Movies</t>
        </is>
      </c>
      <c r="C1783" s="19">
        <f>IFERROR(INDEX(tblNetflix[type],MATCH($A1783,tblNetflix[show_id],0)),"")</f>
        <v/>
      </c>
      <c r="D1783" s="19">
        <f>IFERROR(INDEX(tblNetflix[rating],MATCH($A1783,tblNetflix[show_id],0)),"")</f>
        <v/>
      </c>
      <c r="E1783" s="19">
        <f>IFERROR(INDEX(tblNetflix[year_added],MATCH($A1783,tblNetflix[show_id],0)),"")</f>
        <v/>
      </c>
      <c r="F1783" s="19">
        <f>IF(AND(OR(YearFilter="All",$E1783=YearFilter),OR(RatingFilter="All",$D1783=RatingFilter),OR(TypeFilter="All",$C1783=TypeFilter)),1,0)</f>
        <v/>
      </c>
    </row>
    <row r="1784" ht="15" customHeight="1" s="20">
      <c r="A1784" s="19" t="inlineStr">
        <is>
          <t>s5500</t>
        </is>
      </c>
      <c r="B1784" s="19" t="inlineStr">
        <is>
          <t>Romantic Movies</t>
        </is>
      </c>
      <c r="C1784" s="19">
        <f>IFERROR(INDEX(tblNetflix[type],MATCH($A1784,tblNetflix[show_id],0)),"")</f>
        <v/>
      </c>
      <c r="D1784" s="19">
        <f>IFERROR(INDEX(tblNetflix[rating],MATCH($A1784,tblNetflix[show_id],0)),"")</f>
        <v/>
      </c>
      <c r="E1784" s="19">
        <f>IFERROR(INDEX(tblNetflix[year_added],MATCH($A1784,tblNetflix[show_id],0)),"")</f>
        <v/>
      </c>
      <c r="F1784" s="19">
        <f>IF(AND(OR(YearFilter="All",$E1784=YearFilter),OR(RatingFilter="All",$D1784=RatingFilter),OR(TypeFilter="All",$C1784=TypeFilter)),1,0)</f>
        <v/>
      </c>
    </row>
    <row r="1785" ht="15" customHeight="1" s="20">
      <c r="A1785" s="19" t="inlineStr">
        <is>
          <t>s5501</t>
        </is>
      </c>
      <c r="B1785" s="19" t="inlineStr">
        <is>
          <t>Comedies</t>
        </is>
      </c>
      <c r="C1785" s="19">
        <f>IFERROR(INDEX(tblNetflix[type],MATCH($A1785,tblNetflix[show_id],0)),"")</f>
        <v/>
      </c>
      <c r="D1785" s="19">
        <f>IFERROR(INDEX(tblNetflix[rating],MATCH($A1785,tblNetflix[show_id],0)),"")</f>
        <v/>
      </c>
      <c r="E1785" s="19">
        <f>IFERROR(INDEX(tblNetflix[year_added],MATCH($A1785,tblNetflix[show_id],0)),"")</f>
        <v/>
      </c>
      <c r="F1785" s="19">
        <f>IF(AND(OR(YearFilter="All",$E1785=YearFilter),OR(RatingFilter="All",$D1785=RatingFilter),OR(TypeFilter="All",$C1785=TypeFilter)),1,0)</f>
        <v/>
      </c>
    </row>
    <row r="1786" ht="15" customHeight="1" s="20">
      <c r="A1786" s="19" t="inlineStr">
        <is>
          <t>s5501</t>
        </is>
      </c>
      <c r="B1786" s="19" t="inlineStr">
        <is>
          <t>Dramas</t>
        </is>
      </c>
      <c r="C1786" s="19">
        <f>IFERROR(INDEX(tblNetflix[type],MATCH($A1786,tblNetflix[show_id],0)),"")</f>
        <v/>
      </c>
      <c r="D1786" s="19">
        <f>IFERROR(INDEX(tblNetflix[rating],MATCH($A1786,tblNetflix[show_id],0)),"")</f>
        <v/>
      </c>
      <c r="E1786" s="19">
        <f>IFERROR(INDEX(tblNetflix[year_added],MATCH($A1786,tblNetflix[show_id],0)),"")</f>
        <v/>
      </c>
      <c r="F1786" s="19">
        <f>IF(AND(OR(YearFilter="All",$E1786=YearFilter),OR(RatingFilter="All",$D1786=RatingFilter),OR(TypeFilter="All",$C1786=TypeFilter)),1,0)</f>
        <v/>
      </c>
    </row>
    <row r="1787" ht="15" customHeight="1" s="20">
      <c r="A1787" s="19" t="inlineStr">
        <is>
          <t>s5501</t>
        </is>
      </c>
      <c r="B1787" s="19" t="inlineStr">
        <is>
          <t>International Movies</t>
        </is>
      </c>
      <c r="C1787" s="19">
        <f>IFERROR(INDEX(tblNetflix[type],MATCH($A1787,tblNetflix[show_id],0)),"")</f>
        <v/>
      </c>
      <c r="D1787" s="19">
        <f>IFERROR(INDEX(tblNetflix[rating],MATCH($A1787,tblNetflix[show_id],0)),"")</f>
        <v/>
      </c>
      <c r="E1787" s="19">
        <f>IFERROR(INDEX(tblNetflix[year_added],MATCH($A1787,tblNetflix[show_id],0)),"")</f>
        <v/>
      </c>
      <c r="F1787" s="19">
        <f>IF(AND(OR(YearFilter="All",$E1787=YearFilter),OR(RatingFilter="All",$D1787=RatingFilter),OR(TypeFilter="All",$C1787=TypeFilter)),1,0)</f>
        <v/>
      </c>
    </row>
    <row r="1788" ht="15" customHeight="1" s="20">
      <c r="A1788" s="19" t="inlineStr">
        <is>
          <t>s5506</t>
        </is>
      </c>
      <c r="B1788" s="19" t="inlineStr">
        <is>
          <t>Dramas</t>
        </is>
      </c>
      <c r="C1788" s="19">
        <f>IFERROR(INDEX(tblNetflix[type],MATCH($A1788,tblNetflix[show_id],0)),"")</f>
        <v/>
      </c>
      <c r="D1788" s="19">
        <f>IFERROR(INDEX(tblNetflix[rating],MATCH($A1788,tblNetflix[show_id],0)),"")</f>
        <v/>
      </c>
      <c r="E1788" s="19">
        <f>IFERROR(INDEX(tblNetflix[year_added],MATCH($A1788,tblNetflix[show_id],0)),"")</f>
        <v/>
      </c>
      <c r="F1788" s="19">
        <f>IF(AND(OR(YearFilter="All",$E1788=YearFilter),OR(RatingFilter="All",$D1788=RatingFilter),OR(TypeFilter="All",$C1788=TypeFilter)),1,0)</f>
        <v/>
      </c>
    </row>
    <row r="1789" ht="15" customHeight="1" s="20">
      <c r="A1789" s="19" t="inlineStr">
        <is>
          <t>s5506</t>
        </is>
      </c>
      <c r="B1789" s="19" t="inlineStr">
        <is>
          <t>Independent Movies</t>
        </is>
      </c>
      <c r="C1789" s="19">
        <f>IFERROR(INDEX(tblNetflix[type],MATCH($A1789,tblNetflix[show_id],0)),"")</f>
        <v/>
      </c>
      <c r="D1789" s="19">
        <f>IFERROR(INDEX(tblNetflix[rating],MATCH($A1789,tblNetflix[show_id],0)),"")</f>
        <v/>
      </c>
      <c r="E1789" s="19">
        <f>IFERROR(INDEX(tblNetflix[year_added],MATCH($A1789,tblNetflix[show_id],0)),"")</f>
        <v/>
      </c>
      <c r="F1789" s="19">
        <f>IF(AND(OR(YearFilter="All",$E1789=YearFilter),OR(RatingFilter="All",$D1789=RatingFilter),OR(TypeFilter="All",$C1789=TypeFilter)),1,0)</f>
        <v/>
      </c>
    </row>
    <row r="1790" ht="15" customHeight="1" s="20">
      <c r="A1790" s="19" t="inlineStr">
        <is>
          <t>s5506</t>
        </is>
      </c>
      <c r="B1790" s="19" t="inlineStr">
        <is>
          <t>International Movies</t>
        </is>
      </c>
      <c r="C1790" s="19">
        <f>IFERROR(INDEX(tblNetflix[type],MATCH($A1790,tblNetflix[show_id],0)),"")</f>
        <v/>
      </c>
      <c r="D1790" s="19">
        <f>IFERROR(INDEX(tblNetflix[rating],MATCH($A1790,tblNetflix[show_id],0)),"")</f>
        <v/>
      </c>
      <c r="E1790" s="19">
        <f>IFERROR(INDEX(tblNetflix[year_added],MATCH($A1790,tblNetflix[show_id],0)),"")</f>
        <v/>
      </c>
      <c r="F1790" s="19">
        <f>IF(AND(OR(YearFilter="All",$E1790=YearFilter),OR(RatingFilter="All",$D1790=RatingFilter),OR(TypeFilter="All",$C1790=TypeFilter)),1,0)</f>
        <v/>
      </c>
    </row>
    <row r="1791" ht="15" customHeight="1" s="20">
      <c r="A1791" s="19" t="inlineStr">
        <is>
          <t>s5516</t>
        </is>
      </c>
      <c r="B1791" s="19" t="inlineStr">
        <is>
          <t>Comedies</t>
        </is>
      </c>
      <c r="C1791" s="19">
        <f>IFERROR(INDEX(tblNetflix[type],MATCH($A1791,tblNetflix[show_id],0)),"")</f>
        <v/>
      </c>
      <c r="D1791" s="19">
        <f>IFERROR(INDEX(tblNetflix[rating],MATCH($A1791,tblNetflix[show_id],0)),"")</f>
        <v/>
      </c>
      <c r="E1791" s="19">
        <f>IFERROR(INDEX(tblNetflix[year_added],MATCH($A1791,tblNetflix[show_id],0)),"")</f>
        <v/>
      </c>
      <c r="F1791" s="19">
        <f>IF(AND(OR(YearFilter="All",$E1791=YearFilter),OR(RatingFilter="All",$D1791=RatingFilter),OR(TypeFilter="All",$C1791=TypeFilter)),1,0)</f>
        <v/>
      </c>
    </row>
    <row r="1792" ht="15" customHeight="1" s="20">
      <c r="A1792" s="19" t="inlineStr">
        <is>
          <t>s5516</t>
        </is>
      </c>
      <c r="B1792" s="19" t="inlineStr">
        <is>
          <t>Dramas</t>
        </is>
      </c>
      <c r="C1792" s="19">
        <f>IFERROR(INDEX(tblNetflix[type],MATCH($A1792,tblNetflix[show_id],0)),"")</f>
        <v/>
      </c>
      <c r="D1792" s="19">
        <f>IFERROR(INDEX(tblNetflix[rating],MATCH($A1792,tblNetflix[show_id],0)),"")</f>
        <v/>
      </c>
      <c r="E1792" s="19">
        <f>IFERROR(INDEX(tblNetflix[year_added],MATCH($A1792,tblNetflix[show_id],0)),"")</f>
        <v/>
      </c>
      <c r="F1792" s="19">
        <f>IF(AND(OR(YearFilter="All",$E1792=YearFilter),OR(RatingFilter="All",$D1792=RatingFilter),OR(TypeFilter="All",$C1792=TypeFilter)),1,0)</f>
        <v/>
      </c>
    </row>
    <row r="1793" ht="15" customHeight="1" s="20">
      <c r="A1793" s="19" t="inlineStr">
        <is>
          <t>s5516</t>
        </is>
      </c>
      <c r="B1793" s="19" t="inlineStr">
        <is>
          <t>International Movies</t>
        </is>
      </c>
      <c r="C1793" s="19">
        <f>IFERROR(INDEX(tblNetflix[type],MATCH($A1793,tblNetflix[show_id],0)),"")</f>
        <v/>
      </c>
      <c r="D1793" s="19">
        <f>IFERROR(INDEX(tblNetflix[rating],MATCH($A1793,tblNetflix[show_id],0)),"")</f>
        <v/>
      </c>
      <c r="E1793" s="19">
        <f>IFERROR(INDEX(tblNetflix[year_added],MATCH($A1793,tblNetflix[show_id],0)),"")</f>
        <v/>
      </c>
      <c r="F1793" s="19">
        <f>IF(AND(OR(YearFilter="All",$E1793=YearFilter),OR(RatingFilter="All",$D1793=RatingFilter),OR(TypeFilter="All",$C1793=TypeFilter)),1,0)</f>
        <v/>
      </c>
    </row>
    <row r="1794" ht="15" customHeight="1" s="20">
      <c r="A1794" s="19" t="inlineStr">
        <is>
          <t>s5546</t>
        </is>
      </c>
      <c r="B1794" s="19" t="inlineStr">
        <is>
          <t>Action &amp; Adventure</t>
        </is>
      </c>
      <c r="C1794" s="19">
        <f>IFERROR(INDEX(tblNetflix[type],MATCH($A1794,tblNetflix[show_id],0)),"")</f>
        <v/>
      </c>
      <c r="D1794" s="19">
        <f>IFERROR(INDEX(tblNetflix[rating],MATCH($A1794,tblNetflix[show_id],0)),"")</f>
        <v/>
      </c>
      <c r="E1794" s="19">
        <f>IFERROR(INDEX(tblNetflix[year_added],MATCH($A1794,tblNetflix[show_id],0)),"")</f>
        <v/>
      </c>
      <c r="F1794" s="19">
        <f>IF(AND(OR(YearFilter="All",$E1794=YearFilter),OR(RatingFilter="All",$D1794=RatingFilter),OR(TypeFilter="All",$C1794=TypeFilter)),1,0)</f>
        <v/>
      </c>
    </row>
    <row r="1795" ht="15" customHeight="1" s="20">
      <c r="A1795" s="19" t="inlineStr">
        <is>
          <t>s5546</t>
        </is>
      </c>
      <c r="B1795" s="19" t="inlineStr">
        <is>
          <t>Cult Movies</t>
        </is>
      </c>
      <c r="C1795" s="19">
        <f>IFERROR(INDEX(tblNetflix[type],MATCH($A1795,tblNetflix[show_id],0)),"")</f>
        <v/>
      </c>
      <c r="D1795" s="19">
        <f>IFERROR(INDEX(tblNetflix[rating],MATCH($A1795,tblNetflix[show_id],0)),"")</f>
        <v/>
      </c>
      <c r="E1795" s="19">
        <f>IFERROR(INDEX(tblNetflix[year_added],MATCH($A1795,tblNetflix[show_id],0)),"")</f>
        <v/>
      </c>
      <c r="F1795" s="19">
        <f>IF(AND(OR(YearFilter="All",$E1795=YearFilter),OR(RatingFilter="All",$D1795=RatingFilter),OR(TypeFilter="All",$C1795=TypeFilter)),1,0)</f>
        <v/>
      </c>
    </row>
    <row r="1796" ht="15" customHeight="1" s="20">
      <c r="A1796" s="19" t="inlineStr">
        <is>
          <t>s5546</t>
        </is>
      </c>
      <c r="B1796" s="19" t="inlineStr">
        <is>
          <t>International Movies</t>
        </is>
      </c>
      <c r="C1796" s="19">
        <f>IFERROR(INDEX(tblNetflix[type],MATCH($A1796,tblNetflix[show_id],0)),"")</f>
        <v/>
      </c>
      <c r="D1796" s="19">
        <f>IFERROR(INDEX(tblNetflix[rating],MATCH($A1796,tblNetflix[show_id],0)),"")</f>
        <v/>
      </c>
      <c r="E1796" s="19">
        <f>IFERROR(INDEX(tblNetflix[year_added],MATCH($A1796,tblNetflix[show_id],0)),"")</f>
        <v/>
      </c>
      <c r="F1796" s="19">
        <f>IF(AND(OR(YearFilter="All",$E1796=YearFilter),OR(RatingFilter="All",$D1796=RatingFilter),OR(TypeFilter="All",$C1796=TypeFilter)),1,0)</f>
        <v/>
      </c>
    </row>
    <row r="1797" ht="15" customHeight="1" s="20">
      <c r="A1797" s="19" t="inlineStr">
        <is>
          <t>s5548</t>
        </is>
      </c>
      <c r="B1797" s="19" t="inlineStr">
        <is>
          <t>Dramas</t>
        </is>
      </c>
      <c r="C1797" s="19">
        <f>IFERROR(INDEX(tblNetflix[type],MATCH($A1797,tblNetflix[show_id],0)),"")</f>
        <v/>
      </c>
      <c r="D1797" s="19">
        <f>IFERROR(INDEX(tblNetflix[rating],MATCH($A1797,tblNetflix[show_id],0)),"")</f>
        <v/>
      </c>
      <c r="E1797" s="19">
        <f>IFERROR(INDEX(tblNetflix[year_added],MATCH($A1797,tblNetflix[show_id],0)),"")</f>
        <v/>
      </c>
      <c r="F1797" s="19">
        <f>IF(AND(OR(YearFilter="All",$E1797=YearFilter),OR(RatingFilter="All",$D1797=RatingFilter),OR(TypeFilter="All",$C1797=TypeFilter)),1,0)</f>
        <v/>
      </c>
    </row>
    <row r="1798" ht="15" customHeight="1" s="20">
      <c r="A1798" s="19" t="inlineStr">
        <is>
          <t>s5548</t>
        </is>
      </c>
      <c r="B1798" s="19" t="inlineStr">
        <is>
          <t>International Movies</t>
        </is>
      </c>
      <c r="C1798" s="19">
        <f>IFERROR(INDEX(tblNetflix[type],MATCH($A1798,tblNetflix[show_id],0)),"")</f>
        <v/>
      </c>
      <c r="D1798" s="19">
        <f>IFERROR(INDEX(tblNetflix[rating],MATCH($A1798,tblNetflix[show_id],0)),"")</f>
        <v/>
      </c>
      <c r="E1798" s="19">
        <f>IFERROR(INDEX(tblNetflix[year_added],MATCH($A1798,tblNetflix[show_id],0)),"")</f>
        <v/>
      </c>
      <c r="F1798" s="19">
        <f>IF(AND(OR(YearFilter="All",$E1798=YearFilter),OR(RatingFilter="All",$D1798=RatingFilter),OR(TypeFilter="All",$C1798=TypeFilter)),1,0)</f>
        <v/>
      </c>
    </row>
    <row r="1799" ht="15" customHeight="1" s="20">
      <c r="A1799" s="19" t="inlineStr">
        <is>
          <t>s5550</t>
        </is>
      </c>
      <c r="B1799" s="19" t="inlineStr">
        <is>
          <t>Action &amp; Adventure</t>
        </is>
      </c>
      <c r="C1799" s="19">
        <f>IFERROR(INDEX(tblNetflix[type],MATCH($A1799,tblNetflix[show_id],0)),"")</f>
        <v/>
      </c>
      <c r="D1799" s="19">
        <f>IFERROR(INDEX(tblNetflix[rating],MATCH($A1799,tblNetflix[show_id],0)),"")</f>
        <v/>
      </c>
      <c r="E1799" s="19">
        <f>IFERROR(INDEX(tblNetflix[year_added],MATCH($A1799,tblNetflix[show_id],0)),"")</f>
        <v/>
      </c>
      <c r="F1799" s="19">
        <f>IF(AND(OR(YearFilter="All",$E1799=YearFilter),OR(RatingFilter="All",$D1799=RatingFilter),OR(TypeFilter="All",$C1799=TypeFilter)),1,0)</f>
        <v/>
      </c>
    </row>
    <row r="1800" ht="15" customHeight="1" s="20">
      <c r="A1800" s="19" t="inlineStr">
        <is>
          <t>s5550</t>
        </is>
      </c>
      <c r="B1800" s="19" t="inlineStr">
        <is>
          <t>International Movies</t>
        </is>
      </c>
      <c r="C1800" s="19">
        <f>IFERROR(INDEX(tblNetflix[type],MATCH($A1800,tblNetflix[show_id],0)),"")</f>
        <v/>
      </c>
      <c r="D1800" s="19">
        <f>IFERROR(INDEX(tblNetflix[rating],MATCH($A1800,tblNetflix[show_id],0)),"")</f>
        <v/>
      </c>
      <c r="E1800" s="19">
        <f>IFERROR(INDEX(tblNetflix[year_added],MATCH($A1800,tblNetflix[show_id],0)),"")</f>
        <v/>
      </c>
      <c r="F1800" s="19">
        <f>IF(AND(OR(YearFilter="All",$E1800=YearFilter),OR(RatingFilter="All",$D1800=RatingFilter),OR(TypeFilter="All",$C1800=TypeFilter)),1,0)</f>
        <v/>
      </c>
    </row>
    <row r="1801" ht="15" customHeight="1" s="20">
      <c r="A1801" s="19" t="inlineStr">
        <is>
          <t>s5550</t>
        </is>
      </c>
      <c r="B1801" s="19" t="inlineStr">
        <is>
          <t>Music &amp; Musicals</t>
        </is>
      </c>
      <c r="C1801" s="19">
        <f>IFERROR(INDEX(tblNetflix[type],MATCH($A1801,tblNetflix[show_id],0)),"")</f>
        <v/>
      </c>
      <c r="D1801" s="19">
        <f>IFERROR(INDEX(tblNetflix[rating],MATCH($A1801,tblNetflix[show_id],0)),"")</f>
        <v/>
      </c>
      <c r="E1801" s="19">
        <f>IFERROR(INDEX(tblNetflix[year_added],MATCH($A1801,tblNetflix[show_id],0)),"")</f>
        <v/>
      </c>
      <c r="F1801" s="19">
        <f>IF(AND(OR(YearFilter="All",$E1801=YearFilter),OR(RatingFilter="All",$D1801=RatingFilter),OR(TypeFilter="All",$C1801=TypeFilter)),1,0)</f>
        <v/>
      </c>
    </row>
    <row r="1802" ht="15" customHeight="1" s="20">
      <c r="A1802" s="19" t="inlineStr">
        <is>
          <t>s5572</t>
        </is>
      </c>
      <c r="B1802" s="19" t="inlineStr">
        <is>
          <t>Action &amp; Adventure</t>
        </is>
      </c>
      <c r="C1802" s="19">
        <f>IFERROR(INDEX(tblNetflix[type],MATCH($A1802,tblNetflix[show_id],0)),"")</f>
        <v/>
      </c>
      <c r="D1802" s="19">
        <f>IFERROR(INDEX(tblNetflix[rating],MATCH($A1802,tblNetflix[show_id],0)),"")</f>
        <v/>
      </c>
      <c r="E1802" s="19">
        <f>IFERROR(INDEX(tblNetflix[year_added],MATCH($A1802,tblNetflix[show_id],0)),"")</f>
        <v/>
      </c>
      <c r="F1802" s="19">
        <f>IF(AND(OR(YearFilter="All",$E1802=YearFilter),OR(RatingFilter="All",$D1802=RatingFilter),OR(TypeFilter="All",$C1802=TypeFilter)),1,0)</f>
        <v/>
      </c>
    </row>
    <row r="1803" ht="15" customHeight="1" s="20">
      <c r="A1803" s="19" t="inlineStr">
        <is>
          <t>s5572</t>
        </is>
      </c>
      <c r="B1803" s="19" t="inlineStr">
        <is>
          <t>Dramas</t>
        </is>
      </c>
      <c r="C1803" s="19">
        <f>IFERROR(INDEX(tblNetflix[type],MATCH($A1803,tblNetflix[show_id],0)),"")</f>
        <v/>
      </c>
      <c r="D1803" s="19">
        <f>IFERROR(INDEX(tblNetflix[rating],MATCH($A1803,tblNetflix[show_id],0)),"")</f>
        <v/>
      </c>
      <c r="E1803" s="19">
        <f>IFERROR(INDEX(tblNetflix[year_added],MATCH($A1803,tblNetflix[show_id],0)),"")</f>
        <v/>
      </c>
      <c r="F1803" s="19">
        <f>IF(AND(OR(YearFilter="All",$E1803=YearFilter),OR(RatingFilter="All",$D1803=RatingFilter),OR(TypeFilter="All",$C1803=TypeFilter)),1,0)</f>
        <v/>
      </c>
    </row>
    <row r="1804" ht="15" customHeight="1" s="20">
      <c r="A1804" s="19" t="inlineStr">
        <is>
          <t>s5572</t>
        </is>
      </c>
      <c r="B1804" s="19" t="inlineStr">
        <is>
          <t>International Movies</t>
        </is>
      </c>
      <c r="C1804" s="19">
        <f>IFERROR(INDEX(tblNetflix[type],MATCH($A1804,tblNetflix[show_id],0)),"")</f>
        <v/>
      </c>
      <c r="D1804" s="19">
        <f>IFERROR(INDEX(tblNetflix[rating],MATCH($A1804,tblNetflix[show_id],0)),"")</f>
        <v/>
      </c>
      <c r="E1804" s="19">
        <f>IFERROR(INDEX(tblNetflix[year_added],MATCH($A1804,tblNetflix[show_id],0)),"")</f>
        <v/>
      </c>
      <c r="F1804" s="19">
        <f>IF(AND(OR(YearFilter="All",$E1804=YearFilter),OR(RatingFilter="All",$D1804=RatingFilter),OR(TypeFilter="All",$C1804=TypeFilter)),1,0)</f>
        <v/>
      </c>
    </row>
    <row r="1805" ht="15" customHeight="1" s="20">
      <c r="A1805" s="19" t="inlineStr">
        <is>
          <t>s5575</t>
        </is>
      </c>
      <c r="B1805" s="19" t="inlineStr">
        <is>
          <t>Action &amp; Adventure</t>
        </is>
      </c>
      <c r="C1805" s="19">
        <f>IFERROR(INDEX(tblNetflix[type],MATCH($A1805,tblNetflix[show_id],0)),"")</f>
        <v/>
      </c>
      <c r="D1805" s="19">
        <f>IFERROR(INDEX(tblNetflix[rating],MATCH($A1805,tblNetflix[show_id],0)),"")</f>
        <v/>
      </c>
      <c r="E1805" s="19">
        <f>IFERROR(INDEX(tblNetflix[year_added],MATCH($A1805,tblNetflix[show_id],0)),"")</f>
        <v/>
      </c>
      <c r="F1805" s="19">
        <f>IF(AND(OR(YearFilter="All",$E1805=YearFilter),OR(RatingFilter="All",$D1805=RatingFilter),OR(TypeFilter="All",$C1805=TypeFilter)),1,0)</f>
        <v/>
      </c>
    </row>
    <row r="1806" ht="15" customHeight="1" s="20">
      <c r="A1806" s="19" t="inlineStr">
        <is>
          <t>s5575</t>
        </is>
      </c>
      <c r="B1806" s="19" t="inlineStr">
        <is>
          <t>Comedies</t>
        </is>
      </c>
      <c r="C1806" s="19">
        <f>IFERROR(INDEX(tblNetflix[type],MATCH($A1806,tblNetflix[show_id],0)),"")</f>
        <v/>
      </c>
      <c r="D1806" s="19">
        <f>IFERROR(INDEX(tblNetflix[rating],MATCH($A1806,tblNetflix[show_id],0)),"")</f>
        <v/>
      </c>
      <c r="E1806" s="19">
        <f>IFERROR(INDEX(tblNetflix[year_added],MATCH($A1806,tblNetflix[show_id],0)),"")</f>
        <v/>
      </c>
      <c r="F1806" s="19">
        <f>IF(AND(OR(YearFilter="All",$E1806=YearFilter),OR(RatingFilter="All",$D1806=RatingFilter),OR(TypeFilter="All",$C1806=TypeFilter)),1,0)</f>
        <v/>
      </c>
    </row>
    <row r="1807" ht="15" customHeight="1" s="20">
      <c r="A1807" s="19" t="inlineStr">
        <is>
          <t>s5575</t>
        </is>
      </c>
      <c r="B1807" s="19" t="inlineStr">
        <is>
          <t>Dramas</t>
        </is>
      </c>
      <c r="C1807" s="19">
        <f>IFERROR(INDEX(tblNetflix[type],MATCH($A1807,tblNetflix[show_id],0)),"")</f>
        <v/>
      </c>
      <c r="D1807" s="19">
        <f>IFERROR(INDEX(tblNetflix[rating],MATCH($A1807,tblNetflix[show_id],0)),"")</f>
        <v/>
      </c>
      <c r="E1807" s="19">
        <f>IFERROR(INDEX(tblNetflix[year_added],MATCH($A1807,tblNetflix[show_id],0)),"")</f>
        <v/>
      </c>
      <c r="F1807" s="19">
        <f>IF(AND(OR(YearFilter="All",$E1807=YearFilter),OR(RatingFilter="All",$D1807=RatingFilter),OR(TypeFilter="All",$C1807=TypeFilter)),1,0)</f>
        <v/>
      </c>
    </row>
    <row r="1808" ht="15" customHeight="1" s="20">
      <c r="A1808" s="19" t="inlineStr">
        <is>
          <t>s5585</t>
        </is>
      </c>
      <c r="B1808" s="19" t="inlineStr">
        <is>
          <t>Dramas</t>
        </is>
      </c>
      <c r="C1808" s="19">
        <f>IFERROR(INDEX(tblNetflix[type],MATCH($A1808,tblNetflix[show_id],0)),"")</f>
        <v/>
      </c>
      <c r="D1808" s="19">
        <f>IFERROR(INDEX(tblNetflix[rating],MATCH($A1808,tblNetflix[show_id],0)),"")</f>
        <v/>
      </c>
      <c r="E1808" s="19">
        <f>IFERROR(INDEX(tblNetflix[year_added],MATCH($A1808,tblNetflix[show_id],0)),"")</f>
        <v/>
      </c>
      <c r="F1808" s="19">
        <f>IF(AND(OR(YearFilter="All",$E1808=YearFilter),OR(RatingFilter="All",$D1808=RatingFilter),OR(TypeFilter="All",$C1808=TypeFilter)),1,0)</f>
        <v/>
      </c>
    </row>
    <row r="1809" ht="15" customHeight="1" s="20">
      <c r="A1809" s="19" t="inlineStr">
        <is>
          <t>s5585</t>
        </is>
      </c>
      <c r="B1809" s="19" t="inlineStr">
        <is>
          <t>International Movies</t>
        </is>
      </c>
      <c r="C1809" s="19">
        <f>IFERROR(INDEX(tblNetflix[type],MATCH($A1809,tblNetflix[show_id],0)),"")</f>
        <v/>
      </c>
      <c r="D1809" s="19">
        <f>IFERROR(INDEX(tblNetflix[rating],MATCH($A1809,tblNetflix[show_id],0)),"")</f>
        <v/>
      </c>
      <c r="E1809" s="19">
        <f>IFERROR(INDEX(tblNetflix[year_added],MATCH($A1809,tblNetflix[show_id],0)),"")</f>
        <v/>
      </c>
      <c r="F1809" s="19">
        <f>IF(AND(OR(YearFilter="All",$E1809=YearFilter),OR(RatingFilter="All",$D1809=RatingFilter),OR(TypeFilter="All",$C1809=TypeFilter)),1,0)</f>
        <v/>
      </c>
    </row>
    <row r="1810" ht="15" customHeight="1" s="20">
      <c r="A1810" s="19" t="inlineStr">
        <is>
          <t>s5585</t>
        </is>
      </c>
      <c r="B1810" s="19" t="inlineStr">
        <is>
          <t>Romantic Movies</t>
        </is>
      </c>
      <c r="C1810" s="19">
        <f>IFERROR(INDEX(tblNetflix[type],MATCH($A1810,tblNetflix[show_id],0)),"")</f>
        <v/>
      </c>
      <c r="D1810" s="19">
        <f>IFERROR(INDEX(tblNetflix[rating],MATCH($A1810,tblNetflix[show_id],0)),"")</f>
        <v/>
      </c>
      <c r="E1810" s="19">
        <f>IFERROR(INDEX(tblNetflix[year_added],MATCH($A1810,tblNetflix[show_id],0)),"")</f>
        <v/>
      </c>
      <c r="F1810" s="19">
        <f>IF(AND(OR(YearFilter="All",$E1810=YearFilter),OR(RatingFilter="All",$D1810=RatingFilter),OR(TypeFilter="All",$C1810=TypeFilter)),1,0)</f>
        <v/>
      </c>
    </row>
    <row r="1811" ht="15" customHeight="1" s="20">
      <c r="A1811" s="19" t="inlineStr">
        <is>
          <t>s5588</t>
        </is>
      </c>
      <c r="B1811" s="19" t="inlineStr">
        <is>
          <t>Action &amp; Adventure</t>
        </is>
      </c>
      <c r="C1811" s="19">
        <f>IFERROR(INDEX(tblNetflix[type],MATCH($A1811,tblNetflix[show_id],0)),"")</f>
        <v/>
      </c>
      <c r="D1811" s="19">
        <f>IFERROR(INDEX(tblNetflix[rating],MATCH($A1811,tblNetflix[show_id],0)),"")</f>
        <v/>
      </c>
      <c r="E1811" s="19">
        <f>IFERROR(INDEX(tblNetflix[year_added],MATCH($A1811,tblNetflix[show_id],0)),"")</f>
        <v/>
      </c>
      <c r="F1811" s="19">
        <f>IF(AND(OR(YearFilter="All",$E1811=YearFilter),OR(RatingFilter="All",$D1811=RatingFilter),OR(TypeFilter="All",$C1811=TypeFilter)),1,0)</f>
        <v/>
      </c>
    </row>
    <row r="1812" ht="15" customHeight="1" s="20">
      <c r="A1812" s="19" t="inlineStr">
        <is>
          <t>s5588</t>
        </is>
      </c>
      <c r="B1812" s="19" t="inlineStr">
        <is>
          <t>International Movies</t>
        </is>
      </c>
      <c r="C1812" s="19">
        <f>IFERROR(INDEX(tblNetflix[type],MATCH($A1812,tblNetflix[show_id],0)),"")</f>
        <v/>
      </c>
      <c r="D1812" s="19">
        <f>IFERROR(INDEX(tblNetflix[rating],MATCH($A1812,tblNetflix[show_id],0)),"")</f>
        <v/>
      </c>
      <c r="E1812" s="19">
        <f>IFERROR(INDEX(tblNetflix[year_added],MATCH($A1812,tblNetflix[show_id],0)),"")</f>
        <v/>
      </c>
      <c r="F1812" s="19">
        <f>IF(AND(OR(YearFilter="All",$E1812=YearFilter),OR(RatingFilter="All",$D1812=RatingFilter),OR(TypeFilter="All",$C1812=TypeFilter)),1,0)</f>
        <v/>
      </c>
    </row>
    <row r="1813" ht="15" customHeight="1" s="20">
      <c r="A1813" s="19" t="inlineStr">
        <is>
          <t>s5600</t>
        </is>
      </c>
      <c r="B1813" s="19" t="inlineStr">
        <is>
          <t>Action &amp; Adventure</t>
        </is>
      </c>
      <c r="C1813" s="19">
        <f>IFERROR(INDEX(tblNetflix[type],MATCH($A1813,tblNetflix[show_id],0)),"")</f>
        <v/>
      </c>
      <c r="D1813" s="19">
        <f>IFERROR(INDEX(tblNetflix[rating],MATCH($A1813,tblNetflix[show_id],0)),"")</f>
        <v/>
      </c>
      <c r="E1813" s="19">
        <f>IFERROR(INDEX(tblNetflix[year_added],MATCH($A1813,tblNetflix[show_id],0)),"")</f>
        <v/>
      </c>
      <c r="F1813" s="19">
        <f>IF(AND(OR(YearFilter="All",$E1813=YearFilter),OR(RatingFilter="All",$D1813=RatingFilter),OR(TypeFilter="All",$C1813=TypeFilter)),1,0)</f>
        <v/>
      </c>
    </row>
    <row r="1814" ht="15" customHeight="1" s="20">
      <c r="A1814" s="19" t="inlineStr">
        <is>
          <t>s5600</t>
        </is>
      </c>
      <c r="B1814" s="19" t="inlineStr">
        <is>
          <t>International Movies</t>
        </is>
      </c>
      <c r="C1814" s="19">
        <f>IFERROR(INDEX(tblNetflix[type],MATCH($A1814,tblNetflix[show_id],0)),"")</f>
        <v/>
      </c>
      <c r="D1814" s="19">
        <f>IFERROR(INDEX(tblNetflix[rating],MATCH($A1814,tblNetflix[show_id],0)),"")</f>
        <v/>
      </c>
      <c r="E1814" s="19">
        <f>IFERROR(INDEX(tblNetflix[year_added],MATCH($A1814,tblNetflix[show_id],0)),"")</f>
        <v/>
      </c>
      <c r="F1814" s="19">
        <f>IF(AND(OR(YearFilter="All",$E1814=YearFilter),OR(RatingFilter="All",$D1814=RatingFilter),OR(TypeFilter="All",$C1814=TypeFilter)),1,0)</f>
        <v/>
      </c>
    </row>
    <row r="1815" ht="15" customHeight="1" s="20">
      <c r="A1815" s="19" t="inlineStr">
        <is>
          <t>s5617</t>
        </is>
      </c>
      <c r="B1815" s="19" t="inlineStr">
        <is>
          <t>Action &amp; Adventure</t>
        </is>
      </c>
      <c r="C1815" s="19">
        <f>IFERROR(INDEX(tblNetflix[type],MATCH($A1815,tblNetflix[show_id],0)),"")</f>
        <v/>
      </c>
      <c r="D1815" s="19">
        <f>IFERROR(INDEX(tblNetflix[rating],MATCH($A1815,tblNetflix[show_id],0)),"")</f>
        <v/>
      </c>
      <c r="E1815" s="19">
        <f>IFERROR(INDEX(tblNetflix[year_added],MATCH($A1815,tblNetflix[show_id],0)),"")</f>
        <v/>
      </c>
      <c r="F1815" s="19">
        <f>IF(AND(OR(YearFilter="All",$E1815=YearFilter),OR(RatingFilter="All",$D1815=RatingFilter),OR(TypeFilter="All",$C1815=TypeFilter)),1,0)</f>
        <v/>
      </c>
    </row>
    <row r="1816" ht="15" customHeight="1" s="20">
      <c r="A1816" s="19" t="inlineStr">
        <is>
          <t>s5617</t>
        </is>
      </c>
      <c r="B1816" s="19" t="inlineStr">
        <is>
          <t>Dramas</t>
        </is>
      </c>
      <c r="C1816" s="19">
        <f>IFERROR(INDEX(tblNetflix[type],MATCH($A1816,tblNetflix[show_id],0)),"")</f>
        <v/>
      </c>
      <c r="D1816" s="19">
        <f>IFERROR(INDEX(tblNetflix[rating],MATCH($A1816,tblNetflix[show_id],0)),"")</f>
        <v/>
      </c>
      <c r="E1816" s="19">
        <f>IFERROR(INDEX(tblNetflix[year_added],MATCH($A1816,tblNetflix[show_id],0)),"")</f>
        <v/>
      </c>
      <c r="F1816" s="19">
        <f>IF(AND(OR(YearFilter="All",$E1816=YearFilter),OR(RatingFilter="All",$D1816=RatingFilter),OR(TypeFilter="All",$C1816=TypeFilter)),1,0)</f>
        <v/>
      </c>
    </row>
    <row r="1817" ht="15" customHeight="1" s="20">
      <c r="A1817" s="19" t="inlineStr">
        <is>
          <t>s5617</t>
        </is>
      </c>
      <c r="B1817" s="19" t="inlineStr">
        <is>
          <t>International Movies</t>
        </is>
      </c>
      <c r="C1817" s="19">
        <f>IFERROR(INDEX(tblNetflix[type],MATCH($A1817,tblNetflix[show_id],0)),"")</f>
        <v/>
      </c>
      <c r="D1817" s="19">
        <f>IFERROR(INDEX(tblNetflix[rating],MATCH($A1817,tblNetflix[show_id],0)),"")</f>
        <v/>
      </c>
      <c r="E1817" s="19">
        <f>IFERROR(INDEX(tblNetflix[year_added],MATCH($A1817,tblNetflix[show_id],0)),"")</f>
        <v/>
      </c>
      <c r="F1817" s="19">
        <f>IF(AND(OR(YearFilter="All",$E1817=YearFilter),OR(RatingFilter="All",$D1817=RatingFilter),OR(TypeFilter="All",$C1817=TypeFilter)),1,0)</f>
        <v/>
      </c>
    </row>
    <row r="1818" ht="15" customHeight="1" s="20">
      <c r="A1818" s="19" t="inlineStr">
        <is>
          <t>s5618</t>
        </is>
      </c>
      <c r="B1818" s="19" t="inlineStr">
        <is>
          <t>Action &amp; Adventure</t>
        </is>
      </c>
      <c r="C1818" s="19">
        <f>IFERROR(INDEX(tblNetflix[type],MATCH($A1818,tblNetflix[show_id],0)),"")</f>
        <v/>
      </c>
      <c r="D1818" s="19">
        <f>IFERROR(INDEX(tblNetflix[rating],MATCH($A1818,tblNetflix[show_id],0)),"")</f>
        <v/>
      </c>
      <c r="E1818" s="19">
        <f>IFERROR(INDEX(tblNetflix[year_added],MATCH($A1818,tblNetflix[show_id],0)),"")</f>
        <v/>
      </c>
      <c r="F1818" s="19">
        <f>IF(AND(OR(YearFilter="All",$E1818=YearFilter),OR(RatingFilter="All",$D1818=RatingFilter),OR(TypeFilter="All",$C1818=TypeFilter)),1,0)</f>
        <v/>
      </c>
    </row>
    <row r="1819" ht="15" customHeight="1" s="20">
      <c r="A1819" s="19" t="inlineStr">
        <is>
          <t>s5618</t>
        </is>
      </c>
      <c r="B1819" s="19" t="inlineStr">
        <is>
          <t>Comedies</t>
        </is>
      </c>
      <c r="C1819" s="19">
        <f>IFERROR(INDEX(tblNetflix[type],MATCH($A1819,tblNetflix[show_id],0)),"")</f>
        <v/>
      </c>
      <c r="D1819" s="19">
        <f>IFERROR(INDEX(tblNetflix[rating],MATCH($A1819,tblNetflix[show_id],0)),"")</f>
        <v/>
      </c>
      <c r="E1819" s="19">
        <f>IFERROR(INDEX(tblNetflix[year_added],MATCH($A1819,tblNetflix[show_id],0)),"")</f>
        <v/>
      </c>
      <c r="F1819" s="19">
        <f>IF(AND(OR(YearFilter="All",$E1819=YearFilter),OR(RatingFilter="All",$D1819=RatingFilter),OR(TypeFilter="All",$C1819=TypeFilter)),1,0)</f>
        <v/>
      </c>
    </row>
    <row r="1820" ht="15" customHeight="1" s="20">
      <c r="A1820" s="19" t="inlineStr">
        <is>
          <t>s5618</t>
        </is>
      </c>
      <c r="B1820" s="19" t="inlineStr">
        <is>
          <t>Dramas</t>
        </is>
      </c>
      <c r="C1820" s="19">
        <f>IFERROR(INDEX(tblNetflix[type],MATCH($A1820,tblNetflix[show_id],0)),"")</f>
        <v/>
      </c>
      <c r="D1820" s="19">
        <f>IFERROR(INDEX(tblNetflix[rating],MATCH($A1820,tblNetflix[show_id],0)),"")</f>
        <v/>
      </c>
      <c r="E1820" s="19">
        <f>IFERROR(INDEX(tblNetflix[year_added],MATCH($A1820,tblNetflix[show_id],0)),"")</f>
        <v/>
      </c>
      <c r="F1820" s="19">
        <f>IF(AND(OR(YearFilter="All",$E1820=YearFilter),OR(RatingFilter="All",$D1820=RatingFilter),OR(TypeFilter="All",$C1820=TypeFilter)),1,0)</f>
        <v/>
      </c>
    </row>
    <row r="1821" ht="15" customHeight="1" s="20">
      <c r="A1821" s="19" t="inlineStr">
        <is>
          <t>s5619</t>
        </is>
      </c>
      <c r="B1821" s="19" t="inlineStr">
        <is>
          <t>Dramas</t>
        </is>
      </c>
      <c r="C1821" s="19">
        <f>IFERROR(INDEX(tblNetflix[type],MATCH($A1821,tblNetflix[show_id],0)),"")</f>
        <v/>
      </c>
      <c r="D1821" s="19">
        <f>IFERROR(INDEX(tblNetflix[rating],MATCH($A1821,tblNetflix[show_id],0)),"")</f>
        <v/>
      </c>
      <c r="E1821" s="19">
        <f>IFERROR(INDEX(tblNetflix[year_added],MATCH($A1821,tblNetflix[show_id],0)),"")</f>
        <v/>
      </c>
      <c r="F1821" s="19">
        <f>IF(AND(OR(YearFilter="All",$E1821=YearFilter),OR(RatingFilter="All",$D1821=RatingFilter),OR(TypeFilter="All",$C1821=TypeFilter)),1,0)</f>
        <v/>
      </c>
    </row>
    <row r="1822" ht="15" customHeight="1" s="20">
      <c r="A1822" s="19" t="inlineStr">
        <is>
          <t>s5619</t>
        </is>
      </c>
      <c r="B1822" s="19" t="inlineStr">
        <is>
          <t>Independent Movies</t>
        </is>
      </c>
      <c r="C1822" s="19">
        <f>IFERROR(INDEX(tblNetflix[type],MATCH($A1822,tblNetflix[show_id],0)),"")</f>
        <v/>
      </c>
      <c r="D1822" s="19">
        <f>IFERROR(INDEX(tblNetflix[rating],MATCH($A1822,tblNetflix[show_id],0)),"")</f>
        <v/>
      </c>
      <c r="E1822" s="19">
        <f>IFERROR(INDEX(tblNetflix[year_added],MATCH($A1822,tblNetflix[show_id],0)),"")</f>
        <v/>
      </c>
      <c r="F1822" s="19">
        <f>IF(AND(OR(YearFilter="All",$E1822=YearFilter),OR(RatingFilter="All",$D1822=RatingFilter),OR(TypeFilter="All",$C1822=TypeFilter)),1,0)</f>
        <v/>
      </c>
    </row>
    <row r="1823" ht="15" customHeight="1" s="20">
      <c r="A1823" s="19" t="inlineStr">
        <is>
          <t>s5619</t>
        </is>
      </c>
      <c r="B1823" s="19" t="inlineStr">
        <is>
          <t>International Movies</t>
        </is>
      </c>
      <c r="C1823" s="19">
        <f>IFERROR(INDEX(tblNetflix[type],MATCH($A1823,tblNetflix[show_id],0)),"")</f>
        <v/>
      </c>
      <c r="D1823" s="19">
        <f>IFERROR(INDEX(tblNetflix[rating],MATCH($A1823,tblNetflix[show_id],0)),"")</f>
        <v/>
      </c>
      <c r="E1823" s="19">
        <f>IFERROR(INDEX(tblNetflix[year_added],MATCH($A1823,tblNetflix[show_id],0)),"")</f>
        <v/>
      </c>
      <c r="F1823" s="19">
        <f>IF(AND(OR(YearFilter="All",$E1823=YearFilter),OR(RatingFilter="All",$D1823=RatingFilter),OR(TypeFilter="All",$C1823=TypeFilter)),1,0)</f>
        <v/>
      </c>
    </row>
    <row r="1824" ht="15" customHeight="1" s="20">
      <c r="A1824" s="19" t="inlineStr">
        <is>
          <t>s5630</t>
        </is>
      </c>
      <c r="B1824" s="19" t="inlineStr">
        <is>
          <t>Dramas</t>
        </is>
      </c>
      <c r="C1824" s="19">
        <f>IFERROR(INDEX(tblNetflix[type],MATCH($A1824,tblNetflix[show_id],0)),"")</f>
        <v/>
      </c>
      <c r="D1824" s="19">
        <f>IFERROR(INDEX(tblNetflix[rating],MATCH($A1824,tblNetflix[show_id],0)),"")</f>
        <v/>
      </c>
      <c r="E1824" s="19">
        <f>IFERROR(INDEX(tblNetflix[year_added],MATCH($A1824,tblNetflix[show_id],0)),"")</f>
        <v/>
      </c>
      <c r="F1824" s="19">
        <f>IF(AND(OR(YearFilter="All",$E1824=YearFilter),OR(RatingFilter="All",$D1824=RatingFilter),OR(TypeFilter="All",$C1824=TypeFilter)),1,0)</f>
        <v/>
      </c>
    </row>
    <row r="1825" ht="15" customHeight="1" s="20">
      <c r="A1825" s="19" t="inlineStr">
        <is>
          <t>s5630</t>
        </is>
      </c>
      <c r="B1825" s="19" t="inlineStr">
        <is>
          <t>International Movies</t>
        </is>
      </c>
      <c r="C1825" s="19">
        <f>IFERROR(INDEX(tblNetflix[type],MATCH($A1825,tblNetflix[show_id],0)),"")</f>
        <v/>
      </c>
      <c r="D1825" s="19">
        <f>IFERROR(INDEX(tblNetflix[rating],MATCH($A1825,tblNetflix[show_id],0)),"")</f>
        <v/>
      </c>
      <c r="E1825" s="19">
        <f>IFERROR(INDEX(tblNetflix[year_added],MATCH($A1825,tblNetflix[show_id],0)),"")</f>
        <v/>
      </c>
      <c r="F1825" s="19">
        <f>IF(AND(OR(YearFilter="All",$E1825=YearFilter),OR(RatingFilter="All",$D1825=RatingFilter),OR(TypeFilter="All",$C1825=TypeFilter)),1,0)</f>
        <v/>
      </c>
    </row>
    <row r="1826" ht="15" customHeight="1" s="20">
      <c r="A1826" s="19" t="inlineStr">
        <is>
          <t>s5648</t>
        </is>
      </c>
      <c r="B1826" s="19" t="inlineStr">
        <is>
          <t>Dramas</t>
        </is>
      </c>
      <c r="C1826" s="19">
        <f>IFERROR(INDEX(tblNetflix[type],MATCH($A1826,tblNetflix[show_id],0)),"")</f>
        <v/>
      </c>
      <c r="D1826" s="19">
        <f>IFERROR(INDEX(tblNetflix[rating],MATCH($A1826,tblNetflix[show_id],0)),"")</f>
        <v/>
      </c>
      <c r="E1826" s="19">
        <f>IFERROR(INDEX(tblNetflix[year_added],MATCH($A1826,tblNetflix[show_id],0)),"")</f>
        <v/>
      </c>
      <c r="F1826" s="19">
        <f>IF(AND(OR(YearFilter="All",$E1826=YearFilter),OR(RatingFilter="All",$D1826=RatingFilter),OR(TypeFilter="All",$C1826=TypeFilter)),1,0)</f>
        <v/>
      </c>
    </row>
    <row r="1827" ht="15" customHeight="1" s="20">
      <c r="A1827" s="19" t="inlineStr">
        <is>
          <t>s5648</t>
        </is>
      </c>
      <c r="B1827" s="19" t="inlineStr">
        <is>
          <t>International Movies</t>
        </is>
      </c>
      <c r="C1827" s="19">
        <f>IFERROR(INDEX(tblNetflix[type],MATCH($A1827,tblNetflix[show_id],0)),"")</f>
        <v/>
      </c>
      <c r="D1827" s="19">
        <f>IFERROR(INDEX(tblNetflix[rating],MATCH($A1827,tblNetflix[show_id],0)),"")</f>
        <v/>
      </c>
      <c r="E1827" s="19">
        <f>IFERROR(INDEX(tblNetflix[year_added],MATCH($A1827,tblNetflix[show_id],0)),"")</f>
        <v/>
      </c>
      <c r="F1827" s="19">
        <f>IF(AND(OR(YearFilter="All",$E1827=YearFilter),OR(RatingFilter="All",$D1827=RatingFilter),OR(TypeFilter="All",$C1827=TypeFilter)),1,0)</f>
        <v/>
      </c>
    </row>
    <row r="1828" ht="15" customHeight="1" s="20">
      <c r="A1828" s="19" t="inlineStr">
        <is>
          <t>s5648</t>
        </is>
      </c>
      <c r="B1828" s="19" t="inlineStr">
        <is>
          <t>Thrillers</t>
        </is>
      </c>
      <c r="C1828" s="19">
        <f>IFERROR(INDEX(tblNetflix[type],MATCH($A1828,tblNetflix[show_id],0)),"")</f>
        <v/>
      </c>
      <c r="D1828" s="19">
        <f>IFERROR(INDEX(tblNetflix[rating],MATCH($A1828,tblNetflix[show_id],0)),"")</f>
        <v/>
      </c>
      <c r="E1828" s="19">
        <f>IFERROR(INDEX(tblNetflix[year_added],MATCH($A1828,tblNetflix[show_id],0)),"")</f>
        <v/>
      </c>
      <c r="F1828" s="19">
        <f>IF(AND(OR(YearFilter="All",$E1828=YearFilter),OR(RatingFilter="All",$D1828=RatingFilter),OR(TypeFilter="All",$C1828=TypeFilter)),1,0)</f>
        <v/>
      </c>
    </row>
    <row r="1829" ht="15" customHeight="1" s="20">
      <c r="A1829" s="19" t="inlineStr">
        <is>
          <t>s5652</t>
        </is>
      </c>
      <c r="B1829" s="19" t="inlineStr">
        <is>
          <t>Dramas</t>
        </is>
      </c>
      <c r="C1829" s="19">
        <f>IFERROR(INDEX(tblNetflix[type],MATCH($A1829,tblNetflix[show_id],0)),"")</f>
        <v/>
      </c>
      <c r="D1829" s="19">
        <f>IFERROR(INDEX(tblNetflix[rating],MATCH($A1829,tblNetflix[show_id],0)),"")</f>
        <v/>
      </c>
      <c r="E1829" s="19">
        <f>IFERROR(INDEX(tblNetflix[year_added],MATCH($A1829,tblNetflix[show_id],0)),"")</f>
        <v/>
      </c>
      <c r="F1829" s="19">
        <f>IF(AND(OR(YearFilter="All",$E1829=YearFilter),OR(RatingFilter="All",$D1829=RatingFilter),OR(TypeFilter="All",$C1829=TypeFilter)),1,0)</f>
        <v/>
      </c>
    </row>
    <row r="1830" ht="15" customHeight="1" s="20">
      <c r="A1830" s="19" t="inlineStr">
        <is>
          <t>s5652</t>
        </is>
      </c>
      <c r="B1830" s="19" t="inlineStr">
        <is>
          <t>International Movies</t>
        </is>
      </c>
      <c r="C1830" s="19">
        <f>IFERROR(INDEX(tblNetflix[type],MATCH($A1830,tblNetflix[show_id],0)),"")</f>
        <v/>
      </c>
      <c r="D1830" s="19">
        <f>IFERROR(INDEX(tblNetflix[rating],MATCH($A1830,tblNetflix[show_id],0)),"")</f>
        <v/>
      </c>
      <c r="E1830" s="19">
        <f>IFERROR(INDEX(tblNetflix[year_added],MATCH($A1830,tblNetflix[show_id],0)),"")</f>
        <v/>
      </c>
      <c r="F1830" s="19">
        <f>IF(AND(OR(YearFilter="All",$E1830=YearFilter),OR(RatingFilter="All",$D1830=RatingFilter),OR(TypeFilter="All",$C1830=TypeFilter)),1,0)</f>
        <v/>
      </c>
    </row>
    <row r="1831" ht="15" customHeight="1" s="20">
      <c r="A1831" s="19" t="inlineStr">
        <is>
          <t>s5697</t>
        </is>
      </c>
      <c r="B1831" s="19" t="inlineStr">
        <is>
          <t>Dramas</t>
        </is>
      </c>
      <c r="C1831" s="19">
        <f>IFERROR(INDEX(tblNetflix[type],MATCH($A1831,tblNetflix[show_id],0)),"")</f>
        <v/>
      </c>
      <c r="D1831" s="19">
        <f>IFERROR(INDEX(tblNetflix[rating],MATCH($A1831,tblNetflix[show_id],0)),"")</f>
        <v/>
      </c>
      <c r="E1831" s="19">
        <f>IFERROR(INDEX(tblNetflix[year_added],MATCH($A1831,tblNetflix[show_id],0)),"")</f>
        <v/>
      </c>
      <c r="F1831" s="19">
        <f>IF(AND(OR(YearFilter="All",$E1831=YearFilter),OR(RatingFilter="All",$D1831=RatingFilter),OR(TypeFilter="All",$C1831=TypeFilter)),1,0)</f>
        <v/>
      </c>
    </row>
    <row r="1832" ht="15" customHeight="1" s="20">
      <c r="A1832" s="19" t="inlineStr">
        <is>
          <t>s5697</t>
        </is>
      </c>
      <c r="B1832" s="19" t="inlineStr">
        <is>
          <t>International Movies</t>
        </is>
      </c>
      <c r="C1832" s="19">
        <f>IFERROR(INDEX(tblNetflix[type],MATCH($A1832,tblNetflix[show_id],0)),"")</f>
        <v/>
      </c>
      <c r="D1832" s="19">
        <f>IFERROR(INDEX(tblNetflix[rating],MATCH($A1832,tblNetflix[show_id],0)),"")</f>
        <v/>
      </c>
      <c r="E1832" s="19">
        <f>IFERROR(INDEX(tblNetflix[year_added],MATCH($A1832,tblNetflix[show_id],0)),"")</f>
        <v/>
      </c>
      <c r="F1832" s="19">
        <f>IF(AND(OR(YearFilter="All",$E1832=YearFilter),OR(RatingFilter="All",$D1832=RatingFilter),OR(TypeFilter="All",$C1832=TypeFilter)),1,0)</f>
        <v/>
      </c>
    </row>
    <row r="1833" ht="15" customHeight="1" s="20">
      <c r="A1833" s="19" t="inlineStr">
        <is>
          <t>s5702</t>
        </is>
      </c>
      <c r="B1833" s="19" t="inlineStr">
        <is>
          <t>Dramas</t>
        </is>
      </c>
      <c r="C1833" s="19">
        <f>IFERROR(INDEX(tblNetflix[type],MATCH($A1833,tblNetflix[show_id],0)),"")</f>
        <v/>
      </c>
      <c r="D1833" s="19">
        <f>IFERROR(INDEX(tblNetflix[rating],MATCH($A1833,tblNetflix[show_id],0)),"")</f>
        <v/>
      </c>
      <c r="E1833" s="19">
        <f>IFERROR(INDEX(tblNetflix[year_added],MATCH($A1833,tblNetflix[show_id],0)),"")</f>
        <v/>
      </c>
      <c r="F1833" s="19">
        <f>IF(AND(OR(YearFilter="All",$E1833=YearFilter),OR(RatingFilter="All",$D1833=RatingFilter),OR(TypeFilter="All",$C1833=TypeFilter)),1,0)</f>
        <v/>
      </c>
    </row>
    <row r="1834" ht="15" customHeight="1" s="20">
      <c r="A1834" s="19" t="inlineStr">
        <is>
          <t>s5702</t>
        </is>
      </c>
      <c r="B1834" s="19" t="inlineStr">
        <is>
          <t>International Movies</t>
        </is>
      </c>
      <c r="C1834" s="19">
        <f>IFERROR(INDEX(tblNetflix[type],MATCH($A1834,tblNetflix[show_id],0)),"")</f>
        <v/>
      </c>
      <c r="D1834" s="19">
        <f>IFERROR(INDEX(tblNetflix[rating],MATCH($A1834,tblNetflix[show_id],0)),"")</f>
        <v/>
      </c>
      <c r="E1834" s="19">
        <f>IFERROR(INDEX(tblNetflix[year_added],MATCH($A1834,tblNetflix[show_id],0)),"")</f>
        <v/>
      </c>
      <c r="F1834" s="19">
        <f>IF(AND(OR(YearFilter="All",$E1834=YearFilter),OR(RatingFilter="All",$D1834=RatingFilter),OR(TypeFilter="All",$C1834=TypeFilter)),1,0)</f>
        <v/>
      </c>
    </row>
    <row r="1835" ht="15" customHeight="1" s="20">
      <c r="A1835" s="19" t="inlineStr">
        <is>
          <t>s5702</t>
        </is>
      </c>
      <c r="B1835" s="19" t="inlineStr">
        <is>
          <t>Thrillers</t>
        </is>
      </c>
      <c r="C1835" s="19">
        <f>IFERROR(INDEX(tblNetflix[type],MATCH($A1835,tblNetflix[show_id],0)),"")</f>
        <v/>
      </c>
      <c r="D1835" s="19">
        <f>IFERROR(INDEX(tblNetflix[rating],MATCH($A1835,tblNetflix[show_id],0)),"")</f>
        <v/>
      </c>
      <c r="E1835" s="19">
        <f>IFERROR(INDEX(tblNetflix[year_added],MATCH($A1835,tblNetflix[show_id],0)),"")</f>
        <v/>
      </c>
      <c r="F1835" s="19">
        <f>IF(AND(OR(YearFilter="All",$E1835=YearFilter),OR(RatingFilter="All",$D1835=RatingFilter),OR(TypeFilter="All",$C1835=TypeFilter)),1,0)</f>
        <v/>
      </c>
    </row>
    <row r="1836" ht="15" customHeight="1" s="20">
      <c r="A1836" s="19" t="inlineStr">
        <is>
          <t>s5706</t>
        </is>
      </c>
      <c r="B1836" s="19" t="inlineStr">
        <is>
          <t>Dramas</t>
        </is>
      </c>
      <c r="C1836" s="19">
        <f>IFERROR(INDEX(tblNetflix[type],MATCH($A1836,tblNetflix[show_id],0)),"")</f>
        <v/>
      </c>
      <c r="D1836" s="19">
        <f>IFERROR(INDEX(tblNetflix[rating],MATCH($A1836,tblNetflix[show_id],0)),"")</f>
        <v/>
      </c>
      <c r="E1836" s="19">
        <f>IFERROR(INDEX(tblNetflix[year_added],MATCH($A1836,tblNetflix[show_id],0)),"")</f>
        <v/>
      </c>
      <c r="F1836" s="19">
        <f>IF(AND(OR(YearFilter="All",$E1836=YearFilter),OR(RatingFilter="All",$D1836=RatingFilter),OR(TypeFilter="All",$C1836=TypeFilter)),1,0)</f>
        <v/>
      </c>
    </row>
    <row r="1837" ht="15" customHeight="1" s="20">
      <c r="A1837" s="19" t="inlineStr">
        <is>
          <t>s5706</t>
        </is>
      </c>
      <c r="B1837" s="19" t="inlineStr">
        <is>
          <t>Independent Movies</t>
        </is>
      </c>
      <c r="C1837" s="19">
        <f>IFERROR(INDEX(tblNetflix[type],MATCH($A1837,tblNetflix[show_id],0)),"")</f>
        <v/>
      </c>
      <c r="D1837" s="19">
        <f>IFERROR(INDEX(tblNetflix[rating],MATCH($A1837,tblNetflix[show_id],0)),"")</f>
        <v/>
      </c>
      <c r="E1837" s="19">
        <f>IFERROR(INDEX(tblNetflix[year_added],MATCH($A1837,tblNetflix[show_id],0)),"")</f>
        <v/>
      </c>
      <c r="F1837" s="19">
        <f>IF(AND(OR(YearFilter="All",$E1837=YearFilter),OR(RatingFilter="All",$D1837=RatingFilter),OR(TypeFilter="All",$C1837=TypeFilter)),1,0)</f>
        <v/>
      </c>
    </row>
    <row r="1838" ht="15" customHeight="1" s="20">
      <c r="A1838" s="19" t="inlineStr">
        <is>
          <t>s5706</t>
        </is>
      </c>
      <c r="B1838" s="19" t="inlineStr">
        <is>
          <t>International Movies</t>
        </is>
      </c>
      <c r="C1838" s="19">
        <f>IFERROR(INDEX(tblNetflix[type],MATCH($A1838,tblNetflix[show_id],0)),"")</f>
        <v/>
      </c>
      <c r="D1838" s="19">
        <f>IFERROR(INDEX(tblNetflix[rating],MATCH($A1838,tblNetflix[show_id],0)),"")</f>
        <v/>
      </c>
      <c r="E1838" s="19">
        <f>IFERROR(INDEX(tblNetflix[year_added],MATCH($A1838,tblNetflix[show_id],0)),"")</f>
        <v/>
      </c>
      <c r="F1838" s="19">
        <f>IF(AND(OR(YearFilter="All",$E1838=YearFilter),OR(RatingFilter="All",$D1838=RatingFilter),OR(TypeFilter="All",$C1838=TypeFilter)),1,0)</f>
        <v/>
      </c>
    </row>
    <row r="1839" ht="15" customHeight="1" s="20">
      <c r="A1839" s="19" t="inlineStr">
        <is>
          <t>s5711</t>
        </is>
      </c>
      <c r="B1839" s="19" t="inlineStr">
        <is>
          <t>Dramas</t>
        </is>
      </c>
      <c r="C1839" s="19">
        <f>IFERROR(INDEX(tblNetflix[type],MATCH($A1839,tblNetflix[show_id],0)),"")</f>
        <v/>
      </c>
      <c r="D1839" s="19">
        <f>IFERROR(INDEX(tblNetflix[rating],MATCH($A1839,tblNetflix[show_id],0)),"")</f>
        <v/>
      </c>
      <c r="E1839" s="19">
        <f>IFERROR(INDEX(tblNetflix[year_added],MATCH($A1839,tblNetflix[show_id],0)),"")</f>
        <v/>
      </c>
      <c r="F1839" s="19">
        <f>IF(AND(OR(YearFilter="All",$E1839=YearFilter),OR(RatingFilter="All",$D1839=RatingFilter),OR(TypeFilter="All",$C1839=TypeFilter)),1,0)</f>
        <v/>
      </c>
    </row>
    <row r="1840" ht="15" customHeight="1" s="20">
      <c r="A1840" s="19" t="inlineStr">
        <is>
          <t>s5711</t>
        </is>
      </c>
      <c r="B1840" s="19" t="inlineStr">
        <is>
          <t>Independent Movies</t>
        </is>
      </c>
      <c r="C1840" s="19">
        <f>IFERROR(INDEX(tblNetflix[type],MATCH($A1840,tblNetflix[show_id],0)),"")</f>
        <v/>
      </c>
      <c r="D1840" s="19">
        <f>IFERROR(INDEX(tblNetflix[rating],MATCH($A1840,tblNetflix[show_id],0)),"")</f>
        <v/>
      </c>
      <c r="E1840" s="19">
        <f>IFERROR(INDEX(tblNetflix[year_added],MATCH($A1840,tblNetflix[show_id],0)),"")</f>
        <v/>
      </c>
      <c r="F1840" s="19">
        <f>IF(AND(OR(YearFilter="All",$E1840=YearFilter),OR(RatingFilter="All",$D1840=RatingFilter),OR(TypeFilter="All",$C1840=TypeFilter)),1,0)</f>
        <v/>
      </c>
    </row>
    <row r="1841" ht="15" customHeight="1" s="20">
      <c r="A1841" s="19" t="inlineStr">
        <is>
          <t>s5711</t>
        </is>
      </c>
      <c r="B1841" s="19" t="inlineStr">
        <is>
          <t>International Movies</t>
        </is>
      </c>
      <c r="C1841" s="19">
        <f>IFERROR(INDEX(tblNetflix[type],MATCH($A1841,tblNetflix[show_id],0)),"")</f>
        <v/>
      </c>
      <c r="D1841" s="19">
        <f>IFERROR(INDEX(tblNetflix[rating],MATCH($A1841,tblNetflix[show_id],0)),"")</f>
        <v/>
      </c>
      <c r="E1841" s="19">
        <f>IFERROR(INDEX(tblNetflix[year_added],MATCH($A1841,tblNetflix[show_id],0)),"")</f>
        <v/>
      </c>
      <c r="F1841" s="19">
        <f>IF(AND(OR(YearFilter="All",$E1841=YearFilter),OR(RatingFilter="All",$D1841=RatingFilter),OR(TypeFilter="All",$C1841=TypeFilter)),1,0)</f>
        <v/>
      </c>
    </row>
    <row r="1842" ht="15" customHeight="1" s="20">
      <c r="A1842" s="19" t="inlineStr">
        <is>
          <t>s5719</t>
        </is>
      </c>
      <c r="B1842" s="19" t="inlineStr">
        <is>
          <t>Dramas</t>
        </is>
      </c>
      <c r="C1842" s="19">
        <f>IFERROR(INDEX(tblNetflix[type],MATCH($A1842,tblNetflix[show_id],0)),"")</f>
        <v/>
      </c>
      <c r="D1842" s="19">
        <f>IFERROR(INDEX(tblNetflix[rating],MATCH($A1842,tblNetflix[show_id],0)),"")</f>
        <v/>
      </c>
      <c r="E1842" s="19">
        <f>IFERROR(INDEX(tblNetflix[year_added],MATCH($A1842,tblNetflix[show_id],0)),"")</f>
        <v/>
      </c>
      <c r="F1842" s="19">
        <f>IF(AND(OR(YearFilter="All",$E1842=YearFilter),OR(RatingFilter="All",$D1842=RatingFilter),OR(TypeFilter="All",$C1842=TypeFilter)),1,0)</f>
        <v/>
      </c>
    </row>
    <row r="1843" ht="15" customHeight="1" s="20">
      <c r="A1843" s="19" t="inlineStr">
        <is>
          <t>s5719</t>
        </is>
      </c>
      <c r="B1843" s="19" t="inlineStr">
        <is>
          <t>Independent Movies</t>
        </is>
      </c>
      <c r="C1843" s="19">
        <f>IFERROR(INDEX(tblNetflix[type],MATCH($A1843,tblNetflix[show_id],0)),"")</f>
        <v/>
      </c>
      <c r="D1843" s="19">
        <f>IFERROR(INDEX(tblNetflix[rating],MATCH($A1843,tblNetflix[show_id],0)),"")</f>
        <v/>
      </c>
      <c r="E1843" s="19">
        <f>IFERROR(INDEX(tblNetflix[year_added],MATCH($A1843,tblNetflix[show_id],0)),"")</f>
        <v/>
      </c>
      <c r="F1843" s="19">
        <f>IF(AND(OR(YearFilter="All",$E1843=YearFilter),OR(RatingFilter="All",$D1843=RatingFilter),OR(TypeFilter="All",$C1843=TypeFilter)),1,0)</f>
        <v/>
      </c>
    </row>
    <row r="1844" ht="15" customHeight="1" s="20">
      <c r="A1844" s="19" t="inlineStr">
        <is>
          <t>s5719</t>
        </is>
      </c>
      <c r="B1844" s="19" t="inlineStr">
        <is>
          <t>International Movies</t>
        </is>
      </c>
      <c r="C1844" s="19">
        <f>IFERROR(INDEX(tblNetflix[type],MATCH($A1844,tblNetflix[show_id],0)),"")</f>
        <v/>
      </c>
      <c r="D1844" s="19">
        <f>IFERROR(INDEX(tblNetflix[rating],MATCH($A1844,tblNetflix[show_id],0)),"")</f>
        <v/>
      </c>
      <c r="E1844" s="19">
        <f>IFERROR(INDEX(tblNetflix[year_added],MATCH($A1844,tblNetflix[show_id],0)),"")</f>
        <v/>
      </c>
      <c r="F1844" s="19">
        <f>IF(AND(OR(YearFilter="All",$E1844=YearFilter),OR(RatingFilter="All",$D1844=RatingFilter),OR(TypeFilter="All",$C1844=TypeFilter)),1,0)</f>
        <v/>
      </c>
    </row>
    <row r="1845" ht="15" customHeight="1" s="20">
      <c r="A1845" s="19" t="inlineStr">
        <is>
          <t>s5768</t>
        </is>
      </c>
      <c r="B1845" s="19" t="inlineStr">
        <is>
          <t>Dramas</t>
        </is>
      </c>
      <c r="C1845" s="19">
        <f>IFERROR(INDEX(tblNetflix[type],MATCH($A1845,tblNetflix[show_id],0)),"")</f>
        <v/>
      </c>
      <c r="D1845" s="19">
        <f>IFERROR(INDEX(tblNetflix[rating],MATCH($A1845,tblNetflix[show_id],0)),"")</f>
        <v/>
      </c>
      <c r="E1845" s="19">
        <f>IFERROR(INDEX(tblNetflix[year_added],MATCH($A1845,tblNetflix[show_id],0)),"")</f>
        <v/>
      </c>
      <c r="F1845" s="19">
        <f>IF(AND(OR(YearFilter="All",$E1845=YearFilter),OR(RatingFilter="All",$D1845=RatingFilter),OR(TypeFilter="All",$C1845=TypeFilter)),1,0)</f>
        <v/>
      </c>
    </row>
    <row r="1846" ht="15" customHeight="1" s="20">
      <c r="A1846" s="19" t="inlineStr">
        <is>
          <t>s5768</t>
        </is>
      </c>
      <c r="B1846" s="19" t="inlineStr">
        <is>
          <t>International Movies</t>
        </is>
      </c>
      <c r="C1846" s="19">
        <f>IFERROR(INDEX(tblNetflix[type],MATCH($A1846,tblNetflix[show_id],0)),"")</f>
        <v/>
      </c>
      <c r="D1846" s="19">
        <f>IFERROR(INDEX(tblNetflix[rating],MATCH($A1846,tblNetflix[show_id],0)),"")</f>
        <v/>
      </c>
      <c r="E1846" s="19">
        <f>IFERROR(INDEX(tblNetflix[year_added],MATCH($A1846,tblNetflix[show_id],0)),"")</f>
        <v/>
      </c>
      <c r="F1846" s="19">
        <f>IF(AND(OR(YearFilter="All",$E1846=YearFilter),OR(RatingFilter="All",$D1846=RatingFilter),OR(TypeFilter="All",$C1846=TypeFilter)),1,0)</f>
        <v/>
      </c>
    </row>
    <row r="1847" ht="15" customHeight="1" s="20">
      <c r="A1847" s="19" t="inlineStr">
        <is>
          <t>s5779</t>
        </is>
      </c>
      <c r="B1847" s="19" t="inlineStr">
        <is>
          <t>Dramas</t>
        </is>
      </c>
      <c r="C1847" s="19">
        <f>IFERROR(INDEX(tblNetflix[type],MATCH($A1847,tblNetflix[show_id],0)),"")</f>
        <v/>
      </c>
      <c r="D1847" s="19">
        <f>IFERROR(INDEX(tblNetflix[rating],MATCH($A1847,tblNetflix[show_id],0)),"")</f>
        <v/>
      </c>
      <c r="E1847" s="19">
        <f>IFERROR(INDEX(tblNetflix[year_added],MATCH($A1847,tblNetflix[show_id],0)),"")</f>
        <v/>
      </c>
      <c r="F1847" s="19">
        <f>IF(AND(OR(YearFilter="All",$E1847=YearFilter),OR(RatingFilter="All",$D1847=RatingFilter),OR(TypeFilter="All",$C1847=TypeFilter)),1,0)</f>
        <v/>
      </c>
    </row>
    <row r="1848" ht="15" customHeight="1" s="20">
      <c r="A1848" s="19" t="inlineStr">
        <is>
          <t>s5779</t>
        </is>
      </c>
      <c r="B1848" s="19" t="inlineStr">
        <is>
          <t>Independent Movies</t>
        </is>
      </c>
      <c r="C1848" s="19">
        <f>IFERROR(INDEX(tblNetflix[type],MATCH($A1848,tblNetflix[show_id],0)),"")</f>
        <v/>
      </c>
      <c r="D1848" s="19">
        <f>IFERROR(INDEX(tblNetflix[rating],MATCH($A1848,tblNetflix[show_id],0)),"")</f>
        <v/>
      </c>
      <c r="E1848" s="19">
        <f>IFERROR(INDEX(tblNetflix[year_added],MATCH($A1848,tblNetflix[show_id],0)),"")</f>
        <v/>
      </c>
      <c r="F1848" s="19">
        <f>IF(AND(OR(YearFilter="All",$E1848=YearFilter),OR(RatingFilter="All",$D1848=RatingFilter),OR(TypeFilter="All",$C1848=TypeFilter)),1,0)</f>
        <v/>
      </c>
    </row>
    <row r="1849" ht="15" customHeight="1" s="20">
      <c r="A1849" s="19" t="inlineStr">
        <is>
          <t>s5779</t>
        </is>
      </c>
      <c r="B1849" s="19" t="inlineStr">
        <is>
          <t>International Movies</t>
        </is>
      </c>
      <c r="C1849" s="19">
        <f>IFERROR(INDEX(tblNetflix[type],MATCH($A1849,tblNetflix[show_id],0)),"")</f>
        <v/>
      </c>
      <c r="D1849" s="19">
        <f>IFERROR(INDEX(tblNetflix[rating],MATCH($A1849,tblNetflix[show_id],0)),"")</f>
        <v/>
      </c>
      <c r="E1849" s="19">
        <f>IFERROR(INDEX(tblNetflix[year_added],MATCH($A1849,tblNetflix[show_id],0)),"")</f>
        <v/>
      </c>
      <c r="F1849" s="19">
        <f>IF(AND(OR(YearFilter="All",$E1849=YearFilter),OR(RatingFilter="All",$D1849=RatingFilter),OR(TypeFilter="All",$C1849=TypeFilter)),1,0)</f>
        <v/>
      </c>
    </row>
    <row r="1850" ht="15" customHeight="1" s="20">
      <c r="A1850" s="19" t="inlineStr">
        <is>
          <t>s5834</t>
        </is>
      </c>
      <c r="B1850" s="19" t="inlineStr">
        <is>
          <t>Comedies</t>
        </is>
      </c>
      <c r="C1850" s="19">
        <f>IFERROR(INDEX(tblNetflix[type],MATCH($A1850,tblNetflix[show_id],0)),"")</f>
        <v/>
      </c>
      <c r="D1850" s="19">
        <f>IFERROR(INDEX(tblNetflix[rating],MATCH($A1850,tblNetflix[show_id],0)),"")</f>
        <v/>
      </c>
      <c r="E1850" s="19">
        <f>IFERROR(INDEX(tblNetflix[year_added],MATCH($A1850,tblNetflix[show_id],0)),"")</f>
        <v/>
      </c>
      <c r="F1850" s="19">
        <f>IF(AND(OR(YearFilter="All",$E1850=YearFilter),OR(RatingFilter="All",$D1850=RatingFilter),OR(TypeFilter="All",$C1850=TypeFilter)),1,0)</f>
        <v/>
      </c>
    </row>
    <row r="1851" ht="15" customHeight="1" s="20">
      <c r="A1851" s="19" t="inlineStr">
        <is>
          <t>s5834</t>
        </is>
      </c>
      <c r="B1851" s="19" t="inlineStr">
        <is>
          <t>Independent Movies</t>
        </is>
      </c>
      <c r="C1851" s="19">
        <f>IFERROR(INDEX(tblNetflix[type],MATCH($A1851,tblNetflix[show_id],0)),"")</f>
        <v/>
      </c>
      <c r="D1851" s="19">
        <f>IFERROR(INDEX(tblNetflix[rating],MATCH($A1851,tblNetflix[show_id],0)),"")</f>
        <v/>
      </c>
      <c r="E1851" s="19">
        <f>IFERROR(INDEX(tblNetflix[year_added],MATCH($A1851,tblNetflix[show_id],0)),"")</f>
        <v/>
      </c>
      <c r="F1851" s="19">
        <f>IF(AND(OR(YearFilter="All",$E1851=YearFilter),OR(RatingFilter="All",$D1851=RatingFilter),OR(TypeFilter="All",$C1851=TypeFilter)),1,0)</f>
        <v/>
      </c>
    </row>
    <row r="1852" ht="15" customHeight="1" s="20">
      <c r="A1852" s="19" t="inlineStr">
        <is>
          <t>s5834</t>
        </is>
      </c>
      <c r="B1852" s="19" t="inlineStr">
        <is>
          <t>International Movies</t>
        </is>
      </c>
      <c r="C1852" s="19">
        <f>IFERROR(INDEX(tblNetflix[type],MATCH($A1852,tblNetflix[show_id],0)),"")</f>
        <v/>
      </c>
      <c r="D1852" s="19">
        <f>IFERROR(INDEX(tblNetflix[rating],MATCH($A1852,tblNetflix[show_id],0)),"")</f>
        <v/>
      </c>
      <c r="E1852" s="19">
        <f>IFERROR(INDEX(tblNetflix[year_added],MATCH($A1852,tblNetflix[show_id],0)),"")</f>
        <v/>
      </c>
      <c r="F1852" s="19">
        <f>IF(AND(OR(YearFilter="All",$E1852=YearFilter),OR(RatingFilter="All",$D1852=RatingFilter),OR(TypeFilter="All",$C1852=TypeFilter)),1,0)</f>
        <v/>
      </c>
    </row>
    <row r="1853" ht="15" customHeight="1" s="20">
      <c r="A1853" s="19" t="inlineStr">
        <is>
          <t>s5838</t>
        </is>
      </c>
      <c r="B1853" s="19" t="inlineStr">
        <is>
          <t>Dramas</t>
        </is>
      </c>
      <c r="C1853" s="19">
        <f>IFERROR(INDEX(tblNetflix[type],MATCH($A1853,tblNetflix[show_id],0)),"")</f>
        <v/>
      </c>
      <c r="D1853" s="19">
        <f>IFERROR(INDEX(tblNetflix[rating],MATCH($A1853,tblNetflix[show_id],0)),"")</f>
        <v/>
      </c>
      <c r="E1853" s="19">
        <f>IFERROR(INDEX(tblNetflix[year_added],MATCH($A1853,tblNetflix[show_id],0)),"")</f>
        <v/>
      </c>
      <c r="F1853" s="19">
        <f>IF(AND(OR(YearFilter="All",$E1853=YearFilter),OR(RatingFilter="All",$D1853=RatingFilter),OR(TypeFilter="All",$C1853=TypeFilter)),1,0)</f>
        <v/>
      </c>
    </row>
    <row r="1854" ht="15" customHeight="1" s="20">
      <c r="A1854" s="19" t="inlineStr">
        <is>
          <t>s5838</t>
        </is>
      </c>
      <c r="B1854" s="19" t="inlineStr">
        <is>
          <t>Independent Movies</t>
        </is>
      </c>
      <c r="C1854" s="19">
        <f>IFERROR(INDEX(tblNetflix[type],MATCH($A1854,tblNetflix[show_id],0)),"")</f>
        <v/>
      </c>
      <c r="D1854" s="19">
        <f>IFERROR(INDEX(tblNetflix[rating],MATCH($A1854,tblNetflix[show_id],0)),"")</f>
        <v/>
      </c>
      <c r="E1854" s="19">
        <f>IFERROR(INDEX(tblNetflix[year_added],MATCH($A1854,tblNetflix[show_id],0)),"")</f>
        <v/>
      </c>
      <c r="F1854" s="19">
        <f>IF(AND(OR(YearFilter="All",$E1854=YearFilter),OR(RatingFilter="All",$D1854=RatingFilter),OR(TypeFilter="All",$C1854=TypeFilter)),1,0)</f>
        <v/>
      </c>
    </row>
    <row r="1855" ht="15" customHeight="1" s="20">
      <c r="A1855" s="19" t="inlineStr">
        <is>
          <t>s5838</t>
        </is>
      </c>
      <c r="B1855" s="19" t="inlineStr">
        <is>
          <t>International Movies</t>
        </is>
      </c>
      <c r="C1855" s="19">
        <f>IFERROR(INDEX(tblNetflix[type],MATCH($A1855,tblNetflix[show_id],0)),"")</f>
        <v/>
      </c>
      <c r="D1855" s="19">
        <f>IFERROR(INDEX(tblNetflix[rating],MATCH($A1855,tblNetflix[show_id],0)),"")</f>
        <v/>
      </c>
      <c r="E1855" s="19">
        <f>IFERROR(INDEX(tblNetflix[year_added],MATCH($A1855,tblNetflix[show_id],0)),"")</f>
        <v/>
      </c>
      <c r="F1855" s="19">
        <f>IF(AND(OR(YearFilter="All",$E1855=YearFilter),OR(RatingFilter="All",$D1855=RatingFilter),OR(TypeFilter="All",$C1855=TypeFilter)),1,0)</f>
        <v/>
      </c>
    </row>
    <row r="1856" ht="15" customHeight="1" s="20">
      <c r="A1856" s="19" t="inlineStr">
        <is>
          <t>s5962</t>
        </is>
      </c>
      <c r="B1856" s="19" t="inlineStr">
        <is>
          <t>Horror Movies</t>
        </is>
      </c>
      <c r="C1856" s="19">
        <f>IFERROR(INDEX(tblNetflix[type],MATCH($A1856,tblNetflix[show_id],0)),"")</f>
        <v/>
      </c>
      <c r="D1856" s="19">
        <f>IFERROR(INDEX(tblNetflix[rating],MATCH($A1856,tblNetflix[show_id],0)),"")</f>
        <v/>
      </c>
      <c r="E1856" s="19">
        <f>IFERROR(INDEX(tblNetflix[year_added],MATCH($A1856,tblNetflix[show_id],0)),"")</f>
        <v/>
      </c>
      <c r="F1856" s="19">
        <f>IF(AND(OR(YearFilter="All",$E1856=YearFilter),OR(RatingFilter="All",$D1856=RatingFilter),OR(TypeFilter="All",$C1856=TypeFilter)),1,0)</f>
        <v/>
      </c>
    </row>
    <row r="1857" ht="15" customHeight="1" s="20">
      <c r="A1857" s="19" t="inlineStr">
        <is>
          <t>s5962</t>
        </is>
      </c>
      <c r="B1857" s="19" t="inlineStr">
        <is>
          <t>International Movies</t>
        </is>
      </c>
      <c r="C1857" s="19">
        <f>IFERROR(INDEX(tblNetflix[type],MATCH($A1857,tblNetflix[show_id],0)),"")</f>
        <v/>
      </c>
      <c r="D1857" s="19">
        <f>IFERROR(INDEX(tblNetflix[rating],MATCH($A1857,tblNetflix[show_id],0)),"")</f>
        <v/>
      </c>
      <c r="E1857" s="19">
        <f>IFERROR(INDEX(tblNetflix[year_added],MATCH($A1857,tblNetflix[show_id],0)),"")</f>
        <v/>
      </c>
      <c r="F1857" s="19">
        <f>IF(AND(OR(YearFilter="All",$E1857=YearFilter),OR(RatingFilter="All",$D1857=RatingFilter),OR(TypeFilter="All",$C1857=TypeFilter)),1,0)</f>
        <v/>
      </c>
    </row>
    <row r="1858" ht="15" customHeight="1" s="20">
      <c r="A1858" s="19" t="inlineStr">
        <is>
          <t>s5963</t>
        </is>
      </c>
      <c r="B1858" s="19" t="inlineStr">
        <is>
          <t>Horror Movies</t>
        </is>
      </c>
      <c r="C1858" s="19">
        <f>IFERROR(INDEX(tblNetflix[type],MATCH($A1858,tblNetflix[show_id],0)),"")</f>
        <v/>
      </c>
      <c r="D1858" s="19">
        <f>IFERROR(INDEX(tblNetflix[rating],MATCH($A1858,tblNetflix[show_id],0)),"")</f>
        <v/>
      </c>
      <c r="E1858" s="19">
        <f>IFERROR(INDEX(tblNetflix[year_added],MATCH($A1858,tblNetflix[show_id],0)),"")</f>
        <v/>
      </c>
      <c r="F1858" s="19">
        <f>IF(AND(OR(YearFilter="All",$E1858=YearFilter),OR(RatingFilter="All",$D1858=RatingFilter),OR(TypeFilter="All",$C1858=TypeFilter)),1,0)</f>
        <v/>
      </c>
    </row>
    <row r="1859" ht="15" customHeight="1" s="20">
      <c r="A1859" s="19" t="inlineStr">
        <is>
          <t>s5963</t>
        </is>
      </c>
      <c r="B1859" s="19" t="inlineStr">
        <is>
          <t>International Movies</t>
        </is>
      </c>
      <c r="C1859" s="19">
        <f>IFERROR(INDEX(tblNetflix[type],MATCH($A1859,tblNetflix[show_id],0)),"")</f>
        <v/>
      </c>
      <c r="D1859" s="19">
        <f>IFERROR(INDEX(tblNetflix[rating],MATCH($A1859,tblNetflix[show_id],0)),"")</f>
        <v/>
      </c>
      <c r="E1859" s="19">
        <f>IFERROR(INDEX(tblNetflix[year_added],MATCH($A1859,tblNetflix[show_id],0)),"")</f>
        <v/>
      </c>
      <c r="F1859" s="19">
        <f>IF(AND(OR(YearFilter="All",$E1859=YearFilter),OR(RatingFilter="All",$D1859=RatingFilter),OR(TypeFilter="All",$C1859=TypeFilter)),1,0)</f>
        <v/>
      </c>
    </row>
    <row r="1860" ht="15" customHeight="1" s="20">
      <c r="A1860" s="19" t="inlineStr">
        <is>
          <t>s5963</t>
        </is>
      </c>
      <c r="B1860" s="19" t="inlineStr">
        <is>
          <t>Thrillers</t>
        </is>
      </c>
      <c r="C1860" s="19">
        <f>IFERROR(INDEX(tblNetflix[type],MATCH($A1860,tblNetflix[show_id],0)),"")</f>
        <v/>
      </c>
      <c r="D1860" s="19">
        <f>IFERROR(INDEX(tblNetflix[rating],MATCH($A1860,tblNetflix[show_id],0)),"")</f>
        <v/>
      </c>
      <c r="E1860" s="19">
        <f>IFERROR(INDEX(tblNetflix[year_added],MATCH($A1860,tblNetflix[show_id],0)),"")</f>
        <v/>
      </c>
      <c r="F1860" s="19">
        <f>IF(AND(OR(YearFilter="All",$E1860=YearFilter),OR(RatingFilter="All",$D1860=RatingFilter),OR(TypeFilter="All",$C1860=TypeFilter)),1,0)</f>
        <v/>
      </c>
    </row>
    <row r="1861" ht="15" customHeight="1" s="20">
      <c r="A1861" s="19" t="inlineStr">
        <is>
          <t>s5967</t>
        </is>
      </c>
      <c r="B1861" s="19" t="inlineStr">
        <is>
          <t>Comedies</t>
        </is>
      </c>
      <c r="C1861" s="19">
        <f>IFERROR(INDEX(tblNetflix[type],MATCH($A1861,tblNetflix[show_id],0)),"")</f>
        <v/>
      </c>
      <c r="D1861" s="19">
        <f>IFERROR(INDEX(tblNetflix[rating],MATCH($A1861,tblNetflix[show_id],0)),"")</f>
        <v/>
      </c>
      <c r="E1861" s="19">
        <f>IFERROR(INDEX(tblNetflix[year_added],MATCH($A1861,tblNetflix[show_id],0)),"")</f>
        <v/>
      </c>
      <c r="F1861" s="19">
        <f>IF(AND(OR(YearFilter="All",$E1861=YearFilter),OR(RatingFilter="All",$D1861=RatingFilter),OR(TypeFilter="All",$C1861=TypeFilter)),1,0)</f>
        <v/>
      </c>
    </row>
    <row r="1862" ht="15" customHeight="1" s="20">
      <c r="A1862" s="19" t="inlineStr">
        <is>
          <t>s5967</t>
        </is>
      </c>
      <c r="B1862" s="19" t="inlineStr">
        <is>
          <t>Dramas</t>
        </is>
      </c>
      <c r="C1862" s="19">
        <f>IFERROR(INDEX(tblNetflix[type],MATCH($A1862,tblNetflix[show_id],0)),"")</f>
        <v/>
      </c>
      <c r="D1862" s="19">
        <f>IFERROR(INDEX(tblNetflix[rating],MATCH($A1862,tblNetflix[show_id],0)),"")</f>
        <v/>
      </c>
      <c r="E1862" s="19">
        <f>IFERROR(INDEX(tblNetflix[year_added],MATCH($A1862,tblNetflix[show_id],0)),"")</f>
        <v/>
      </c>
      <c r="F1862" s="19">
        <f>IF(AND(OR(YearFilter="All",$E1862=YearFilter),OR(RatingFilter="All",$D1862=RatingFilter),OR(TypeFilter="All",$C1862=TypeFilter)),1,0)</f>
        <v/>
      </c>
    </row>
    <row r="1863" ht="15" customHeight="1" s="20">
      <c r="A1863" s="19" t="inlineStr">
        <is>
          <t>s5967</t>
        </is>
      </c>
      <c r="B1863" s="19" t="inlineStr">
        <is>
          <t>Independent Movies</t>
        </is>
      </c>
      <c r="C1863" s="19">
        <f>IFERROR(INDEX(tblNetflix[type],MATCH($A1863,tblNetflix[show_id],0)),"")</f>
        <v/>
      </c>
      <c r="D1863" s="19">
        <f>IFERROR(INDEX(tblNetflix[rating],MATCH($A1863,tblNetflix[show_id],0)),"")</f>
        <v/>
      </c>
      <c r="E1863" s="19">
        <f>IFERROR(INDEX(tblNetflix[year_added],MATCH($A1863,tblNetflix[show_id],0)),"")</f>
        <v/>
      </c>
      <c r="F1863" s="19">
        <f>IF(AND(OR(YearFilter="All",$E1863=YearFilter),OR(RatingFilter="All",$D1863=RatingFilter),OR(TypeFilter="All",$C1863=TypeFilter)),1,0)</f>
        <v/>
      </c>
    </row>
    <row r="1864" ht="15" customHeight="1" s="20">
      <c r="A1864" s="19" t="inlineStr">
        <is>
          <t>s5969</t>
        </is>
      </c>
      <c r="B1864" s="19" t="inlineStr">
        <is>
          <t>Action &amp; Adventure</t>
        </is>
      </c>
      <c r="C1864" s="19">
        <f>IFERROR(INDEX(tblNetflix[type],MATCH($A1864,tblNetflix[show_id],0)),"")</f>
        <v/>
      </c>
      <c r="D1864" s="19">
        <f>IFERROR(INDEX(tblNetflix[rating],MATCH($A1864,tblNetflix[show_id],0)),"")</f>
        <v/>
      </c>
      <c r="E1864" s="19">
        <f>IFERROR(INDEX(tblNetflix[year_added],MATCH($A1864,tblNetflix[show_id],0)),"")</f>
        <v/>
      </c>
      <c r="F1864" s="19">
        <f>IF(AND(OR(YearFilter="All",$E1864=YearFilter),OR(RatingFilter="All",$D1864=RatingFilter),OR(TypeFilter="All",$C1864=TypeFilter)),1,0)</f>
        <v/>
      </c>
    </row>
    <row r="1865" ht="15" customHeight="1" s="20">
      <c r="A1865" s="19" t="inlineStr">
        <is>
          <t>s5969</t>
        </is>
      </c>
      <c r="B1865" s="19" t="inlineStr">
        <is>
          <t>Dramas</t>
        </is>
      </c>
      <c r="C1865" s="19">
        <f>IFERROR(INDEX(tblNetflix[type],MATCH($A1865,tblNetflix[show_id],0)),"")</f>
        <v/>
      </c>
      <c r="D1865" s="19">
        <f>IFERROR(INDEX(tblNetflix[rating],MATCH($A1865,tblNetflix[show_id],0)),"")</f>
        <v/>
      </c>
      <c r="E1865" s="19">
        <f>IFERROR(INDEX(tblNetflix[year_added],MATCH($A1865,tblNetflix[show_id],0)),"")</f>
        <v/>
      </c>
      <c r="F1865" s="19">
        <f>IF(AND(OR(YearFilter="All",$E1865=YearFilter),OR(RatingFilter="All",$D1865=RatingFilter),OR(TypeFilter="All",$C1865=TypeFilter)),1,0)</f>
        <v/>
      </c>
    </row>
    <row r="1866" ht="15" customHeight="1" s="20">
      <c r="A1866" s="19" t="inlineStr">
        <is>
          <t>s5969</t>
        </is>
      </c>
      <c r="B1866" s="19" t="inlineStr">
        <is>
          <t>International Movies</t>
        </is>
      </c>
      <c r="C1866" s="19">
        <f>IFERROR(INDEX(tblNetflix[type],MATCH($A1866,tblNetflix[show_id],0)),"")</f>
        <v/>
      </c>
      <c r="D1866" s="19">
        <f>IFERROR(INDEX(tblNetflix[rating],MATCH($A1866,tblNetflix[show_id],0)),"")</f>
        <v/>
      </c>
      <c r="E1866" s="19">
        <f>IFERROR(INDEX(tblNetflix[year_added],MATCH($A1866,tblNetflix[show_id],0)),"")</f>
        <v/>
      </c>
      <c r="F1866" s="19">
        <f>IF(AND(OR(YearFilter="All",$E1866=YearFilter),OR(RatingFilter="All",$D1866=RatingFilter),OR(TypeFilter="All",$C1866=TypeFilter)),1,0)</f>
        <v/>
      </c>
    </row>
    <row r="1867" ht="15" customHeight="1" s="20">
      <c r="A1867" s="19" t="inlineStr">
        <is>
          <t>s5970</t>
        </is>
      </c>
      <c r="B1867" s="19" t="inlineStr">
        <is>
          <t>Dramas</t>
        </is>
      </c>
      <c r="C1867" s="19">
        <f>IFERROR(INDEX(tblNetflix[type],MATCH($A1867,tblNetflix[show_id],0)),"")</f>
        <v/>
      </c>
      <c r="D1867" s="19">
        <f>IFERROR(INDEX(tblNetflix[rating],MATCH($A1867,tblNetflix[show_id],0)),"")</f>
        <v/>
      </c>
      <c r="E1867" s="19">
        <f>IFERROR(INDEX(tblNetflix[year_added],MATCH($A1867,tblNetflix[show_id],0)),"")</f>
        <v/>
      </c>
      <c r="F1867" s="19">
        <f>IF(AND(OR(YearFilter="All",$E1867=YearFilter),OR(RatingFilter="All",$D1867=RatingFilter),OR(TypeFilter="All",$C1867=TypeFilter)),1,0)</f>
        <v/>
      </c>
    </row>
    <row r="1868" ht="15" customHeight="1" s="20">
      <c r="A1868" s="19" t="inlineStr">
        <is>
          <t>s5970</t>
        </is>
      </c>
      <c r="B1868" s="19" t="inlineStr">
        <is>
          <t>International Movies</t>
        </is>
      </c>
      <c r="C1868" s="19">
        <f>IFERROR(INDEX(tblNetflix[type],MATCH($A1868,tblNetflix[show_id],0)),"")</f>
        <v/>
      </c>
      <c r="D1868" s="19">
        <f>IFERROR(INDEX(tblNetflix[rating],MATCH($A1868,tblNetflix[show_id],0)),"")</f>
        <v/>
      </c>
      <c r="E1868" s="19">
        <f>IFERROR(INDEX(tblNetflix[year_added],MATCH($A1868,tblNetflix[show_id],0)),"")</f>
        <v/>
      </c>
      <c r="F1868" s="19">
        <f>IF(AND(OR(YearFilter="All",$E1868=YearFilter),OR(RatingFilter="All",$D1868=RatingFilter),OR(TypeFilter="All",$C1868=TypeFilter)),1,0)</f>
        <v/>
      </c>
    </row>
    <row r="1869" ht="15" customHeight="1" s="20">
      <c r="A1869" s="19" t="inlineStr">
        <is>
          <t>s5971</t>
        </is>
      </c>
      <c r="B1869" s="19" t="inlineStr">
        <is>
          <t>Dramas</t>
        </is>
      </c>
      <c r="C1869" s="19">
        <f>IFERROR(INDEX(tblNetflix[type],MATCH($A1869,tblNetflix[show_id],0)),"")</f>
        <v/>
      </c>
      <c r="D1869" s="19">
        <f>IFERROR(INDEX(tblNetflix[rating],MATCH($A1869,tblNetflix[show_id],0)),"")</f>
        <v/>
      </c>
      <c r="E1869" s="19">
        <f>IFERROR(INDEX(tblNetflix[year_added],MATCH($A1869,tblNetflix[show_id],0)),"")</f>
        <v/>
      </c>
      <c r="F1869" s="19">
        <f>IF(AND(OR(YearFilter="All",$E1869=YearFilter),OR(RatingFilter="All",$D1869=RatingFilter),OR(TypeFilter="All",$C1869=TypeFilter)),1,0)</f>
        <v/>
      </c>
    </row>
    <row r="1870" ht="15" customHeight="1" s="20">
      <c r="A1870" s="19" t="inlineStr">
        <is>
          <t>s5971</t>
        </is>
      </c>
      <c r="B1870" s="19" t="inlineStr">
        <is>
          <t>International Movies</t>
        </is>
      </c>
      <c r="C1870" s="19">
        <f>IFERROR(INDEX(tblNetflix[type],MATCH($A1870,tblNetflix[show_id],0)),"")</f>
        <v/>
      </c>
      <c r="D1870" s="19">
        <f>IFERROR(INDEX(tblNetflix[rating],MATCH($A1870,tblNetflix[show_id],0)),"")</f>
        <v/>
      </c>
      <c r="E1870" s="19">
        <f>IFERROR(INDEX(tblNetflix[year_added],MATCH($A1870,tblNetflix[show_id],0)),"")</f>
        <v/>
      </c>
      <c r="F1870" s="19">
        <f>IF(AND(OR(YearFilter="All",$E1870=YearFilter),OR(RatingFilter="All",$D1870=RatingFilter),OR(TypeFilter="All",$C1870=TypeFilter)),1,0)</f>
        <v/>
      </c>
    </row>
    <row r="1871" ht="15" customHeight="1" s="20">
      <c r="A1871" s="19" t="inlineStr">
        <is>
          <t>s6002</t>
        </is>
      </c>
      <c r="B1871" s="19" t="inlineStr">
        <is>
          <t>International TV Shows</t>
        </is>
      </c>
      <c r="C1871" s="19">
        <f>IFERROR(INDEX(tblNetflix[type],MATCH($A1871,tblNetflix[show_id],0)),"")</f>
        <v/>
      </c>
      <c r="D1871" s="19">
        <f>IFERROR(INDEX(tblNetflix[rating],MATCH($A1871,tblNetflix[show_id],0)),"")</f>
        <v/>
      </c>
      <c r="E1871" s="19">
        <f>IFERROR(INDEX(tblNetflix[year_added],MATCH($A1871,tblNetflix[show_id],0)),"")</f>
        <v/>
      </c>
      <c r="F1871" s="19">
        <f>IF(AND(OR(YearFilter="All",$E1871=YearFilter),OR(RatingFilter="All",$D1871=RatingFilter),OR(TypeFilter="All",$C1871=TypeFilter)),1,0)</f>
        <v/>
      </c>
    </row>
    <row r="1872" ht="15" customHeight="1" s="20">
      <c r="A1872" s="19" t="inlineStr">
        <is>
          <t>s6002</t>
        </is>
      </c>
      <c r="B1872" s="19" t="inlineStr">
        <is>
          <t>TV Dramas</t>
        </is>
      </c>
      <c r="C1872" s="19">
        <f>IFERROR(INDEX(tblNetflix[type],MATCH($A1872,tblNetflix[show_id],0)),"")</f>
        <v/>
      </c>
      <c r="D1872" s="19">
        <f>IFERROR(INDEX(tblNetflix[rating],MATCH($A1872,tblNetflix[show_id],0)),"")</f>
        <v/>
      </c>
      <c r="E1872" s="19">
        <f>IFERROR(INDEX(tblNetflix[year_added],MATCH($A1872,tblNetflix[show_id],0)),"")</f>
        <v/>
      </c>
      <c r="F1872" s="19">
        <f>IF(AND(OR(YearFilter="All",$E1872=YearFilter),OR(RatingFilter="All",$D1872=RatingFilter),OR(TypeFilter="All",$C1872=TypeFilter)),1,0)</f>
        <v/>
      </c>
    </row>
    <row r="1873" ht="15" customHeight="1" s="20">
      <c r="A1873" s="19" t="inlineStr">
        <is>
          <t>s6023</t>
        </is>
      </c>
      <c r="B1873" s="19" t="inlineStr">
        <is>
          <t>Horror Movies</t>
        </is>
      </c>
      <c r="C1873" s="19">
        <f>IFERROR(INDEX(tblNetflix[type],MATCH($A1873,tblNetflix[show_id],0)),"")</f>
        <v/>
      </c>
      <c r="D1873" s="19">
        <f>IFERROR(INDEX(tblNetflix[rating],MATCH($A1873,tblNetflix[show_id],0)),"")</f>
        <v/>
      </c>
      <c r="E1873" s="19">
        <f>IFERROR(INDEX(tblNetflix[year_added],MATCH($A1873,tblNetflix[show_id],0)),"")</f>
        <v/>
      </c>
      <c r="F1873" s="19">
        <f>IF(AND(OR(YearFilter="All",$E1873=YearFilter),OR(RatingFilter="All",$D1873=RatingFilter),OR(TypeFilter="All",$C1873=TypeFilter)),1,0)</f>
        <v/>
      </c>
    </row>
    <row r="1874" ht="15" customHeight="1" s="20">
      <c r="A1874" s="19" t="inlineStr">
        <is>
          <t>s6023</t>
        </is>
      </c>
      <c r="B1874" s="19" t="inlineStr">
        <is>
          <t>International Movies</t>
        </is>
      </c>
      <c r="C1874" s="19">
        <f>IFERROR(INDEX(tblNetflix[type],MATCH($A1874,tblNetflix[show_id],0)),"")</f>
        <v/>
      </c>
      <c r="D1874" s="19">
        <f>IFERROR(INDEX(tblNetflix[rating],MATCH($A1874,tblNetflix[show_id],0)),"")</f>
        <v/>
      </c>
      <c r="E1874" s="19">
        <f>IFERROR(INDEX(tblNetflix[year_added],MATCH($A1874,tblNetflix[show_id],0)),"")</f>
        <v/>
      </c>
      <c r="F1874" s="19">
        <f>IF(AND(OR(YearFilter="All",$E1874=YearFilter),OR(RatingFilter="All",$D1874=RatingFilter),OR(TypeFilter="All",$C1874=TypeFilter)),1,0)</f>
        <v/>
      </c>
    </row>
    <row r="1875" ht="15" customHeight="1" s="20">
      <c r="A1875" s="19" t="inlineStr">
        <is>
          <t>s6023</t>
        </is>
      </c>
      <c r="B1875" s="19" t="inlineStr">
        <is>
          <t>Thrillers</t>
        </is>
      </c>
      <c r="C1875" s="19">
        <f>IFERROR(INDEX(tblNetflix[type],MATCH($A1875,tblNetflix[show_id],0)),"")</f>
        <v/>
      </c>
      <c r="D1875" s="19">
        <f>IFERROR(INDEX(tblNetflix[rating],MATCH($A1875,tblNetflix[show_id],0)),"")</f>
        <v/>
      </c>
      <c r="E1875" s="19">
        <f>IFERROR(INDEX(tblNetflix[year_added],MATCH($A1875,tblNetflix[show_id],0)),"")</f>
        <v/>
      </c>
      <c r="F1875" s="19">
        <f>IF(AND(OR(YearFilter="All",$E1875=YearFilter),OR(RatingFilter="All",$D1875=RatingFilter),OR(TypeFilter="All",$C1875=TypeFilter)),1,0)</f>
        <v/>
      </c>
    </row>
    <row r="1876" ht="15" customHeight="1" s="20">
      <c r="A1876" s="19" t="inlineStr">
        <is>
          <t>s6025</t>
        </is>
      </c>
      <c r="B1876" s="19" t="inlineStr">
        <is>
          <t>TV Shows</t>
        </is>
      </c>
      <c r="C1876" s="19">
        <f>IFERROR(INDEX(tblNetflix[type],MATCH($A1876,tblNetflix[show_id],0)),"")</f>
        <v/>
      </c>
      <c r="D1876" s="19">
        <f>IFERROR(INDEX(tblNetflix[rating],MATCH($A1876,tblNetflix[show_id],0)),"")</f>
        <v/>
      </c>
      <c r="E1876" s="19">
        <f>IFERROR(INDEX(tblNetflix[year_added],MATCH($A1876,tblNetflix[show_id],0)),"")</f>
        <v/>
      </c>
      <c r="F1876" s="19">
        <f>IF(AND(OR(YearFilter="All",$E1876=YearFilter),OR(RatingFilter="All",$D1876=RatingFilter),OR(TypeFilter="All",$C1876=TypeFilter)),1,0)</f>
        <v/>
      </c>
    </row>
    <row r="1877" ht="15" customHeight="1" s="20">
      <c r="A1877" s="19" t="inlineStr">
        <is>
          <t>s6029</t>
        </is>
      </c>
      <c r="B1877" s="19" t="inlineStr">
        <is>
          <t>Dramas</t>
        </is>
      </c>
      <c r="C1877" s="19">
        <f>IFERROR(INDEX(tblNetflix[type],MATCH($A1877,tblNetflix[show_id],0)),"")</f>
        <v/>
      </c>
      <c r="D1877" s="19">
        <f>IFERROR(INDEX(tblNetflix[rating],MATCH($A1877,tblNetflix[show_id],0)),"")</f>
        <v/>
      </c>
      <c r="E1877" s="19">
        <f>IFERROR(INDEX(tblNetflix[year_added],MATCH($A1877,tblNetflix[show_id],0)),"")</f>
        <v/>
      </c>
      <c r="F1877" s="19">
        <f>IF(AND(OR(YearFilter="All",$E1877=YearFilter),OR(RatingFilter="All",$D1877=RatingFilter),OR(TypeFilter="All",$C1877=TypeFilter)),1,0)</f>
        <v/>
      </c>
    </row>
    <row r="1878" ht="15" customHeight="1" s="20">
      <c r="A1878" s="19" t="inlineStr">
        <is>
          <t>s6029</t>
        </is>
      </c>
      <c r="B1878" s="19" t="inlineStr">
        <is>
          <t>Independent Movies</t>
        </is>
      </c>
      <c r="C1878" s="19">
        <f>IFERROR(INDEX(tblNetflix[type],MATCH($A1878,tblNetflix[show_id],0)),"")</f>
        <v/>
      </c>
      <c r="D1878" s="19">
        <f>IFERROR(INDEX(tblNetflix[rating],MATCH($A1878,tblNetflix[show_id],0)),"")</f>
        <v/>
      </c>
      <c r="E1878" s="19">
        <f>IFERROR(INDEX(tblNetflix[year_added],MATCH($A1878,tblNetflix[show_id],0)),"")</f>
        <v/>
      </c>
      <c r="F1878" s="19">
        <f>IF(AND(OR(YearFilter="All",$E1878=YearFilter),OR(RatingFilter="All",$D1878=RatingFilter),OR(TypeFilter="All",$C1878=TypeFilter)),1,0)</f>
        <v/>
      </c>
    </row>
    <row r="1879" ht="15" customHeight="1" s="20">
      <c r="A1879" s="19" t="inlineStr">
        <is>
          <t>s6029</t>
        </is>
      </c>
      <c r="B1879" s="19" t="inlineStr">
        <is>
          <t>International Movies</t>
        </is>
      </c>
      <c r="C1879" s="19">
        <f>IFERROR(INDEX(tblNetflix[type],MATCH($A1879,tblNetflix[show_id],0)),"")</f>
        <v/>
      </c>
      <c r="D1879" s="19">
        <f>IFERROR(INDEX(tblNetflix[rating],MATCH($A1879,tblNetflix[show_id],0)),"")</f>
        <v/>
      </c>
      <c r="E1879" s="19">
        <f>IFERROR(INDEX(tblNetflix[year_added],MATCH($A1879,tblNetflix[show_id],0)),"")</f>
        <v/>
      </c>
      <c r="F1879" s="19">
        <f>IF(AND(OR(YearFilter="All",$E1879=YearFilter),OR(RatingFilter="All",$D1879=RatingFilter),OR(TypeFilter="All",$C1879=TypeFilter)),1,0)</f>
        <v/>
      </c>
    </row>
    <row r="1880" ht="15" customHeight="1" s="20">
      <c r="A1880" s="19" t="inlineStr">
        <is>
          <t>s6036</t>
        </is>
      </c>
      <c r="B1880" s="19" t="inlineStr">
        <is>
          <t>Action &amp; Adventure</t>
        </is>
      </c>
      <c r="C1880" s="19">
        <f>IFERROR(INDEX(tblNetflix[type],MATCH($A1880,tblNetflix[show_id],0)),"")</f>
        <v/>
      </c>
      <c r="D1880" s="19">
        <f>IFERROR(INDEX(tblNetflix[rating],MATCH($A1880,tblNetflix[show_id],0)),"")</f>
        <v/>
      </c>
      <c r="E1880" s="19">
        <f>IFERROR(INDEX(tblNetflix[year_added],MATCH($A1880,tblNetflix[show_id],0)),"")</f>
        <v/>
      </c>
      <c r="F1880" s="19">
        <f>IF(AND(OR(YearFilter="All",$E1880=YearFilter),OR(RatingFilter="All",$D1880=RatingFilter),OR(TypeFilter="All",$C1880=TypeFilter)),1,0)</f>
        <v/>
      </c>
    </row>
    <row r="1881" ht="15" customHeight="1" s="20">
      <c r="A1881" s="19" t="inlineStr">
        <is>
          <t>s6036</t>
        </is>
      </c>
      <c r="B1881" s="19" t="inlineStr">
        <is>
          <t>International Movies</t>
        </is>
      </c>
      <c r="C1881" s="19">
        <f>IFERROR(INDEX(tblNetflix[type],MATCH($A1881,tblNetflix[show_id],0)),"")</f>
        <v/>
      </c>
      <c r="D1881" s="19">
        <f>IFERROR(INDEX(tblNetflix[rating],MATCH($A1881,tblNetflix[show_id],0)),"")</f>
        <v/>
      </c>
      <c r="E1881" s="19">
        <f>IFERROR(INDEX(tblNetflix[year_added],MATCH($A1881,tblNetflix[show_id],0)),"")</f>
        <v/>
      </c>
      <c r="F1881" s="19">
        <f>IF(AND(OR(YearFilter="All",$E1881=YearFilter),OR(RatingFilter="All",$D1881=RatingFilter),OR(TypeFilter="All",$C1881=TypeFilter)),1,0)</f>
        <v/>
      </c>
    </row>
    <row r="1882" ht="15" customHeight="1" s="20">
      <c r="A1882" s="19" t="inlineStr">
        <is>
          <t>s6036</t>
        </is>
      </c>
      <c r="B1882" s="19" t="inlineStr">
        <is>
          <t>Sci-Fi &amp; Fantasy</t>
        </is>
      </c>
      <c r="C1882" s="19">
        <f>IFERROR(INDEX(tblNetflix[type],MATCH($A1882,tblNetflix[show_id],0)),"")</f>
        <v/>
      </c>
      <c r="D1882" s="19">
        <f>IFERROR(INDEX(tblNetflix[rating],MATCH($A1882,tblNetflix[show_id],0)),"")</f>
        <v/>
      </c>
      <c r="E1882" s="19">
        <f>IFERROR(INDEX(tblNetflix[year_added],MATCH($A1882,tblNetflix[show_id],0)),"")</f>
        <v/>
      </c>
      <c r="F1882" s="19">
        <f>IF(AND(OR(YearFilter="All",$E1882=YearFilter),OR(RatingFilter="All",$D1882=RatingFilter),OR(TypeFilter="All",$C1882=TypeFilter)),1,0)</f>
        <v/>
      </c>
    </row>
    <row r="1883" ht="15" customHeight="1" s="20">
      <c r="A1883" s="19" t="inlineStr">
        <is>
          <t>s6056</t>
        </is>
      </c>
      <c r="B1883" s="19" t="inlineStr">
        <is>
          <t>International Movies</t>
        </is>
      </c>
      <c r="C1883" s="19">
        <f>IFERROR(INDEX(tblNetflix[type],MATCH($A1883,tblNetflix[show_id],0)),"")</f>
        <v/>
      </c>
      <c r="D1883" s="19">
        <f>IFERROR(INDEX(tblNetflix[rating],MATCH($A1883,tblNetflix[show_id],0)),"")</f>
        <v/>
      </c>
      <c r="E1883" s="19">
        <f>IFERROR(INDEX(tblNetflix[year_added],MATCH($A1883,tblNetflix[show_id],0)),"")</f>
        <v/>
      </c>
      <c r="F1883" s="19">
        <f>IF(AND(OR(YearFilter="All",$E1883=YearFilter),OR(RatingFilter="All",$D1883=RatingFilter),OR(TypeFilter="All",$C1883=TypeFilter)),1,0)</f>
        <v/>
      </c>
    </row>
    <row r="1884" ht="15" customHeight="1" s="20">
      <c r="A1884" s="19" t="inlineStr">
        <is>
          <t>s6056</t>
        </is>
      </c>
      <c r="B1884" s="19" t="inlineStr">
        <is>
          <t>Thrillers</t>
        </is>
      </c>
      <c r="C1884" s="19">
        <f>IFERROR(INDEX(tblNetflix[type],MATCH($A1884,tblNetflix[show_id],0)),"")</f>
        <v/>
      </c>
      <c r="D1884" s="19">
        <f>IFERROR(INDEX(tblNetflix[rating],MATCH($A1884,tblNetflix[show_id],0)),"")</f>
        <v/>
      </c>
      <c r="E1884" s="19">
        <f>IFERROR(INDEX(tblNetflix[year_added],MATCH($A1884,tblNetflix[show_id],0)),"")</f>
        <v/>
      </c>
      <c r="F1884" s="19">
        <f>IF(AND(OR(YearFilter="All",$E1884=YearFilter),OR(RatingFilter="All",$D1884=RatingFilter),OR(TypeFilter="All",$C1884=TypeFilter)),1,0)</f>
        <v/>
      </c>
    </row>
    <row r="1885" ht="15" customHeight="1" s="20">
      <c r="A1885" s="19" t="inlineStr">
        <is>
          <t>s6064</t>
        </is>
      </c>
      <c r="B1885" s="19" t="inlineStr">
        <is>
          <t>Action &amp; Adventure</t>
        </is>
      </c>
      <c r="C1885" s="19">
        <f>IFERROR(INDEX(tblNetflix[type],MATCH($A1885,tblNetflix[show_id],0)),"")</f>
        <v/>
      </c>
      <c r="D1885" s="19">
        <f>IFERROR(INDEX(tblNetflix[rating],MATCH($A1885,tblNetflix[show_id],0)),"")</f>
        <v/>
      </c>
      <c r="E1885" s="19">
        <f>IFERROR(INDEX(tblNetflix[year_added],MATCH($A1885,tblNetflix[show_id],0)),"")</f>
        <v/>
      </c>
      <c r="F1885" s="19">
        <f>IF(AND(OR(YearFilter="All",$E1885=YearFilter),OR(RatingFilter="All",$D1885=RatingFilter),OR(TypeFilter="All",$C1885=TypeFilter)),1,0)</f>
        <v/>
      </c>
    </row>
    <row r="1886" ht="15" customHeight="1" s="20">
      <c r="A1886" s="19" t="inlineStr">
        <is>
          <t>s6064</t>
        </is>
      </c>
      <c r="B1886" s="19" t="inlineStr">
        <is>
          <t>Dramas</t>
        </is>
      </c>
      <c r="C1886" s="19">
        <f>IFERROR(INDEX(tblNetflix[type],MATCH($A1886,tblNetflix[show_id],0)),"")</f>
        <v/>
      </c>
      <c r="D1886" s="19">
        <f>IFERROR(INDEX(tblNetflix[rating],MATCH($A1886,tblNetflix[show_id],0)),"")</f>
        <v/>
      </c>
      <c r="E1886" s="19">
        <f>IFERROR(INDEX(tblNetflix[year_added],MATCH($A1886,tblNetflix[show_id],0)),"")</f>
        <v/>
      </c>
      <c r="F1886" s="19">
        <f>IF(AND(OR(YearFilter="All",$E1886=YearFilter),OR(RatingFilter="All",$D1886=RatingFilter),OR(TypeFilter="All",$C1886=TypeFilter)),1,0)</f>
        <v/>
      </c>
    </row>
    <row r="1887" ht="15" customHeight="1" s="20">
      <c r="A1887" s="19" t="inlineStr">
        <is>
          <t>s6064</t>
        </is>
      </c>
      <c r="B1887" s="19" t="inlineStr">
        <is>
          <t>International Movies</t>
        </is>
      </c>
      <c r="C1887" s="19">
        <f>IFERROR(INDEX(tblNetflix[type],MATCH($A1887,tblNetflix[show_id],0)),"")</f>
        <v/>
      </c>
      <c r="D1887" s="19">
        <f>IFERROR(INDEX(tblNetflix[rating],MATCH($A1887,tblNetflix[show_id],0)),"")</f>
        <v/>
      </c>
      <c r="E1887" s="19">
        <f>IFERROR(INDEX(tblNetflix[year_added],MATCH($A1887,tblNetflix[show_id],0)),"")</f>
        <v/>
      </c>
      <c r="F1887" s="19">
        <f>IF(AND(OR(YearFilter="All",$E1887=YearFilter),OR(RatingFilter="All",$D1887=RatingFilter),OR(TypeFilter="All",$C1887=TypeFilter)),1,0)</f>
        <v/>
      </c>
    </row>
    <row r="1888" ht="15" customHeight="1" s="20">
      <c r="A1888" s="19" t="inlineStr">
        <is>
          <t>s6072</t>
        </is>
      </c>
      <c r="B1888" s="19" t="inlineStr">
        <is>
          <t>Comedies</t>
        </is>
      </c>
      <c r="C1888" s="19">
        <f>IFERROR(INDEX(tblNetflix[type],MATCH($A1888,tblNetflix[show_id],0)),"")</f>
        <v/>
      </c>
      <c r="D1888" s="19">
        <f>IFERROR(INDEX(tblNetflix[rating],MATCH($A1888,tblNetflix[show_id],0)),"")</f>
        <v/>
      </c>
      <c r="E1888" s="19">
        <f>IFERROR(INDEX(tblNetflix[year_added],MATCH($A1888,tblNetflix[show_id],0)),"")</f>
        <v/>
      </c>
      <c r="F1888" s="19">
        <f>IF(AND(OR(YearFilter="All",$E1888=YearFilter),OR(RatingFilter="All",$D1888=RatingFilter),OR(TypeFilter="All",$C1888=TypeFilter)),1,0)</f>
        <v/>
      </c>
    </row>
    <row r="1889" ht="15" customHeight="1" s="20">
      <c r="A1889" s="19" t="inlineStr">
        <is>
          <t>s6072</t>
        </is>
      </c>
      <c r="B1889" s="19" t="inlineStr">
        <is>
          <t>International Movies</t>
        </is>
      </c>
      <c r="C1889" s="19">
        <f>IFERROR(INDEX(tblNetflix[type],MATCH($A1889,tblNetflix[show_id],0)),"")</f>
        <v/>
      </c>
      <c r="D1889" s="19">
        <f>IFERROR(INDEX(tblNetflix[rating],MATCH($A1889,tblNetflix[show_id],0)),"")</f>
        <v/>
      </c>
      <c r="E1889" s="19">
        <f>IFERROR(INDEX(tblNetflix[year_added],MATCH($A1889,tblNetflix[show_id],0)),"")</f>
        <v/>
      </c>
      <c r="F1889" s="19">
        <f>IF(AND(OR(YearFilter="All",$E1889=YearFilter),OR(RatingFilter="All",$D1889=RatingFilter),OR(TypeFilter="All",$C1889=TypeFilter)),1,0)</f>
        <v/>
      </c>
    </row>
    <row r="1890" ht="15" customHeight="1" s="20">
      <c r="A1890" s="19" t="inlineStr">
        <is>
          <t>s6073</t>
        </is>
      </c>
      <c r="B1890" s="19" t="inlineStr">
        <is>
          <t>Comedies</t>
        </is>
      </c>
      <c r="C1890" s="19">
        <f>IFERROR(INDEX(tblNetflix[type],MATCH($A1890,tblNetflix[show_id],0)),"")</f>
        <v/>
      </c>
      <c r="D1890" s="19">
        <f>IFERROR(INDEX(tblNetflix[rating],MATCH($A1890,tblNetflix[show_id],0)),"")</f>
        <v/>
      </c>
      <c r="E1890" s="19">
        <f>IFERROR(INDEX(tblNetflix[year_added],MATCH($A1890,tblNetflix[show_id],0)),"")</f>
        <v/>
      </c>
      <c r="F1890" s="19">
        <f>IF(AND(OR(YearFilter="All",$E1890=YearFilter),OR(RatingFilter="All",$D1890=RatingFilter),OR(TypeFilter="All",$C1890=TypeFilter)),1,0)</f>
        <v/>
      </c>
    </row>
    <row r="1891" ht="15" customHeight="1" s="20">
      <c r="A1891" s="19" t="inlineStr">
        <is>
          <t>s6073</t>
        </is>
      </c>
      <c r="B1891" s="19" t="inlineStr">
        <is>
          <t>Dramas</t>
        </is>
      </c>
      <c r="C1891" s="19">
        <f>IFERROR(INDEX(tblNetflix[type],MATCH($A1891,tblNetflix[show_id],0)),"")</f>
        <v/>
      </c>
      <c r="D1891" s="19">
        <f>IFERROR(INDEX(tblNetflix[rating],MATCH($A1891,tblNetflix[show_id],0)),"")</f>
        <v/>
      </c>
      <c r="E1891" s="19">
        <f>IFERROR(INDEX(tblNetflix[year_added],MATCH($A1891,tblNetflix[show_id],0)),"")</f>
        <v/>
      </c>
      <c r="F1891" s="19">
        <f>IF(AND(OR(YearFilter="All",$E1891=YearFilter),OR(RatingFilter="All",$D1891=RatingFilter),OR(TypeFilter="All",$C1891=TypeFilter)),1,0)</f>
        <v/>
      </c>
    </row>
    <row r="1892" ht="15" customHeight="1" s="20">
      <c r="A1892" s="19" t="inlineStr">
        <is>
          <t>s6073</t>
        </is>
      </c>
      <c r="B1892" s="19" t="inlineStr">
        <is>
          <t>International Movies</t>
        </is>
      </c>
      <c r="C1892" s="19">
        <f>IFERROR(INDEX(tblNetflix[type],MATCH($A1892,tblNetflix[show_id],0)),"")</f>
        <v/>
      </c>
      <c r="D1892" s="19">
        <f>IFERROR(INDEX(tblNetflix[rating],MATCH($A1892,tblNetflix[show_id],0)),"")</f>
        <v/>
      </c>
      <c r="E1892" s="19">
        <f>IFERROR(INDEX(tblNetflix[year_added],MATCH($A1892,tblNetflix[show_id],0)),"")</f>
        <v/>
      </c>
      <c r="F1892" s="19">
        <f>IF(AND(OR(YearFilter="All",$E1892=YearFilter),OR(RatingFilter="All",$D1892=RatingFilter),OR(TypeFilter="All",$C1892=TypeFilter)),1,0)</f>
        <v/>
      </c>
    </row>
    <row r="1893" ht="15" customHeight="1" s="20">
      <c r="A1893" s="19" t="inlineStr">
        <is>
          <t>s6074</t>
        </is>
      </c>
      <c r="B1893" s="19" t="inlineStr">
        <is>
          <t>Dramas</t>
        </is>
      </c>
      <c r="C1893" s="19">
        <f>IFERROR(INDEX(tblNetflix[type],MATCH($A1893,tblNetflix[show_id],0)),"")</f>
        <v/>
      </c>
      <c r="D1893" s="19">
        <f>IFERROR(INDEX(tblNetflix[rating],MATCH($A1893,tblNetflix[show_id],0)),"")</f>
        <v/>
      </c>
      <c r="E1893" s="19">
        <f>IFERROR(INDEX(tblNetflix[year_added],MATCH($A1893,tblNetflix[show_id],0)),"")</f>
        <v/>
      </c>
      <c r="F1893" s="19">
        <f>IF(AND(OR(YearFilter="All",$E1893=YearFilter),OR(RatingFilter="All",$D1893=RatingFilter),OR(TypeFilter="All",$C1893=TypeFilter)),1,0)</f>
        <v/>
      </c>
    </row>
    <row r="1894" ht="15" customHeight="1" s="20">
      <c r="A1894" s="19" t="inlineStr">
        <is>
          <t>s6074</t>
        </is>
      </c>
      <c r="B1894" s="19" t="inlineStr">
        <is>
          <t>International Movies</t>
        </is>
      </c>
      <c r="C1894" s="19">
        <f>IFERROR(INDEX(tblNetflix[type],MATCH($A1894,tblNetflix[show_id],0)),"")</f>
        <v/>
      </c>
      <c r="D1894" s="19">
        <f>IFERROR(INDEX(tblNetflix[rating],MATCH($A1894,tblNetflix[show_id],0)),"")</f>
        <v/>
      </c>
      <c r="E1894" s="19">
        <f>IFERROR(INDEX(tblNetflix[year_added],MATCH($A1894,tblNetflix[show_id],0)),"")</f>
        <v/>
      </c>
      <c r="F1894" s="19">
        <f>IF(AND(OR(YearFilter="All",$E1894=YearFilter),OR(RatingFilter="All",$D1894=RatingFilter),OR(TypeFilter="All",$C1894=TypeFilter)),1,0)</f>
        <v/>
      </c>
    </row>
    <row r="1895" ht="15" customHeight="1" s="20">
      <c r="A1895" s="19" t="inlineStr">
        <is>
          <t>s6075</t>
        </is>
      </c>
      <c r="B1895" s="19" t="inlineStr">
        <is>
          <t>Dramas</t>
        </is>
      </c>
      <c r="C1895" s="19">
        <f>IFERROR(INDEX(tblNetflix[type],MATCH($A1895,tblNetflix[show_id],0)),"")</f>
        <v/>
      </c>
      <c r="D1895" s="19">
        <f>IFERROR(INDEX(tblNetflix[rating],MATCH($A1895,tblNetflix[show_id],0)),"")</f>
        <v/>
      </c>
      <c r="E1895" s="19">
        <f>IFERROR(INDEX(tblNetflix[year_added],MATCH($A1895,tblNetflix[show_id],0)),"")</f>
        <v/>
      </c>
      <c r="F1895" s="19">
        <f>IF(AND(OR(YearFilter="All",$E1895=YearFilter),OR(RatingFilter="All",$D1895=RatingFilter),OR(TypeFilter="All",$C1895=TypeFilter)),1,0)</f>
        <v/>
      </c>
    </row>
    <row r="1896" ht="15" customHeight="1" s="20">
      <c r="A1896" s="19" t="inlineStr">
        <is>
          <t>s6075</t>
        </is>
      </c>
      <c r="B1896" s="19" t="inlineStr">
        <is>
          <t>International Movies</t>
        </is>
      </c>
      <c r="C1896" s="19">
        <f>IFERROR(INDEX(tblNetflix[type],MATCH($A1896,tblNetflix[show_id],0)),"")</f>
        <v/>
      </c>
      <c r="D1896" s="19">
        <f>IFERROR(INDEX(tblNetflix[rating],MATCH($A1896,tblNetflix[show_id],0)),"")</f>
        <v/>
      </c>
      <c r="E1896" s="19">
        <f>IFERROR(INDEX(tblNetflix[year_added],MATCH($A1896,tblNetflix[show_id],0)),"")</f>
        <v/>
      </c>
      <c r="F1896" s="19">
        <f>IF(AND(OR(YearFilter="All",$E1896=YearFilter),OR(RatingFilter="All",$D1896=RatingFilter),OR(TypeFilter="All",$C1896=TypeFilter)),1,0)</f>
        <v/>
      </c>
    </row>
    <row r="1897" ht="15" customHeight="1" s="20">
      <c r="A1897" s="19" t="inlineStr">
        <is>
          <t>s6076</t>
        </is>
      </c>
      <c r="B1897" s="19" t="inlineStr">
        <is>
          <t>Comedies</t>
        </is>
      </c>
      <c r="C1897" s="19">
        <f>IFERROR(INDEX(tblNetflix[type],MATCH($A1897,tblNetflix[show_id],0)),"")</f>
        <v/>
      </c>
      <c r="D1897" s="19">
        <f>IFERROR(INDEX(tblNetflix[rating],MATCH($A1897,tblNetflix[show_id],0)),"")</f>
        <v/>
      </c>
      <c r="E1897" s="19">
        <f>IFERROR(INDEX(tblNetflix[year_added],MATCH($A1897,tblNetflix[show_id],0)),"")</f>
        <v/>
      </c>
      <c r="F1897" s="19">
        <f>IF(AND(OR(YearFilter="All",$E1897=YearFilter),OR(RatingFilter="All",$D1897=RatingFilter),OR(TypeFilter="All",$C1897=TypeFilter)),1,0)</f>
        <v/>
      </c>
    </row>
    <row r="1898" ht="15" customHeight="1" s="20">
      <c r="A1898" s="19" t="inlineStr">
        <is>
          <t>s6076</t>
        </is>
      </c>
      <c r="B1898" s="19" t="inlineStr">
        <is>
          <t>Dramas</t>
        </is>
      </c>
      <c r="C1898" s="19">
        <f>IFERROR(INDEX(tblNetflix[type],MATCH($A1898,tblNetflix[show_id],0)),"")</f>
        <v/>
      </c>
      <c r="D1898" s="19">
        <f>IFERROR(INDEX(tblNetflix[rating],MATCH($A1898,tblNetflix[show_id],0)),"")</f>
        <v/>
      </c>
      <c r="E1898" s="19">
        <f>IFERROR(INDEX(tblNetflix[year_added],MATCH($A1898,tblNetflix[show_id],0)),"")</f>
        <v/>
      </c>
      <c r="F1898" s="19">
        <f>IF(AND(OR(YearFilter="All",$E1898=YearFilter),OR(RatingFilter="All",$D1898=RatingFilter),OR(TypeFilter="All",$C1898=TypeFilter)),1,0)</f>
        <v/>
      </c>
    </row>
    <row r="1899" ht="15" customHeight="1" s="20">
      <c r="A1899" s="19" t="inlineStr">
        <is>
          <t>s6076</t>
        </is>
      </c>
      <c r="B1899" s="19" t="inlineStr">
        <is>
          <t>International Movies</t>
        </is>
      </c>
      <c r="C1899" s="19">
        <f>IFERROR(INDEX(tblNetflix[type],MATCH($A1899,tblNetflix[show_id],0)),"")</f>
        <v/>
      </c>
      <c r="D1899" s="19">
        <f>IFERROR(INDEX(tblNetflix[rating],MATCH($A1899,tblNetflix[show_id],0)),"")</f>
        <v/>
      </c>
      <c r="E1899" s="19">
        <f>IFERROR(INDEX(tblNetflix[year_added],MATCH($A1899,tblNetflix[show_id],0)),"")</f>
        <v/>
      </c>
      <c r="F1899" s="19">
        <f>IF(AND(OR(YearFilter="All",$E1899=YearFilter),OR(RatingFilter="All",$D1899=RatingFilter),OR(TypeFilter="All",$C1899=TypeFilter)),1,0)</f>
        <v/>
      </c>
    </row>
    <row r="1900" ht="15" customHeight="1" s="20">
      <c r="A1900" s="19" t="inlineStr">
        <is>
          <t>s6077</t>
        </is>
      </c>
      <c r="B1900" s="19" t="inlineStr">
        <is>
          <t>Comedies</t>
        </is>
      </c>
      <c r="C1900" s="19">
        <f>IFERROR(INDEX(tblNetflix[type],MATCH($A1900,tblNetflix[show_id],0)),"")</f>
        <v/>
      </c>
      <c r="D1900" s="19">
        <f>IFERROR(INDEX(tblNetflix[rating],MATCH($A1900,tblNetflix[show_id],0)),"")</f>
        <v/>
      </c>
      <c r="E1900" s="19">
        <f>IFERROR(INDEX(tblNetflix[year_added],MATCH($A1900,tblNetflix[show_id],0)),"")</f>
        <v/>
      </c>
      <c r="F1900" s="19">
        <f>IF(AND(OR(YearFilter="All",$E1900=YearFilter),OR(RatingFilter="All",$D1900=RatingFilter),OR(TypeFilter="All",$C1900=TypeFilter)),1,0)</f>
        <v/>
      </c>
    </row>
    <row r="1901" ht="15" customHeight="1" s="20">
      <c r="A1901" s="19" t="inlineStr">
        <is>
          <t>s6077</t>
        </is>
      </c>
      <c r="B1901" s="19" t="inlineStr">
        <is>
          <t>Dramas</t>
        </is>
      </c>
      <c r="C1901" s="19">
        <f>IFERROR(INDEX(tblNetflix[type],MATCH($A1901,tblNetflix[show_id],0)),"")</f>
        <v/>
      </c>
      <c r="D1901" s="19">
        <f>IFERROR(INDEX(tblNetflix[rating],MATCH($A1901,tblNetflix[show_id],0)),"")</f>
        <v/>
      </c>
      <c r="E1901" s="19">
        <f>IFERROR(INDEX(tblNetflix[year_added],MATCH($A1901,tblNetflix[show_id],0)),"")</f>
        <v/>
      </c>
      <c r="F1901" s="19">
        <f>IF(AND(OR(YearFilter="All",$E1901=YearFilter),OR(RatingFilter="All",$D1901=RatingFilter),OR(TypeFilter="All",$C1901=TypeFilter)),1,0)</f>
        <v/>
      </c>
    </row>
    <row r="1902" ht="15" customHeight="1" s="20">
      <c r="A1902" s="19" t="inlineStr">
        <is>
          <t>s6077</t>
        </is>
      </c>
      <c r="B1902" s="19" t="inlineStr">
        <is>
          <t>International Movies</t>
        </is>
      </c>
      <c r="C1902" s="19">
        <f>IFERROR(INDEX(tblNetflix[type],MATCH($A1902,tblNetflix[show_id],0)),"")</f>
        <v/>
      </c>
      <c r="D1902" s="19">
        <f>IFERROR(INDEX(tblNetflix[rating],MATCH($A1902,tblNetflix[show_id],0)),"")</f>
        <v/>
      </c>
      <c r="E1902" s="19">
        <f>IFERROR(INDEX(tblNetflix[year_added],MATCH($A1902,tblNetflix[show_id],0)),"")</f>
        <v/>
      </c>
      <c r="F1902" s="19">
        <f>IF(AND(OR(YearFilter="All",$E1902=YearFilter),OR(RatingFilter="All",$D1902=RatingFilter),OR(TypeFilter="All",$C1902=TypeFilter)),1,0)</f>
        <v/>
      </c>
    </row>
    <row r="1903" ht="15" customHeight="1" s="20">
      <c r="A1903" s="19" t="inlineStr">
        <is>
          <t>s6079</t>
        </is>
      </c>
      <c r="B1903" s="19" t="inlineStr">
        <is>
          <t>Comedies</t>
        </is>
      </c>
      <c r="C1903" s="19">
        <f>IFERROR(INDEX(tblNetflix[type],MATCH($A1903,tblNetflix[show_id],0)),"")</f>
        <v/>
      </c>
      <c r="D1903" s="19">
        <f>IFERROR(INDEX(tblNetflix[rating],MATCH($A1903,tblNetflix[show_id],0)),"")</f>
        <v/>
      </c>
      <c r="E1903" s="19">
        <f>IFERROR(INDEX(tblNetflix[year_added],MATCH($A1903,tblNetflix[show_id],0)),"")</f>
        <v/>
      </c>
      <c r="F1903" s="19">
        <f>IF(AND(OR(YearFilter="All",$E1903=YearFilter),OR(RatingFilter="All",$D1903=RatingFilter),OR(TypeFilter="All",$C1903=TypeFilter)),1,0)</f>
        <v/>
      </c>
    </row>
    <row r="1904" ht="15" customHeight="1" s="20">
      <c r="A1904" s="19" t="inlineStr">
        <is>
          <t>s6079</t>
        </is>
      </c>
      <c r="B1904" s="19" t="inlineStr">
        <is>
          <t>International Movies</t>
        </is>
      </c>
      <c r="C1904" s="19">
        <f>IFERROR(INDEX(tblNetflix[type],MATCH($A1904,tblNetflix[show_id],0)),"")</f>
        <v/>
      </c>
      <c r="D1904" s="19">
        <f>IFERROR(INDEX(tblNetflix[rating],MATCH($A1904,tblNetflix[show_id],0)),"")</f>
        <v/>
      </c>
      <c r="E1904" s="19">
        <f>IFERROR(INDEX(tblNetflix[year_added],MATCH($A1904,tblNetflix[show_id],0)),"")</f>
        <v/>
      </c>
      <c r="F1904" s="19">
        <f>IF(AND(OR(YearFilter="All",$E1904=YearFilter),OR(RatingFilter="All",$D1904=RatingFilter),OR(TypeFilter="All",$C1904=TypeFilter)),1,0)</f>
        <v/>
      </c>
    </row>
    <row r="1905" ht="15" customHeight="1" s="20">
      <c r="A1905" s="19" t="inlineStr">
        <is>
          <t>s6079</t>
        </is>
      </c>
      <c r="B1905" s="19" t="inlineStr">
        <is>
          <t>Sci-Fi &amp; Fantasy</t>
        </is>
      </c>
      <c r="C1905" s="19">
        <f>IFERROR(INDEX(tblNetflix[type],MATCH($A1905,tblNetflix[show_id],0)),"")</f>
        <v/>
      </c>
      <c r="D1905" s="19">
        <f>IFERROR(INDEX(tblNetflix[rating],MATCH($A1905,tblNetflix[show_id],0)),"")</f>
        <v/>
      </c>
      <c r="E1905" s="19">
        <f>IFERROR(INDEX(tblNetflix[year_added],MATCH($A1905,tblNetflix[show_id],0)),"")</f>
        <v/>
      </c>
      <c r="F1905" s="19">
        <f>IF(AND(OR(YearFilter="All",$E1905=YearFilter),OR(RatingFilter="All",$D1905=RatingFilter),OR(TypeFilter="All",$C1905=TypeFilter)),1,0)</f>
        <v/>
      </c>
    </row>
    <row r="1906" ht="15" customHeight="1" s="20">
      <c r="A1906" s="19" t="inlineStr">
        <is>
          <t>s6093</t>
        </is>
      </c>
      <c r="B1906" s="19" t="inlineStr">
        <is>
          <t>Horror Movies</t>
        </is>
      </c>
      <c r="C1906" s="19">
        <f>IFERROR(INDEX(tblNetflix[type],MATCH($A1906,tblNetflix[show_id],0)),"")</f>
        <v/>
      </c>
      <c r="D1906" s="19">
        <f>IFERROR(INDEX(tblNetflix[rating],MATCH($A1906,tblNetflix[show_id],0)),"")</f>
        <v/>
      </c>
      <c r="E1906" s="19">
        <f>IFERROR(INDEX(tblNetflix[year_added],MATCH($A1906,tblNetflix[show_id],0)),"")</f>
        <v/>
      </c>
      <c r="F1906" s="19">
        <f>IF(AND(OR(YearFilter="All",$E1906=YearFilter),OR(RatingFilter="All",$D1906=RatingFilter),OR(TypeFilter="All",$C1906=TypeFilter)),1,0)</f>
        <v/>
      </c>
    </row>
    <row r="1907" ht="15" customHeight="1" s="20">
      <c r="A1907" s="19" t="inlineStr">
        <is>
          <t>s6093</t>
        </is>
      </c>
      <c r="B1907" s="19" t="inlineStr">
        <is>
          <t>Independent Movies</t>
        </is>
      </c>
      <c r="C1907" s="19">
        <f>IFERROR(INDEX(tblNetflix[type],MATCH($A1907,tblNetflix[show_id],0)),"")</f>
        <v/>
      </c>
      <c r="D1907" s="19">
        <f>IFERROR(INDEX(tblNetflix[rating],MATCH($A1907,tblNetflix[show_id],0)),"")</f>
        <v/>
      </c>
      <c r="E1907" s="19">
        <f>IFERROR(INDEX(tblNetflix[year_added],MATCH($A1907,tblNetflix[show_id],0)),"")</f>
        <v/>
      </c>
      <c r="F1907" s="19">
        <f>IF(AND(OR(YearFilter="All",$E1907=YearFilter),OR(RatingFilter="All",$D1907=RatingFilter),OR(TypeFilter="All",$C1907=TypeFilter)),1,0)</f>
        <v/>
      </c>
    </row>
    <row r="1908" ht="15" customHeight="1" s="20">
      <c r="A1908" s="19" t="inlineStr">
        <is>
          <t>s6093</t>
        </is>
      </c>
      <c r="B1908" s="19" t="inlineStr">
        <is>
          <t>International Movies</t>
        </is>
      </c>
      <c r="C1908" s="19">
        <f>IFERROR(INDEX(tblNetflix[type],MATCH($A1908,tblNetflix[show_id],0)),"")</f>
        <v/>
      </c>
      <c r="D1908" s="19">
        <f>IFERROR(INDEX(tblNetflix[rating],MATCH($A1908,tblNetflix[show_id],0)),"")</f>
        <v/>
      </c>
      <c r="E1908" s="19">
        <f>IFERROR(INDEX(tblNetflix[year_added],MATCH($A1908,tblNetflix[show_id],0)),"")</f>
        <v/>
      </c>
      <c r="F1908" s="19">
        <f>IF(AND(OR(YearFilter="All",$E1908=YearFilter),OR(RatingFilter="All",$D1908=RatingFilter),OR(TypeFilter="All",$C1908=TypeFilter)),1,0)</f>
        <v/>
      </c>
    </row>
    <row r="1909" ht="15" customHeight="1" s="20">
      <c r="A1909" s="19" t="inlineStr">
        <is>
          <t>s6103</t>
        </is>
      </c>
      <c r="B1909" s="19" t="inlineStr">
        <is>
          <t>Crime TV Shows</t>
        </is>
      </c>
      <c r="C1909" s="19">
        <f>IFERROR(INDEX(tblNetflix[type],MATCH($A1909,tblNetflix[show_id],0)),"")</f>
        <v/>
      </c>
      <c r="D1909" s="19">
        <f>IFERROR(INDEX(tblNetflix[rating],MATCH($A1909,tblNetflix[show_id],0)),"")</f>
        <v/>
      </c>
      <c r="E1909" s="19">
        <f>IFERROR(INDEX(tblNetflix[year_added],MATCH($A1909,tblNetflix[show_id],0)),"")</f>
        <v/>
      </c>
      <c r="F1909" s="19">
        <f>IF(AND(OR(YearFilter="All",$E1909=YearFilter),OR(RatingFilter="All",$D1909=RatingFilter),OR(TypeFilter="All",$C1909=TypeFilter)),1,0)</f>
        <v/>
      </c>
    </row>
    <row r="1910" ht="15" customHeight="1" s="20">
      <c r="A1910" s="19" t="inlineStr">
        <is>
          <t>s6103</t>
        </is>
      </c>
      <c r="B1910" s="19" t="inlineStr">
        <is>
          <t>International TV Shows</t>
        </is>
      </c>
      <c r="C1910" s="19">
        <f>IFERROR(INDEX(tblNetflix[type],MATCH($A1910,tblNetflix[show_id],0)),"")</f>
        <v/>
      </c>
      <c r="D1910" s="19">
        <f>IFERROR(INDEX(tblNetflix[rating],MATCH($A1910,tblNetflix[show_id],0)),"")</f>
        <v/>
      </c>
      <c r="E1910" s="19">
        <f>IFERROR(INDEX(tblNetflix[year_added],MATCH($A1910,tblNetflix[show_id],0)),"")</f>
        <v/>
      </c>
      <c r="F1910" s="19">
        <f>IF(AND(OR(YearFilter="All",$E1910=YearFilter),OR(RatingFilter="All",$D1910=RatingFilter),OR(TypeFilter="All",$C1910=TypeFilter)),1,0)</f>
        <v/>
      </c>
    </row>
    <row r="1911" ht="15" customHeight="1" s="20">
      <c r="A1911" s="19" t="inlineStr">
        <is>
          <t>s6103</t>
        </is>
      </c>
      <c r="B1911" s="19" t="inlineStr">
        <is>
          <t>TV Action &amp; Adventure</t>
        </is>
      </c>
      <c r="C1911" s="19">
        <f>IFERROR(INDEX(tblNetflix[type],MATCH($A1911,tblNetflix[show_id],0)),"")</f>
        <v/>
      </c>
      <c r="D1911" s="19">
        <f>IFERROR(INDEX(tblNetflix[rating],MATCH($A1911,tblNetflix[show_id],0)),"")</f>
        <v/>
      </c>
      <c r="E1911" s="19">
        <f>IFERROR(INDEX(tblNetflix[year_added],MATCH($A1911,tblNetflix[show_id],0)),"")</f>
        <v/>
      </c>
      <c r="F1911" s="19">
        <f>IF(AND(OR(YearFilter="All",$E1911=YearFilter),OR(RatingFilter="All",$D1911=RatingFilter),OR(TypeFilter="All",$C1911=TypeFilter)),1,0)</f>
        <v/>
      </c>
    </row>
    <row r="1912" ht="15" customHeight="1" s="20">
      <c r="A1912" s="19" t="inlineStr">
        <is>
          <t>s6104</t>
        </is>
      </c>
      <c r="B1912" s="19" t="inlineStr">
        <is>
          <t>Dramas</t>
        </is>
      </c>
      <c r="C1912" s="19">
        <f>IFERROR(INDEX(tblNetflix[type],MATCH($A1912,tblNetflix[show_id],0)),"")</f>
        <v/>
      </c>
      <c r="D1912" s="19">
        <f>IFERROR(INDEX(tblNetflix[rating],MATCH($A1912,tblNetflix[show_id],0)),"")</f>
        <v/>
      </c>
      <c r="E1912" s="19">
        <f>IFERROR(INDEX(tblNetflix[year_added],MATCH($A1912,tblNetflix[show_id],0)),"")</f>
        <v/>
      </c>
      <c r="F1912" s="19">
        <f>IF(AND(OR(YearFilter="All",$E1912=YearFilter),OR(RatingFilter="All",$D1912=RatingFilter),OR(TypeFilter="All",$C1912=TypeFilter)),1,0)</f>
        <v/>
      </c>
    </row>
    <row r="1913" ht="15" customHeight="1" s="20">
      <c r="A1913" s="19" t="inlineStr">
        <is>
          <t>s6104</t>
        </is>
      </c>
      <c r="B1913" s="19" t="inlineStr">
        <is>
          <t>International Movies</t>
        </is>
      </c>
      <c r="C1913" s="19">
        <f>IFERROR(INDEX(tblNetflix[type],MATCH($A1913,tblNetflix[show_id],0)),"")</f>
        <v/>
      </c>
      <c r="D1913" s="19">
        <f>IFERROR(INDEX(tblNetflix[rating],MATCH($A1913,tblNetflix[show_id],0)),"")</f>
        <v/>
      </c>
      <c r="E1913" s="19">
        <f>IFERROR(INDEX(tblNetflix[year_added],MATCH($A1913,tblNetflix[show_id],0)),"")</f>
        <v/>
      </c>
      <c r="F1913" s="19">
        <f>IF(AND(OR(YearFilter="All",$E1913=YearFilter),OR(RatingFilter="All",$D1913=RatingFilter),OR(TypeFilter="All",$C1913=TypeFilter)),1,0)</f>
        <v/>
      </c>
    </row>
    <row r="1914" ht="15" customHeight="1" s="20">
      <c r="A1914" s="19" t="inlineStr">
        <is>
          <t>s6104</t>
        </is>
      </c>
      <c r="B1914" s="19" t="inlineStr">
        <is>
          <t>Romantic Movies</t>
        </is>
      </c>
      <c r="C1914" s="19">
        <f>IFERROR(INDEX(tblNetflix[type],MATCH($A1914,tblNetflix[show_id],0)),"")</f>
        <v/>
      </c>
      <c r="D1914" s="19">
        <f>IFERROR(INDEX(tblNetflix[rating],MATCH($A1914,tblNetflix[show_id],0)),"")</f>
        <v/>
      </c>
      <c r="E1914" s="19">
        <f>IFERROR(INDEX(tblNetflix[year_added],MATCH($A1914,tblNetflix[show_id],0)),"")</f>
        <v/>
      </c>
      <c r="F1914" s="19">
        <f>IF(AND(OR(YearFilter="All",$E1914=YearFilter),OR(RatingFilter="All",$D1914=RatingFilter),OR(TypeFilter="All",$C1914=TypeFilter)),1,0)</f>
        <v/>
      </c>
    </row>
    <row r="1915" ht="15" customHeight="1" s="20">
      <c r="A1915" s="19" t="inlineStr">
        <is>
          <t>s6107</t>
        </is>
      </c>
      <c r="B1915" s="19" t="inlineStr">
        <is>
          <t>Dramas</t>
        </is>
      </c>
      <c r="C1915" s="19">
        <f>IFERROR(INDEX(tblNetflix[type],MATCH($A1915,tblNetflix[show_id],0)),"")</f>
        <v/>
      </c>
      <c r="D1915" s="19">
        <f>IFERROR(INDEX(tblNetflix[rating],MATCH($A1915,tblNetflix[show_id],0)),"")</f>
        <v/>
      </c>
      <c r="E1915" s="19">
        <f>IFERROR(INDEX(tblNetflix[year_added],MATCH($A1915,tblNetflix[show_id],0)),"")</f>
        <v/>
      </c>
      <c r="F1915" s="19">
        <f>IF(AND(OR(YearFilter="All",$E1915=YearFilter),OR(RatingFilter="All",$D1915=RatingFilter),OR(TypeFilter="All",$C1915=TypeFilter)),1,0)</f>
        <v/>
      </c>
    </row>
    <row r="1916" ht="15" customHeight="1" s="20">
      <c r="A1916" s="19" t="inlineStr">
        <is>
          <t>s6107</t>
        </is>
      </c>
      <c r="B1916" s="19" t="inlineStr">
        <is>
          <t>Independent Movies</t>
        </is>
      </c>
      <c r="C1916" s="19">
        <f>IFERROR(INDEX(tblNetflix[type],MATCH($A1916,tblNetflix[show_id],0)),"")</f>
        <v/>
      </c>
      <c r="D1916" s="19">
        <f>IFERROR(INDEX(tblNetflix[rating],MATCH($A1916,tblNetflix[show_id],0)),"")</f>
        <v/>
      </c>
      <c r="E1916" s="19">
        <f>IFERROR(INDEX(tblNetflix[year_added],MATCH($A1916,tblNetflix[show_id],0)),"")</f>
        <v/>
      </c>
      <c r="F1916" s="19">
        <f>IF(AND(OR(YearFilter="All",$E1916=YearFilter),OR(RatingFilter="All",$D1916=RatingFilter),OR(TypeFilter="All",$C1916=TypeFilter)),1,0)</f>
        <v/>
      </c>
    </row>
    <row r="1917" ht="15" customHeight="1" s="20">
      <c r="A1917" s="19" t="inlineStr">
        <is>
          <t>s6107</t>
        </is>
      </c>
      <c r="B1917" s="19" t="inlineStr">
        <is>
          <t>International Movies</t>
        </is>
      </c>
      <c r="C1917" s="19">
        <f>IFERROR(INDEX(tblNetflix[type],MATCH($A1917,tblNetflix[show_id],0)),"")</f>
        <v/>
      </c>
      <c r="D1917" s="19">
        <f>IFERROR(INDEX(tblNetflix[rating],MATCH($A1917,tblNetflix[show_id],0)),"")</f>
        <v/>
      </c>
      <c r="E1917" s="19">
        <f>IFERROR(INDEX(tblNetflix[year_added],MATCH($A1917,tblNetflix[show_id],0)),"")</f>
        <v/>
      </c>
      <c r="F1917" s="19">
        <f>IF(AND(OR(YearFilter="All",$E1917=YearFilter),OR(RatingFilter="All",$D1917=RatingFilter),OR(TypeFilter="All",$C1917=TypeFilter)),1,0)</f>
        <v/>
      </c>
    </row>
    <row r="1918" ht="15" customHeight="1" s="20">
      <c r="A1918" s="19" t="inlineStr">
        <is>
          <t>s6108</t>
        </is>
      </c>
      <c r="B1918" s="19" t="inlineStr">
        <is>
          <t>International Movies</t>
        </is>
      </c>
      <c r="C1918" s="19">
        <f>IFERROR(INDEX(tblNetflix[type],MATCH($A1918,tblNetflix[show_id],0)),"")</f>
        <v/>
      </c>
      <c r="D1918" s="19">
        <f>IFERROR(INDEX(tblNetflix[rating],MATCH($A1918,tblNetflix[show_id],0)),"")</f>
        <v/>
      </c>
      <c r="E1918" s="19">
        <f>IFERROR(INDEX(tblNetflix[year_added],MATCH($A1918,tblNetflix[show_id],0)),"")</f>
        <v/>
      </c>
      <c r="F1918" s="19">
        <f>IF(AND(OR(YearFilter="All",$E1918=YearFilter),OR(RatingFilter="All",$D1918=RatingFilter),OR(TypeFilter="All",$C1918=TypeFilter)),1,0)</f>
        <v/>
      </c>
    </row>
    <row r="1919" ht="15" customHeight="1" s="20">
      <c r="A1919" s="19" t="inlineStr">
        <is>
          <t>s6108</t>
        </is>
      </c>
      <c r="B1919" s="19" t="inlineStr">
        <is>
          <t>Music &amp; Musicals</t>
        </is>
      </c>
      <c r="C1919" s="19">
        <f>IFERROR(INDEX(tblNetflix[type],MATCH($A1919,tblNetflix[show_id],0)),"")</f>
        <v/>
      </c>
      <c r="D1919" s="19">
        <f>IFERROR(INDEX(tblNetflix[rating],MATCH($A1919,tblNetflix[show_id],0)),"")</f>
        <v/>
      </c>
      <c r="E1919" s="19">
        <f>IFERROR(INDEX(tblNetflix[year_added],MATCH($A1919,tblNetflix[show_id],0)),"")</f>
        <v/>
      </c>
      <c r="F1919" s="19">
        <f>IF(AND(OR(YearFilter="All",$E1919=YearFilter),OR(RatingFilter="All",$D1919=RatingFilter),OR(TypeFilter="All",$C1919=TypeFilter)),1,0)</f>
        <v/>
      </c>
    </row>
    <row r="1920" ht="15" customHeight="1" s="20">
      <c r="A1920" s="19" t="inlineStr">
        <is>
          <t>s6108</t>
        </is>
      </c>
      <c r="B1920" s="19" t="inlineStr">
        <is>
          <t>Romantic Movies</t>
        </is>
      </c>
      <c r="C1920" s="19">
        <f>IFERROR(INDEX(tblNetflix[type],MATCH($A1920,tblNetflix[show_id],0)),"")</f>
        <v/>
      </c>
      <c r="D1920" s="19">
        <f>IFERROR(INDEX(tblNetflix[rating],MATCH($A1920,tblNetflix[show_id],0)),"")</f>
        <v/>
      </c>
      <c r="E1920" s="19">
        <f>IFERROR(INDEX(tblNetflix[year_added],MATCH($A1920,tblNetflix[show_id],0)),"")</f>
        <v/>
      </c>
      <c r="F1920" s="19">
        <f>IF(AND(OR(YearFilter="All",$E1920=YearFilter),OR(RatingFilter="All",$D1920=RatingFilter),OR(TypeFilter="All",$C1920=TypeFilter)),1,0)</f>
        <v/>
      </c>
    </row>
    <row r="1921" ht="15" customHeight="1" s="20">
      <c r="A1921" s="19" t="inlineStr">
        <is>
          <t>s6126</t>
        </is>
      </c>
      <c r="B1921" s="19" t="inlineStr">
        <is>
          <t>Children &amp; Family Movies</t>
        </is>
      </c>
      <c r="C1921" s="19">
        <f>IFERROR(INDEX(tblNetflix[type],MATCH($A1921,tblNetflix[show_id],0)),"")</f>
        <v/>
      </c>
      <c r="D1921" s="19">
        <f>IFERROR(INDEX(tblNetflix[rating],MATCH($A1921,tblNetflix[show_id],0)),"")</f>
        <v/>
      </c>
      <c r="E1921" s="19">
        <f>IFERROR(INDEX(tblNetflix[year_added],MATCH($A1921,tblNetflix[show_id],0)),"")</f>
        <v/>
      </c>
      <c r="F1921" s="19">
        <f>IF(AND(OR(YearFilter="All",$E1921=YearFilter),OR(RatingFilter="All",$D1921=RatingFilter),OR(TypeFilter="All",$C1921=TypeFilter)),1,0)</f>
        <v/>
      </c>
    </row>
    <row r="1922" ht="15" customHeight="1" s="20">
      <c r="A1922" s="19" t="inlineStr">
        <is>
          <t>s6131</t>
        </is>
      </c>
      <c r="B1922" s="19" t="inlineStr">
        <is>
          <t>Action &amp; Adventure</t>
        </is>
      </c>
      <c r="C1922" s="19">
        <f>IFERROR(INDEX(tblNetflix[type],MATCH($A1922,tblNetflix[show_id],0)),"")</f>
        <v/>
      </c>
      <c r="D1922" s="19">
        <f>IFERROR(INDEX(tblNetflix[rating],MATCH($A1922,tblNetflix[show_id],0)),"")</f>
        <v/>
      </c>
      <c r="E1922" s="19">
        <f>IFERROR(INDEX(tblNetflix[year_added],MATCH($A1922,tblNetflix[show_id],0)),"")</f>
        <v/>
      </c>
      <c r="F1922" s="19">
        <f>IF(AND(OR(YearFilter="All",$E1922=YearFilter),OR(RatingFilter="All",$D1922=RatingFilter),OR(TypeFilter="All",$C1922=TypeFilter)),1,0)</f>
        <v/>
      </c>
    </row>
    <row r="1923" ht="15" customHeight="1" s="20">
      <c r="A1923" s="19" t="inlineStr">
        <is>
          <t>s6131</t>
        </is>
      </c>
      <c r="B1923" s="19" t="inlineStr">
        <is>
          <t>Classic Movies</t>
        </is>
      </c>
      <c r="C1923" s="19">
        <f>IFERROR(INDEX(tblNetflix[type],MATCH($A1923,tblNetflix[show_id],0)),"")</f>
        <v/>
      </c>
      <c r="D1923" s="19">
        <f>IFERROR(INDEX(tblNetflix[rating],MATCH($A1923,tblNetflix[show_id],0)),"")</f>
        <v/>
      </c>
      <c r="E1923" s="19">
        <f>IFERROR(INDEX(tblNetflix[year_added],MATCH($A1923,tblNetflix[show_id],0)),"")</f>
        <v/>
      </c>
      <c r="F1923" s="19">
        <f>IF(AND(OR(YearFilter="All",$E1923=YearFilter),OR(RatingFilter="All",$D1923=RatingFilter),OR(TypeFilter="All",$C1923=TypeFilter)),1,0)</f>
        <v/>
      </c>
    </row>
    <row r="1924" ht="15" customHeight="1" s="20">
      <c r="A1924" s="19" t="inlineStr">
        <is>
          <t>s6131</t>
        </is>
      </c>
      <c r="B1924" s="19" t="inlineStr">
        <is>
          <t>Comedies</t>
        </is>
      </c>
      <c r="C1924" s="19">
        <f>IFERROR(INDEX(tblNetflix[type],MATCH($A1924,tblNetflix[show_id],0)),"")</f>
        <v/>
      </c>
      <c r="D1924" s="19">
        <f>IFERROR(INDEX(tblNetflix[rating],MATCH($A1924,tblNetflix[show_id],0)),"")</f>
        <v/>
      </c>
      <c r="E1924" s="19">
        <f>IFERROR(INDEX(tblNetflix[year_added],MATCH($A1924,tblNetflix[show_id],0)),"")</f>
        <v/>
      </c>
      <c r="F1924" s="19">
        <f>IF(AND(OR(YearFilter="All",$E1924=YearFilter),OR(RatingFilter="All",$D1924=RatingFilter),OR(TypeFilter="All",$C1924=TypeFilter)),1,0)</f>
        <v/>
      </c>
    </row>
    <row r="1925" ht="15" customHeight="1" s="20">
      <c r="A1925" s="19" t="inlineStr">
        <is>
          <t>s6151</t>
        </is>
      </c>
      <c r="B1925" s="19" t="inlineStr">
        <is>
          <t>Documentaries</t>
        </is>
      </c>
      <c r="C1925" s="19">
        <f>IFERROR(INDEX(tblNetflix[type],MATCH($A1925,tblNetflix[show_id],0)),"")</f>
        <v/>
      </c>
      <c r="D1925" s="19">
        <f>IFERROR(INDEX(tblNetflix[rating],MATCH($A1925,tblNetflix[show_id],0)),"")</f>
        <v/>
      </c>
      <c r="E1925" s="19">
        <f>IFERROR(INDEX(tblNetflix[year_added],MATCH($A1925,tblNetflix[show_id],0)),"")</f>
        <v/>
      </c>
      <c r="F1925" s="19">
        <f>IF(AND(OR(YearFilter="All",$E1925=YearFilter),OR(RatingFilter="All",$D1925=RatingFilter),OR(TypeFilter="All",$C1925=TypeFilter)),1,0)</f>
        <v/>
      </c>
    </row>
    <row r="1926" ht="15" customHeight="1" s="20">
      <c r="A1926" s="19" t="inlineStr">
        <is>
          <t>s6151</t>
        </is>
      </c>
      <c r="B1926" s="19" t="inlineStr">
        <is>
          <t>International Movies</t>
        </is>
      </c>
      <c r="C1926" s="19">
        <f>IFERROR(INDEX(tblNetflix[type],MATCH($A1926,tblNetflix[show_id],0)),"")</f>
        <v/>
      </c>
      <c r="D1926" s="19">
        <f>IFERROR(INDEX(tblNetflix[rating],MATCH($A1926,tblNetflix[show_id],0)),"")</f>
        <v/>
      </c>
      <c r="E1926" s="19">
        <f>IFERROR(INDEX(tblNetflix[year_added],MATCH($A1926,tblNetflix[show_id],0)),"")</f>
        <v/>
      </c>
      <c r="F1926" s="19">
        <f>IF(AND(OR(YearFilter="All",$E1926=YearFilter),OR(RatingFilter="All",$D1926=RatingFilter),OR(TypeFilter="All",$C1926=TypeFilter)),1,0)</f>
        <v/>
      </c>
    </row>
    <row r="1927" ht="15" customHeight="1" s="20">
      <c r="A1927" s="19" t="inlineStr">
        <is>
          <t>s6160</t>
        </is>
      </c>
      <c r="B1927" s="19" t="inlineStr">
        <is>
          <t>Dramas</t>
        </is>
      </c>
      <c r="C1927" s="19">
        <f>IFERROR(INDEX(tblNetflix[type],MATCH($A1927,tblNetflix[show_id],0)),"")</f>
        <v/>
      </c>
      <c r="D1927" s="19">
        <f>IFERROR(INDEX(tblNetflix[rating],MATCH($A1927,tblNetflix[show_id],0)),"")</f>
        <v/>
      </c>
      <c r="E1927" s="19">
        <f>IFERROR(INDEX(tblNetflix[year_added],MATCH($A1927,tblNetflix[show_id],0)),"")</f>
        <v/>
      </c>
      <c r="F1927" s="19">
        <f>IF(AND(OR(YearFilter="All",$E1927=YearFilter),OR(RatingFilter="All",$D1927=RatingFilter),OR(TypeFilter="All",$C1927=TypeFilter)),1,0)</f>
        <v/>
      </c>
    </row>
    <row r="1928" ht="15" customHeight="1" s="20">
      <c r="A1928" s="19" t="inlineStr">
        <is>
          <t>s6160</t>
        </is>
      </c>
      <c r="B1928" s="19" t="inlineStr">
        <is>
          <t>Independent Movies</t>
        </is>
      </c>
      <c r="C1928" s="19">
        <f>IFERROR(INDEX(tblNetflix[type],MATCH($A1928,tblNetflix[show_id],0)),"")</f>
        <v/>
      </c>
      <c r="D1928" s="19">
        <f>IFERROR(INDEX(tblNetflix[rating],MATCH($A1928,tblNetflix[show_id],0)),"")</f>
        <v/>
      </c>
      <c r="E1928" s="19">
        <f>IFERROR(INDEX(tblNetflix[year_added],MATCH($A1928,tblNetflix[show_id],0)),"")</f>
        <v/>
      </c>
      <c r="F1928" s="19">
        <f>IF(AND(OR(YearFilter="All",$E1928=YearFilter),OR(RatingFilter="All",$D1928=RatingFilter),OR(TypeFilter="All",$C1928=TypeFilter)),1,0)</f>
        <v/>
      </c>
    </row>
    <row r="1929" ht="15" customHeight="1" s="20">
      <c r="A1929" s="19" t="inlineStr">
        <is>
          <t>s6160</t>
        </is>
      </c>
      <c r="B1929" s="19" t="inlineStr">
        <is>
          <t>International Movies</t>
        </is>
      </c>
      <c r="C1929" s="19">
        <f>IFERROR(INDEX(tblNetflix[type],MATCH($A1929,tblNetflix[show_id],0)),"")</f>
        <v/>
      </c>
      <c r="D1929" s="19">
        <f>IFERROR(INDEX(tblNetflix[rating],MATCH($A1929,tblNetflix[show_id],0)),"")</f>
        <v/>
      </c>
      <c r="E1929" s="19">
        <f>IFERROR(INDEX(tblNetflix[year_added],MATCH($A1929,tblNetflix[show_id],0)),"")</f>
        <v/>
      </c>
      <c r="F1929" s="19">
        <f>IF(AND(OR(YearFilter="All",$E1929=YearFilter),OR(RatingFilter="All",$D1929=RatingFilter),OR(TypeFilter="All",$C1929=TypeFilter)),1,0)</f>
        <v/>
      </c>
    </row>
    <row r="1930" ht="15" customHeight="1" s="20">
      <c r="A1930" s="19" t="inlineStr">
        <is>
          <t>s6166</t>
        </is>
      </c>
      <c r="B1930" s="19" t="inlineStr">
        <is>
          <t>Dramas</t>
        </is>
      </c>
      <c r="C1930" s="19">
        <f>IFERROR(INDEX(tblNetflix[type],MATCH($A1930,tblNetflix[show_id],0)),"")</f>
        <v/>
      </c>
      <c r="D1930" s="19">
        <f>IFERROR(INDEX(tblNetflix[rating],MATCH($A1930,tblNetflix[show_id],0)),"")</f>
        <v/>
      </c>
      <c r="E1930" s="19">
        <f>IFERROR(INDEX(tblNetflix[year_added],MATCH($A1930,tblNetflix[show_id],0)),"")</f>
        <v/>
      </c>
      <c r="F1930" s="19">
        <f>IF(AND(OR(YearFilter="All",$E1930=YearFilter),OR(RatingFilter="All",$D1930=RatingFilter),OR(TypeFilter="All",$C1930=TypeFilter)),1,0)</f>
        <v/>
      </c>
    </row>
    <row r="1931" ht="15" customHeight="1" s="20">
      <c r="A1931" s="19" t="inlineStr">
        <is>
          <t>s6166</t>
        </is>
      </c>
      <c r="B1931" s="19" t="inlineStr">
        <is>
          <t>Independent Movies</t>
        </is>
      </c>
      <c r="C1931" s="19">
        <f>IFERROR(INDEX(tblNetflix[type],MATCH($A1931,tblNetflix[show_id],0)),"")</f>
        <v/>
      </c>
      <c r="D1931" s="19">
        <f>IFERROR(INDEX(tblNetflix[rating],MATCH($A1931,tblNetflix[show_id],0)),"")</f>
        <v/>
      </c>
      <c r="E1931" s="19">
        <f>IFERROR(INDEX(tblNetflix[year_added],MATCH($A1931,tblNetflix[show_id],0)),"")</f>
        <v/>
      </c>
      <c r="F1931" s="19">
        <f>IF(AND(OR(YearFilter="All",$E1931=YearFilter),OR(RatingFilter="All",$D1931=RatingFilter),OR(TypeFilter="All",$C1931=TypeFilter)),1,0)</f>
        <v/>
      </c>
    </row>
    <row r="1932" ht="15" customHeight="1" s="20">
      <c r="A1932" s="19" t="inlineStr">
        <is>
          <t>s6166</t>
        </is>
      </c>
      <c r="B1932" s="19" t="inlineStr">
        <is>
          <t>International Movies</t>
        </is>
      </c>
      <c r="C1932" s="19">
        <f>IFERROR(INDEX(tblNetflix[type],MATCH($A1932,tblNetflix[show_id],0)),"")</f>
        <v/>
      </c>
      <c r="D1932" s="19">
        <f>IFERROR(INDEX(tblNetflix[rating],MATCH($A1932,tblNetflix[show_id],0)),"")</f>
        <v/>
      </c>
      <c r="E1932" s="19">
        <f>IFERROR(INDEX(tblNetflix[year_added],MATCH($A1932,tblNetflix[show_id],0)),"")</f>
        <v/>
      </c>
      <c r="F1932" s="19">
        <f>IF(AND(OR(YearFilter="All",$E1932=YearFilter),OR(RatingFilter="All",$D1932=RatingFilter),OR(TypeFilter="All",$C1932=TypeFilter)),1,0)</f>
        <v/>
      </c>
    </row>
    <row r="1933" ht="15" customHeight="1" s="20">
      <c r="A1933" s="19" t="inlineStr">
        <is>
          <t>s6167</t>
        </is>
      </c>
      <c r="B1933" s="19" t="inlineStr">
        <is>
          <t>International TV Shows</t>
        </is>
      </c>
      <c r="C1933" s="19">
        <f>IFERROR(INDEX(tblNetflix[type],MATCH($A1933,tblNetflix[show_id],0)),"")</f>
        <v/>
      </c>
      <c r="D1933" s="19">
        <f>IFERROR(INDEX(tblNetflix[rating],MATCH($A1933,tblNetflix[show_id],0)),"")</f>
        <v/>
      </c>
      <c r="E1933" s="19">
        <f>IFERROR(INDEX(tblNetflix[year_added],MATCH($A1933,tblNetflix[show_id],0)),"")</f>
        <v/>
      </c>
      <c r="F1933" s="19">
        <f>IF(AND(OR(YearFilter="All",$E1933=YearFilter),OR(RatingFilter="All",$D1933=RatingFilter),OR(TypeFilter="All",$C1933=TypeFilter)),1,0)</f>
        <v/>
      </c>
    </row>
    <row r="1934" ht="15" customHeight="1" s="20">
      <c r="A1934" s="19" t="inlineStr">
        <is>
          <t>s6167</t>
        </is>
      </c>
      <c r="B1934" s="19" t="inlineStr">
        <is>
          <t>TV Horror</t>
        </is>
      </c>
      <c r="C1934" s="19">
        <f>IFERROR(INDEX(tblNetflix[type],MATCH($A1934,tblNetflix[show_id],0)),"")</f>
        <v/>
      </c>
      <c r="D1934" s="19">
        <f>IFERROR(INDEX(tblNetflix[rating],MATCH($A1934,tblNetflix[show_id],0)),"")</f>
        <v/>
      </c>
      <c r="E1934" s="19">
        <f>IFERROR(INDEX(tblNetflix[year_added],MATCH($A1934,tblNetflix[show_id],0)),"")</f>
        <v/>
      </c>
      <c r="F1934" s="19">
        <f>IF(AND(OR(YearFilter="All",$E1934=YearFilter),OR(RatingFilter="All",$D1934=RatingFilter),OR(TypeFilter="All",$C1934=TypeFilter)),1,0)</f>
        <v/>
      </c>
    </row>
    <row r="1935" ht="15" customHeight="1" s="20">
      <c r="A1935" s="19" t="inlineStr">
        <is>
          <t>s6167</t>
        </is>
      </c>
      <c r="B1935" s="19" t="inlineStr">
        <is>
          <t>TV Thrillers</t>
        </is>
      </c>
      <c r="C1935" s="19">
        <f>IFERROR(INDEX(tblNetflix[type],MATCH($A1935,tblNetflix[show_id],0)),"")</f>
        <v/>
      </c>
      <c r="D1935" s="19">
        <f>IFERROR(INDEX(tblNetflix[rating],MATCH($A1935,tblNetflix[show_id],0)),"")</f>
        <v/>
      </c>
      <c r="E1935" s="19">
        <f>IFERROR(INDEX(tblNetflix[year_added],MATCH($A1935,tblNetflix[show_id],0)),"")</f>
        <v/>
      </c>
      <c r="F1935" s="19">
        <f>IF(AND(OR(YearFilter="All",$E1935=YearFilter),OR(RatingFilter="All",$D1935=RatingFilter),OR(TypeFilter="All",$C1935=TypeFilter)),1,0)</f>
        <v/>
      </c>
    </row>
    <row r="1936" ht="15" customHeight="1" s="20">
      <c r="A1936" s="19" t="inlineStr">
        <is>
          <t>s6168</t>
        </is>
      </c>
      <c r="B1936" s="19" t="inlineStr">
        <is>
          <t>International TV Shows</t>
        </is>
      </c>
      <c r="C1936" s="19">
        <f>IFERROR(INDEX(tblNetflix[type],MATCH($A1936,tblNetflix[show_id],0)),"")</f>
        <v/>
      </c>
      <c r="D1936" s="19">
        <f>IFERROR(INDEX(tblNetflix[rating],MATCH($A1936,tblNetflix[show_id],0)),"")</f>
        <v/>
      </c>
      <c r="E1936" s="19">
        <f>IFERROR(INDEX(tblNetflix[year_added],MATCH($A1936,tblNetflix[show_id],0)),"")</f>
        <v/>
      </c>
      <c r="F1936" s="19">
        <f>IF(AND(OR(YearFilter="All",$E1936=YearFilter),OR(RatingFilter="All",$D1936=RatingFilter),OR(TypeFilter="All",$C1936=TypeFilter)),1,0)</f>
        <v/>
      </c>
    </row>
    <row r="1937" ht="15" customHeight="1" s="20">
      <c r="A1937" s="19" t="inlineStr">
        <is>
          <t>s6168</t>
        </is>
      </c>
      <c r="B1937" s="19" t="inlineStr">
        <is>
          <t>TV Horror</t>
        </is>
      </c>
      <c r="C1937" s="19">
        <f>IFERROR(INDEX(tblNetflix[type],MATCH($A1937,tblNetflix[show_id],0)),"")</f>
        <v/>
      </c>
      <c r="D1937" s="19">
        <f>IFERROR(INDEX(tblNetflix[rating],MATCH($A1937,tblNetflix[show_id],0)),"")</f>
        <v/>
      </c>
      <c r="E1937" s="19">
        <f>IFERROR(INDEX(tblNetflix[year_added],MATCH($A1937,tblNetflix[show_id],0)),"")</f>
        <v/>
      </c>
      <c r="F1937" s="19">
        <f>IF(AND(OR(YearFilter="All",$E1937=YearFilter),OR(RatingFilter="All",$D1937=RatingFilter),OR(TypeFilter="All",$C1937=TypeFilter)),1,0)</f>
        <v/>
      </c>
    </row>
    <row r="1938" ht="15" customHeight="1" s="20">
      <c r="A1938" s="19" t="inlineStr">
        <is>
          <t>s6168</t>
        </is>
      </c>
      <c r="B1938" s="19" t="inlineStr">
        <is>
          <t>TV Mysteries</t>
        </is>
      </c>
      <c r="C1938" s="19">
        <f>IFERROR(INDEX(tblNetflix[type],MATCH($A1938,tblNetflix[show_id],0)),"")</f>
        <v/>
      </c>
      <c r="D1938" s="19">
        <f>IFERROR(INDEX(tblNetflix[rating],MATCH($A1938,tblNetflix[show_id],0)),"")</f>
        <v/>
      </c>
      <c r="E1938" s="19">
        <f>IFERROR(INDEX(tblNetflix[year_added],MATCH($A1938,tblNetflix[show_id],0)),"")</f>
        <v/>
      </c>
      <c r="F1938" s="19">
        <f>IF(AND(OR(YearFilter="All",$E1938=YearFilter),OR(RatingFilter="All",$D1938=RatingFilter),OR(TypeFilter="All",$C1938=TypeFilter)),1,0)</f>
        <v/>
      </c>
    </row>
    <row r="1939" ht="15" customHeight="1" s="20">
      <c r="A1939" s="19" t="inlineStr">
        <is>
          <t>s6169</t>
        </is>
      </c>
      <c r="B1939" s="19" t="inlineStr">
        <is>
          <t>Dramas</t>
        </is>
      </c>
      <c r="C1939" s="19">
        <f>IFERROR(INDEX(tblNetflix[type],MATCH($A1939,tblNetflix[show_id],0)),"")</f>
        <v/>
      </c>
      <c r="D1939" s="19">
        <f>IFERROR(INDEX(tblNetflix[rating],MATCH($A1939,tblNetflix[show_id],0)),"")</f>
        <v/>
      </c>
      <c r="E1939" s="19">
        <f>IFERROR(INDEX(tblNetflix[year_added],MATCH($A1939,tblNetflix[show_id],0)),"")</f>
        <v/>
      </c>
      <c r="F1939" s="19">
        <f>IF(AND(OR(YearFilter="All",$E1939=YearFilter),OR(RatingFilter="All",$D1939=RatingFilter),OR(TypeFilter="All",$C1939=TypeFilter)),1,0)</f>
        <v/>
      </c>
    </row>
    <row r="1940" ht="15" customHeight="1" s="20">
      <c r="A1940" s="19" t="inlineStr">
        <is>
          <t>s6169</t>
        </is>
      </c>
      <c r="B1940" s="19" t="inlineStr">
        <is>
          <t>International Movies</t>
        </is>
      </c>
      <c r="C1940" s="19">
        <f>IFERROR(INDEX(tblNetflix[type],MATCH($A1940,tblNetflix[show_id],0)),"")</f>
        <v/>
      </c>
      <c r="D1940" s="19">
        <f>IFERROR(INDEX(tblNetflix[rating],MATCH($A1940,tblNetflix[show_id],0)),"")</f>
        <v/>
      </c>
      <c r="E1940" s="19">
        <f>IFERROR(INDEX(tblNetflix[year_added],MATCH($A1940,tblNetflix[show_id],0)),"")</f>
        <v/>
      </c>
      <c r="F1940" s="19">
        <f>IF(AND(OR(YearFilter="All",$E1940=YearFilter),OR(RatingFilter="All",$D1940=RatingFilter),OR(TypeFilter="All",$C1940=TypeFilter)),1,0)</f>
        <v/>
      </c>
    </row>
    <row r="1941" ht="15" customHeight="1" s="20">
      <c r="A1941" s="19" t="inlineStr">
        <is>
          <t>s6169</t>
        </is>
      </c>
      <c r="B1941" s="19" t="inlineStr">
        <is>
          <t>Thrillers</t>
        </is>
      </c>
      <c r="C1941" s="19">
        <f>IFERROR(INDEX(tblNetflix[type],MATCH($A1941,tblNetflix[show_id],0)),"")</f>
        <v/>
      </c>
      <c r="D1941" s="19">
        <f>IFERROR(INDEX(tblNetflix[rating],MATCH($A1941,tblNetflix[show_id],0)),"")</f>
        <v/>
      </c>
      <c r="E1941" s="19">
        <f>IFERROR(INDEX(tblNetflix[year_added],MATCH($A1941,tblNetflix[show_id],0)),"")</f>
        <v/>
      </c>
      <c r="F1941" s="19">
        <f>IF(AND(OR(YearFilter="All",$E1941=YearFilter),OR(RatingFilter="All",$D1941=RatingFilter),OR(TypeFilter="All",$C1941=TypeFilter)),1,0)</f>
        <v/>
      </c>
    </row>
    <row r="1942" ht="15" customHeight="1" s="20">
      <c r="A1942" s="19" t="inlineStr">
        <is>
          <t>s6177</t>
        </is>
      </c>
      <c r="B1942" s="19" t="inlineStr">
        <is>
          <t>Dramas</t>
        </is>
      </c>
      <c r="C1942" s="19">
        <f>IFERROR(INDEX(tblNetflix[type],MATCH($A1942,tblNetflix[show_id],0)),"")</f>
        <v/>
      </c>
      <c r="D1942" s="19">
        <f>IFERROR(INDEX(tblNetflix[rating],MATCH($A1942,tblNetflix[show_id],0)),"")</f>
        <v/>
      </c>
      <c r="E1942" s="19">
        <f>IFERROR(INDEX(tblNetflix[year_added],MATCH($A1942,tblNetflix[show_id],0)),"")</f>
        <v/>
      </c>
      <c r="F1942" s="19">
        <f>IF(AND(OR(YearFilter="All",$E1942=YearFilter),OR(RatingFilter="All",$D1942=RatingFilter),OR(TypeFilter="All",$C1942=TypeFilter)),1,0)</f>
        <v/>
      </c>
    </row>
    <row r="1943" ht="15" customHeight="1" s="20">
      <c r="A1943" s="19" t="inlineStr">
        <is>
          <t>s6177</t>
        </is>
      </c>
      <c r="B1943" s="19" t="inlineStr">
        <is>
          <t>Independent Movies</t>
        </is>
      </c>
      <c r="C1943" s="19">
        <f>IFERROR(INDEX(tblNetflix[type],MATCH($A1943,tblNetflix[show_id],0)),"")</f>
        <v/>
      </c>
      <c r="D1943" s="19">
        <f>IFERROR(INDEX(tblNetflix[rating],MATCH($A1943,tblNetflix[show_id],0)),"")</f>
        <v/>
      </c>
      <c r="E1943" s="19">
        <f>IFERROR(INDEX(tblNetflix[year_added],MATCH($A1943,tblNetflix[show_id],0)),"")</f>
        <v/>
      </c>
      <c r="F1943" s="19">
        <f>IF(AND(OR(YearFilter="All",$E1943=YearFilter),OR(RatingFilter="All",$D1943=RatingFilter),OR(TypeFilter="All",$C1943=TypeFilter)),1,0)</f>
        <v/>
      </c>
    </row>
    <row r="1944" ht="15" customHeight="1" s="20">
      <c r="A1944" s="19" t="inlineStr">
        <is>
          <t>s6177</t>
        </is>
      </c>
      <c r="B1944" s="19" t="inlineStr">
        <is>
          <t>International Movies</t>
        </is>
      </c>
      <c r="C1944" s="19">
        <f>IFERROR(INDEX(tblNetflix[type],MATCH($A1944,tblNetflix[show_id],0)),"")</f>
        <v/>
      </c>
      <c r="D1944" s="19">
        <f>IFERROR(INDEX(tblNetflix[rating],MATCH($A1944,tblNetflix[show_id],0)),"")</f>
        <v/>
      </c>
      <c r="E1944" s="19">
        <f>IFERROR(INDEX(tblNetflix[year_added],MATCH($A1944,tblNetflix[show_id],0)),"")</f>
        <v/>
      </c>
      <c r="F1944" s="19">
        <f>IF(AND(OR(YearFilter="All",$E1944=YearFilter),OR(RatingFilter="All",$D1944=RatingFilter),OR(TypeFilter="All",$C1944=TypeFilter)),1,0)</f>
        <v/>
      </c>
    </row>
    <row r="1945" ht="15" customHeight="1" s="20">
      <c r="A1945" s="19" t="inlineStr">
        <is>
          <t>s6203</t>
        </is>
      </c>
      <c r="B1945" s="19" t="inlineStr">
        <is>
          <t>Dramas</t>
        </is>
      </c>
      <c r="C1945" s="19">
        <f>IFERROR(INDEX(tblNetflix[type],MATCH($A1945,tblNetflix[show_id],0)),"")</f>
        <v/>
      </c>
      <c r="D1945" s="19">
        <f>IFERROR(INDEX(tblNetflix[rating],MATCH($A1945,tblNetflix[show_id],0)),"")</f>
        <v/>
      </c>
      <c r="E1945" s="19">
        <f>IFERROR(INDEX(tblNetflix[year_added],MATCH($A1945,tblNetflix[show_id],0)),"")</f>
        <v/>
      </c>
      <c r="F1945" s="19">
        <f>IF(AND(OR(YearFilter="All",$E1945=YearFilter),OR(RatingFilter="All",$D1945=RatingFilter),OR(TypeFilter="All",$C1945=TypeFilter)),1,0)</f>
        <v/>
      </c>
    </row>
    <row r="1946" ht="15" customHeight="1" s="20">
      <c r="A1946" s="19" t="inlineStr">
        <is>
          <t>s6203</t>
        </is>
      </c>
      <c r="B1946" s="19" t="inlineStr">
        <is>
          <t>International Movies</t>
        </is>
      </c>
      <c r="C1946" s="19">
        <f>IFERROR(INDEX(tblNetflix[type],MATCH($A1946,tblNetflix[show_id],0)),"")</f>
        <v/>
      </c>
      <c r="D1946" s="19">
        <f>IFERROR(INDEX(tblNetflix[rating],MATCH($A1946,tblNetflix[show_id],0)),"")</f>
        <v/>
      </c>
      <c r="E1946" s="19">
        <f>IFERROR(INDEX(tblNetflix[year_added],MATCH($A1946,tblNetflix[show_id],0)),"")</f>
        <v/>
      </c>
      <c r="F1946" s="19">
        <f>IF(AND(OR(YearFilter="All",$E1946=YearFilter),OR(RatingFilter="All",$D1946=RatingFilter),OR(TypeFilter="All",$C1946=TypeFilter)),1,0)</f>
        <v/>
      </c>
    </row>
    <row r="1947" ht="15" customHeight="1" s="20">
      <c r="A1947" s="19" t="inlineStr">
        <is>
          <t>s6203</t>
        </is>
      </c>
      <c r="B1947" s="19" t="inlineStr">
        <is>
          <t>Sports Movies</t>
        </is>
      </c>
      <c r="C1947" s="19">
        <f>IFERROR(INDEX(tblNetflix[type],MATCH($A1947,tblNetflix[show_id],0)),"")</f>
        <v/>
      </c>
      <c r="D1947" s="19">
        <f>IFERROR(INDEX(tblNetflix[rating],MATCH($A1947,tblNetflix[show_id],0)),"")</f>
        <v/>
      </c>
      <c r="E1947" s="19">
        <f>IFERROR(INDEX(tblNetflix[year_added],MATCH($A1947,tblNetflix[show_id],0)),"")</f>
        <v/>
      </c>
      <c r="F1947" s="19">
        <f>IF(AND(OR(YearFilter="All",$E1947=YearFilter),OR(RatingFilter="All",$D1947=RatingFilter),OR(TypeFilter="All",$C1947=TypeFilter)),1,0)</f>
        <v/>
      </c>
    </row>
    <row r="1948" ht="15" customHeight="1" s="20">
      <c r="A1948" s="19" t="inlineStr">
        <is>
          <t>s6204</t>
        </is>
      </c>
      <c r="B1948" s="19" t="inlineStr">
        <is>
          <t>Dramas</t>
        </is>
      </c>
      <c r="C1948" s="19">
        <f>IFERROR(INDEX(tblNetflix[type],MATCH($A1948,tblNetflix[show_id],0)),"")</f>
        <v/>
      </c>
      <c r="D1948" s="19">
        <f>IFERROR(INDEX(tblNetflix[rating],MATCH($A1948,tblNetflix[show_id],0)),"")</f>
        <v/>
      </c>
      <c r="E1948" s="19">
        <f>IFERROR(INDEX(tblNetflix[year_added],MATCH($A1948,tblNetflix[show_id],0)),"")</f>
        <v/>
      </c>
      <c r="F1948" s="19">
        <f>IF(AND(OR(YearFilter="All",$E1948=YearFilter),OR(RatingFilter="All",$D1948=RatingFilter),OR(TypeFilter="All",$C1948=TypeFilter)),1,0)</f>
        <v/>
      </c>
    </row>
    <row r="1949" ht="15" customHeight="1" s="20">
      <c r="A1949" s="19" t="inlineStr">
        <is>
          <t>s6204</t>
        </is>
      </c>
      <c r="B1949" s="19" t="inlineStr">
        <is>
          <t>Independent Movies</t>
        </is>
      </c>
      <c r="C1949" s="19">
        <f>IFERROR(INDEX(tblNetflix[type],MATCH($A1949,tblNetflix[show_id],0)),"")</f>
        <v/>
      </c>
      <c r="D1949" s="19">
        <f>IFERROR(INDEX(tblNetflix[rating],MATCH($A1949,tblNetflix[show_id],0)),"")</f>
        <v/>
      </c>
      <c r="E1949" s="19">
        <f>IFERROR(INDEX(tblNetflix[year_added],MATCH($A1949,tblNetflix[show_id],0)),"")</f>
        <v/>
      </c>
      <c r="F1949" s="19">
        <f>IF(AND(OR(YearFilter="All",$E1949=YearFilter),OR(RatingFilter="All",$D1949=RatingFilter),OR(TypeFilter="All",$C1949=TypeFilter)),1,0)</f>
        <v/>
      </c>
    </row>
    <row r="1950" ht="15" customHeight="1" s="20">
      <c r="A1950" s="19" t="inlineStr">
        <is>
          <t>s6204</t>
        </is>
      </c>
      <c r="B1950" s="19" t="inlineStr">
        <is>
          <t>International Movies</t>
        </is>
      </c>
      <c r="C1950" s="19">
        <f>IFERROR(INDEX(tblNetflix[type],MATCH($A1950,tblNetflix[show_id],0)),"")</f>
        <v/>
      </c>
      <c r="D1950" s="19">
        <f>IFERROR(INDEX(tblNetflix[rating],MATCH($A1950,tblNetflix[show_id],0)),"")</f>
        <v/>
      </c>
      <c r="E1950" s="19">
        <f>IFERROR(INDEX(tblNetflix[year_added],MATCH($A1950,tblNetflix[show_id],0)),"")</f>
        <v/>
      </c>
      <c r="F1950" s="19">
        <f>IF(AND(OR(YearFilter="All",$E1950=YearFilter),OR(RatingFilter="All",$D1950=RatingFilter),OR(TypeFilter="All",$C1950=TypeFilter)),1,0)</f>
        <v/>
      </c>
    </row>
    <row r="1951" ht="15" customHeight="1" s="20">
      <c r="A1951" s="19" t="inlineStr">
        <is>
          <t>s6207</t>
        </is>
      </c>
      <c r="B1951" s="19" t="inlineStr">
        <is>
          <t>Documentaries</t>
        </is>
      </c>
      <c r="C1951" s="19">
        <f>IFERROR(INDEX(tblNetflix[type],MATCH($A1951,tblNetflix[show_id],0)),"")</f>
        <v/>
      </c>
      <c r="D1951" s="19">
        <f>IFERROR(INDEX(tblNetflix[rating],MATCH($A1951,tblNetflix[show_id],0)),"")</f>
        <v/>
      </c>
      <c r="E1951" s="19">
        <f>IFERROR(INDEX(tblNetflix[year_added],MATCH($A1951,tblNetflix[show_id],0)),"")</f>
        <v/>
      </c>
      <c r="F1951" s="19">
        <f>IF(AND(OR(YearFilter="All",$E1951=YearFilter),OR(RatingFilter="All",$D1951=RatingFilter),OR(TypeFilter="All",$C1951=TypeFilter)),1,0)</f>
        <v/>
      </c>
    </row>
    <row r="1952" ht="15" customHeight="1" s="20">
      <c r="A1952" s="19" t="inlineStr">
        <is>
          <t>s6207</t>
        </is>
      </c>
      <c r="B1952" s="19" t="inlineStr">
        <is>
          <t>International Movies</t>
        </is>
      </c>
      <c r="C1952" s="19">
        <f>IFERROR(INDEX(tblNetflix[type],MATCH($A1952,tblNetflix[show_id],0)),"")</f>
        <v/>
      </c>
      <c r="D1952" s="19">
        <f>IFERROR(INDEX(tblNetflix[rating],MATCH($A1952,tblNetflix[show_id],0)),"")</f>
        <v/>
      </c>
      <c r="E1952" s="19">
        <f>IFERROR(INDEX(tblNetflix[year_added],MATCH($A1952,tblNetflix[show_id],0)),"")</f>
        <v/>
      </c>
      <c r="F1952" s="19">
        <f>IF(AND(OR(YearFilter="All",$E1952=YearFilter),OR(RatingFilter="All",$D1952=RatingFilter),OR(TypeFilter="All",$C1952=TypeFilter)),1,0)</f>
        <v/>
      </c>
    </row>
    <row r="1953" ht="15" customHeight="1" s="20">
      <c r="A1953" s="19" t="inlineStr">
        <is>
          <t>s6217</t>
        </is>
      </c>
      <c r="B1953" s="19" t="inlineStr">
        <is>
          <t>International TV Shows</t>
        </is>
      </c>
      <c r="C1953" s="19">
        <f>IFERROR(INDEX(tblNetflix[type],MATCH($A1953,tblNetflix[show_id],0)),"")</f>
        <v/>
      </c>
      <c r="D1953" s="19">
        <f>IFERROR(INDEX(tblNetflix[rating],MATCH($A1953,tblNetflix[show_id],0)),"")</f>
        <v/>
      </c>
      <c r="E1953" s="19">
        <f>IFERROR(INDEX(tblNetflix[year_added],MATCH($A1953,tblNetflix[show_id],0)),"")</f>
        <v/>
      </c>
      <c r="F1953" s="19">
        <f>IF(AND(OR(YearFilter="All",$E1953=YearFilter),OR(RatingFilter="All",$D1953=RatingFilter),OR(TypeFilter="All",$C1953=TypeFilter)),1,0)</f>
        <v/>
      </c>
    </row>
    <row r="1954" ht="15" customHeight="1" s="20">
      <c r="A1954" s="19" t="inlineStr">
        <is>
          <t>s6217</t>
        </is>
      </c>
      <c r="B1954" s="19" t="inlineStr">
        <is>
          <t>TV Dramas</t>
        </is>
      </c>
      <c r="C1954" s="19">
        <f>IFERROR(INDEX(tblNetflix[type],MATCH($A1954,tblNetflix[show_id],0)),"")</f>
        <v/>
      </c>
      <c r="D1954" s="19">
        <f>IFERROR(INDEX(tblNetflix[rating],MATCH($A1954,tblNetflix[show_id],0)),"")</f>
        <v/>
      </c>
      <c r="E1954" s="19">
        <f>IFERROR(INDEX(tblNetflix[year_added],MATCH($A1954,tblNetflix[show_id],0)),"")</f>
        <v/>
      </c>
      <c r="F1954" s="19">
        <f>IF(AND(OR(YearFilter="All",$E1954=YearFilter),OR(RatingFilter="All",$D1954=RatingFilter),OR(TypeFilter="All",$C1954=TypeFilter)),1,0)</f>
        <v/>
      </c>
    </row>
    <row r="1955" ht="15" customHeight="1" s="20">
      <c r="A1955" s="19" t="inlineStr">
        <is>
          <t>s6218</t>
        </is>
      </c>
      <c r="B1955" s="19" t="inlineStr">
        <is>
          <t>Dramas</t>
        </is>
      </c>
      <c r="C1955" s="19">
        <f>IFERROR(INDEX(tblNetflix[type],MATCH($A1955,tblNetflix[show_id],0)),"")</f>
        <v/>
      </c>
      <c r="D1955" s="19">
        <f>IFERROR(INDEX(tblNetflix[rating],MATCH($A1955,tblNetflix[show_id],0)),"")</f>
        <v/>
      </c>
      <c r="E1955" s="19">
        <f>IFERROR(INDEX(tblNetflix[year_added],MATCH($A1955,tblNetflix[show_id],0)),"")</f>
        <v/>
      </c>
      <c r="F1955" s="19">
        <f>IF(AND(OR(YearFilter="All",$E1955=YearFilter),OR(RatingFilter="All",$D1955=RatingFilter),OR(TypeFilter="All",$C1955=TypeFilter)),1,0)</f>
        <v/>
      </c>
    </row>
    <row r="1956" ht="15" customHeight="1" s="20">
      <c r="A1956" s="19" t="inlineStr">
        <is>
          <t>s6218</t>
        </is>
      </c>
      <c r="B1956" s="19" t="inlineStr">
        <is>
          <t>International Movies</t>
        </is>
      </c>
      <c r="C1956" s="19">
        <f>IFERROR(INDEX(tblNetflix[type],MATCH($A1956,tblNetflix[show_id],0)),"")</f>
        <v/>
      </c>
      <c r="D1956" s="19">
        <f>IFERROR(INDEX(tblNetflix[rating],MATCH($A1956,tblNetflix[show_id],0)),"")</f>
        <v/>
      </c>
      <c r="E1956" s="19">
        <f>IFERROR(INDEX(tblNetflix[year_added],MATCH($A1956,tblNetflix[show_id],0)),"")</f>
        <v/>
      </c>
      <c r="F1956" s="19">
        <f>IF(AND(OR(YearFilter="All",$E1956=YearFilter),OR(RatingFilter="All",$D1956=RatingFilter),OR(TypeFilter="All",$C1956=TypeFilter)),1,0)</f>
        <v/>
      </c>
    </row>
    <row r="1957" ht="15" customHeight="1" s="20">
      <c r="A1957" s="19" t="inlineStr">
        <is>
          <t>s6233</t>
        </is>
      </c>
      <c r="B1957" s="19" t="inlineStr">
        <is>
          <t>Dramas</t>
        </is>
      </c>
      <c r="C1957" s="19">
        <f>IFERROR(INDEX(tblNetflix[type],MATCH($A1957,tblNetflix[show_id],0)),"")</f>
        <v/>
      </c>
      <c r="D1957" s="19">
        <f>IFERROR(INDEX(tblNetflix[rating],MATCH($A1957,tblNetflix[show_id],0)),"")</f>
        <v/>
      </c>
      <c r="E1957" s="19">
        <f>IFERROR(INDEX(tblNetflix[year_added],MATCH($A1957,tblNetflix[show_id],0)),"")</f>
        <v/>
      </c>
      <c r="F1957" s="19">
        <f>IF(AND(OR(YearFilter="All",$E1957=YearFilter),OR(RatingFilter="All",$D1957=RatingFilter),OR(TypeFilter="All",$C1957=TypeFilter)),1,0)</f>
        <v/>
      </c>
    </row>
    <row r="1958" ht="15" customHeight="1" s="20">
      <c r="A1958" s="19" t="inlineStr">
        <is>
          <t>s6233</t>
        </is>
      </c>
      <c r="B1958" s="19" t="inlineStr">
        <is>
          <t>International Movies</t>
        </is>
      </c>
      <c r="C1958" s="19">
        <f>IFERROR(INDEX(tblNetflix[type],MATCH($A1958,tblNetflix[show_id],0)),"")</f>
        <v/>
      </c>
      <c r="D1958" s="19">
        <f>IFERROR(INDEX(tblNetflix[rating],MATCH($A1958,tblNetflix[show_id],0)),"")</f>
        <v/>
      </c>
      <c r="E1958" s="19">
        <f>IFERROR(INDEX(tblNetflix[year_added],MATCH($A1958,tblNetflix[show_id],0)),"")</f>
        <v/>
      </c>
      <c r="F1958" s="19">
        <f>IF(AND(OR(YearFilter="All",$E1958=YearFilter),OR(RatingFilter="All",$D1958=RatingFilter),OR(TypeFilter="All",$C1958=TypeFilter)),1,0)</f>
        <v/>
      </c>
    </row>
    <row r="1959" ht="15" customHeight="1" s="20">
      <c r="A1959" s="19" t="inlineStr">
        <is>
          <t>s6247</t>
        </is>
      </c>
      <c r="B1959" s="19" t="inlineStr">
        <is>
          <t>Action &amp; Adventure</t>
        </is>
      </c>
      <c r="C1959" s="19">
        <f>IFERROR(INDEX(tblNetflix[type],MATCH($A1959,tblNetflix[show_id],0)),"")</f>
        <v/>
      </c>
      <c r="D1959" s="19">
        <f>IFERROR(INDEX(tblNetflix[rating],MATCH($A1959,tblNetflix[show_id],0)),"")</f>
        <v/>
      </c>
      <c r="E1959" s="19">
        <f>IFERROR(INDEX(tblNetflix[year_added],MATCH($A1959,tblNetflix[show_id],0)),"")</f>
        <v/>
      </c>
      <c r="F1959" s="19">
        <f>IF(AND(OR(YearFilter="All",$E1959=YearFilter),OR(RatingFilter="All",$D1959=RatingFilter),OR(TypeFilter="All",$C1959=TypeFilter)),1,0)</f>
        <v/>
      </c>
    </row>
    <row r="1960" ht="15" customHeight="1" s="20">
      <c r="A1960" s="19" t="inlineStr">
        <is>
          <t>s6247</t>
        </is>
      </c>
      <c r="B1960" s="19" t="inlineStr">
        <is>
          <t>International Movies</t>
        </is>
      </c>
      <c r="C1960" s="19">
        <f>IFERROR(INDEX(tblNetflix[type],MATCH($A1960,tblNetflix[show_id],0)),"")</f>
        <v/>
      </c>
      <c r="D1960" s="19">
        <f>IFERROR(INDEX(tblNetflix[rating],MATCH($A1960,tblNetflix[show_id],0)),"")</f>
        <v/>
      </c>
      <c r="E1960" s="19">
        <f>IFERROR(INDEX(tblNetflix[year_added],MATCH($A1960,tblNetflix[show_id],0)),"")</f>
        <v/>
      </c>
      <c r="F1960" s="19">
        <f>IF(AND(OR(YearFilter="All",$E1960=YearFilter),OR(RatingFilter="All",$D1960=RatingFilter),OR(TypeFilter="All",$C1960=TypeFilter)),1,0)</f>
        <v/>
      </c>
    </row>
    <row r="1961" ht="15" customHeight="1" s="20">
      <c r="A1961" s="19" t="inlineStr">
        <is>
          <t>s6247</t>
        </is>
      </c>
      <c r="B1961" s="19" t="inlineStr">
        <is>
          <t>Music &amp; Musicals</t>
        </is>
      </c>
      <c r="C1961" s="19">
        <f>IFERROR(INDEX(tblNetflix[type],MATCH($A1961,tblNetflix[show_id],0)),"")</f>
        <v/>
      </c>
      <c r="D1961" s="19">
        <f>IFERROR(INDEX(tblNetflix[rating],MATCH($A1961,tblNetflix[show_id],0)),"")</f>
        <v/>
      </c>
      <c r="E1961" s="19">
        <f>IFERROR(INDEX(tblNetflix[year_added],MATCH($A1961,tblNetflix[show_id],0)),"")</f>
        <v/>
      </c>
      <c r="F1961" s="19">
        <f>IF(AND(OR(YearFilter="All",$E1961=YearFilter),OR(RatingFilter="All",$D1961=RatingFilter),OR(TypeFilter="All",$C1961=TypeFilter)),1,0)</f>
        <v/>
      </c>
    </row>
    <row r="1962" ht="15" customHeight="1" s="20">
      <c r="A1962" s="19" t="inlineStr">
        <is>
          <t>s6255</t>
        </is>
      </c>
      <c r="B1962" s="19" t="inlineStr">
        <is>
          <t>Classic Movies</t>
        </is>
      </c>
      <c r="C1962" s="19">
        <f>IFERROR(INDEX(tblNetflix[type],MATCH($A1962,tblNetflix[show_id],0)),"")</f>
        <v/>
      </c>
      <c r="D1962" s="19">
        <f>IFERROR(INDEX(tblNetflix[rating],MATCH($A1962,tblNetflix[show_id],0)),"")</f>
        <v/>
      </c>
      <c r="E1962" s="19">
        <f>IFERROR(INDEX(tblNetflix[year_added],MATCH($A1962,tblNetflix[show_id],0)),"")</f>
        <v/>
      </c>
      <c r="F1962" s="19">
        <f>IF(AND(OR(YearFilter="All",$E1962=YearFilter),OR(RatingFilter="All",$D1962=RatingFilter),OR(TypeFilter="All",$C1962=TypeFilter)),1,0)</f>
        <v/>
      </c>
    </row>
    <row r="1963" ht="15" customHeight="1" s="20">
      <c r="A1963" s="19" t="inlineStr">
        <is>
          <t>s6255</t>
        </is>
      </c>
      <c r="B1963" s="19" t="inlineStr">
        <is>
          <t>Comedies</t>
        </is>
      </c>
      <c r="C1963" s="19">
        <f>IFERROR(INDEX(tblNetflix[type],MATCH($A1963,tblNetflix[show_id],0)),"")</f>
        <v/>
      </c>
      <c r="D1963" s="19">
        <f>IFERROR(INDEX(tblNetflix[rating],MATCH($A1963,tblNetflix[show_id],0)),"")</f>
        <v/>
      </c>
      <c r="E1963" s="19">
        <f>IFERROR(INDEX(tblNetflix[year_added],MATCH($A1963,tblNetflix[show_id],0)),"")</f>
        <v/>
      </c>
      <c r="F1963" s="19">
        <f>IF(AND(OR(YearFilter="All",$E1963=YearFilter),OR(RatingFilter="All",$D1963=RatingFilter),OR(TypeFilter="All",$C1963=TypeFilter)),1,0)</f>
        <v/>
      </c>
    </row>
    <row r="1964" ht="15" customHeight="1" s="20">
      <c r="A1964" s="19" t="inlineStr">
        <is>
          <t>s6255</t>
        </is>
      </c>
      <c r="B1964" s="19" t="inlineStr">
        <is>
          <t>Dramas</t>
        </is>
      </c>
      <c r="C1964" s="19">
        <f>IFERROR(INDEX(tblNetflix[type],MATCH($A1964,tblNetflix[show_id],0)),"")</f>
        <v/>
      </c>
      <c r="D1964" s="19">
        <f>IFERROR(INDEX(tblNetflix[rating],MATCH($A1964,tblNetflix[show_id],0)),"")</f>
        <v/>
      </c>
      <c r="E1964" s="19">
        <f>IFERROR(INDEX(tblNetflix[year_added],MATCH($A1964,tblNetflix[show_id],0)),"")</f>
        <v/>
      </c>
      <c r="F1964" s="19">
        <f>IF(AND(OR(YearFilter="All",$E1964=YearFilter),OR(RatingFilter="All",$D1964=RatingFilter),OR(TypeFilter="All",$C1964=TypeFilter)),1,0)</f>
        <v/>
      </c>
    </row>
    <row r="1965" ht="15" customHeight="1" s="20">
      <c r="A1965" s="19" t="inlineStr">
        <is>
          <t>s6256</t>
        </is>
      </c>
      <c r="B1965" s="19" t="inlineStr">
        <is>
          <t>Dramas</t>
        </is>
      </c>
      <c r="C1965" s="19">
        <f>IFERROR(INDEX(tblNetflix[type],MATCH($A1965,tblNetflix[show_id],0)),"")</f>
        <v/>
      </c>
      <c r="D1965" s="19">
        <f>IFERROR(INDEX(tblNetflix[rating],MATCH($A1965,tblNetflix[show_id],0)),"")</f>
        <v/>
      </c>
      <c r="E1965" s="19">
        <f>IFERROR(INDEX(tblNetflix[year_added],MATCH($A1965,tblNetflix[show_id],0)),"")</f>
        <v/>
      </c>
      <c r="F1965" s="19">
        <f>IF(AND(OR(YearFilter="All",$E1965=YearFilter),OR(RatingFilter="All",$D1965=RatingFilter),OR(TypeFilter="All",$C1965=TypeFilter)),1,0)</f>
        <v/>
      </c>
    </row>
    <row r="1966" ht="15" customHeight="1" s="20">
      <c r="A1966" s="19" t="inlineStr">
        <is>
          <t>s6256</t>
        </is>
      </c>
      <c r="B1966" s="19" t="inlineStr">
        <is>
          <t>Independent Movies</t>
        </is>
      </c>
      <c r="C1966" s="19">
        <f>IFERROR(INDEX(tblNetflix[type],MATCH($A1966,tblNetflix[show_id],0)),"")</f>
        <v/>
      </c>
      <c r="D1966" s="19">
        <f>IFERROR(INDEX(tblNetflix[rating],MATCH($A1966,tblNetflix[show_id],0)),"")</f>
        <v/>
      </c>
      <c r="E1966" s="19">
        <f>IFERROR(INDEX(tblNetflix[year_added],MATCH($A1966,tblNetflix[show_id],0)),"")</f>
        <v/>
      </c>
      <c r="F1966" s="19">
        <f>IF(AND(OR(YearFilter="All",$E1966=YearFilter),OR(RatingFilter="All",$D1966=RatingFilter),OR(TypeFilter="All",$C1966=TypeFilter)),1,0)</f>
        <v/>
      </c>
    </row>
    <row r="1967" ht="15" customHeight="1" s="20">
      <c r="A1967" s="19" t="inlineStr">
        <is>
          <t>s6256</t>
        </is>
      </c>
      <c r="B1967" s="19" t="inlineStr">
        <is>
          <t>International Movies</t>
        </is>
      </c>
      <c r="C1967" s="19">
        <f>IFERROR(INDEX(tblNetflix[type],MATCH($A1967,tblNetflix[show_id],0)),"")</f>
        <v/>
      </c>
      <c r="D1967" s="19">
        <f>IFERROR(INDEX(tblNetflix[rating],MATCH($A1967,tblNetflix[show_id],0)),"")</f>
        <v/>
      </c>
      <c r="E1967" s="19">
        <f>IFERROR(INDEX(tblNetflix[year_added],MATCH($A1967,tblNetflix[show_id],0)),"")</f>
        <v/>
      </c>
      <c r="F1967" s="19">
        <f>IF(AND(OR(YearFilter="All",$E1967=YearFilter),OR(RatingFilter="All",$D1967=RatingFilter),OR(TypeFilter="All",$C1967=TypeFilter)),1,0)</f>
        <v/>
      </c>
    </row>
    <row r="1968" ht="15" customHeight="1" s="20">
      <c r="A1968" s="19" t="inlineStr">
        <is>
          <t>s6278</t>
        </is>
      </c>
      <c r="B1968" s="19" t="inlineStr">
        <is>
          <t>Dramas</t>
        </is>
      </c>
      <c r="C1968" s="19">
        <f>IFERROR(INDEX(tblNetflix[type],MATCH($A1968,tblNetflix[show_id],0)),"")</f>
        <v/>
      </c>
      <c r="D1968" s="19">
        <f>IFERROR(INDEX(tblNetflix[rating],MATCH($A1968,tblNetflix[show_id],0)),"")</f>
        <v/>
      </c>
      <c r="E1968" s="19">
        <f>IFERROR(INDEX(tblNetflix[year_added],MATCH($A1968,tblNetflix[show_id],0)),"")</f>
        <v/>
      </c>
      <c r="F1968" s="19">
        <f>IF(AND(OR(YearFilter="All",$E1968=YearFilter),OR(RatingFilter="All",$D1968=RatingFilter),OR(TypeFilter="All",$C1968=TypeFilter)),1,0)</f>
        <v/>
      </c>
    </row>
    <row r="1969" ht="15" customHeight="1" s="20">
      <c r="A1969" s="19" t="inlineStr">
        <is>
          <t>s6278</t>
        </is>
      </c>
      <c r="B1969" s="19" t="inlineStr">
        <is>
          <t>International Movies</t>
        </is>
      </c>
      <c r="C1969" s="19">
        <f>IFERROR(INDEX(tblNetflix[type],MATCH($A1969,tblNetflix[show_id],0)),"")</f>
        <v/>
      </c>
      <c r="D1969" s="19">
        <f>IFERROR(INDEX(tblNetflix[rating],MATCH($A1969,tblNetflix[show_id],0)),"")</f>
        <v/>
      </c>
      <c r="E1969" s="19">
        <f>IFERROR(INDEX(tblNetflix[year_added],MATCH($A1969,tblNetflix[show_id],0)),"")</f>
        <v/>
      </c>
      <c r="F1969" s="19">
        <f>IF(AND(OR(YearFilter="All",$E1969=YearFilter),OR(RatingFilter="All",$D1969=RatingFilter),OR(TypeFilter="All",$C1969=TypeFilter)),1,0)</f>
        <v/>
      </c>
    </row>
    <row r="1970" ht="15" customHeight="1" s="20">
      <c r="A1970" s="19" t="inlineStr">
        <is>
          <t>s6278</t>
        </is>
      </c>
      <c r="B1970" s="19" t="inlineStr">
        <is>
          <t>Romantic Movies</t>
        </is>
      </c>
      <c r="C1970" s="19">
        <f>IFERROR(INDEX(tblNetflix[type],MATCH($A1970,tblNetflix[show_id],0)),"")</f>
        <v/>
      </c>
      <c r="D1970" s="19">
        <f>IFERROR(INDEX(tblNetflix[rating],MATCH($A1970,tblNetflix[show_id],0)),"")</f>
        <v/>
      </c>
      <c r="E1970" s="19">
        <f>IFERROR(INDEX(tblNetflix[year_added],MATCH($A1970,tblNetflix[show_id],0)),"")</f>
        <v/>
      </c>
      <c r="F1970" s="19">
        <f>IF(AND(OR(YearFilter="All",$E1970=YearFilter),OR(RatingFilter="All",$D1970=RatingFilter),OR(TypeFilter="All",$C1970=TypeFilter)),1,0)</f>
        <v/>
      </c>
    </row>
    <row r="1971" ht="15" customHeight="1" s="20">
      <c r="A1971" s="19" t="inlineStr">
        <is>
          <t>s6290</t>
        </is>
      </c>
      <c r="B1971" s="19" t="inlineStr">
        <is>
          <t>Dramas</t>
        </is>
      </c>
      <c r="C1971" s="19">
        <f>IFERROR(INDEX(tblNetflix[type],MATCH($A1971,tblNetflix[show_id],0)),"")</f>
        <v/>
      </c>
      <c r="D1971" s="19">
        <f>IFERROR(INDEX(tblNetflix[rating],MATCH($A1971,tblNetflix[show_id],0)),"")</f>
        <v/>
      </c>
      <c r="E1971" s="19">
        <f>IFERROR(INDEX(tblNetflix[year_added],MATCH($A1971,tblNetflix[show_id],0)),"")</f>
        <v/>
      </c>
      <c r="F1971" s="19">
        <f>IF(AND(OR(YearFilter="All",$E1971=YearFilter),OR(RatingFilter="All",$D1971=RatingFilter),OR(TypeFilter="All",$C1971=TypeFilter)),1,0)</f>
        <v/>
      </c>
    </row>
    <row r="1972" ht="15" customHeight="1" s="20">
      <c r="A1972" s="19" t="inlineStr">
        <is>
          <t>s6290</t>
        </is>
      </c>
      <c r="B1972" s="19" t="inlineStr">
        <is>
          <t>International Movies</t>
        </is>
      </c>
      <c r="C1972" s="19">
        <f>IFERROR(INDEX(tblNetflix[type],MATCH($A1972,tblNetflix[show_id],0)),"")</f>
        <v/>
      </c>
      <c r="D1972" s="19">
        <f>IFERROR(INDEX(tblNetflix[rating],MATCH($A1972,tblNetflix[show_id],0)),"")</f>
        <v/>
      </c>
      <c r="E1972" s="19">
        <f>IFERROR(INDEX(tblNetflix[year_added],MATCH($A1972,tblNetflix[show_id],0)),"")</f>
        <v/>
      </c>
      <c r="F1972" s="19">
        <f>IF(AND(OR(YearFilter="All",$E1972=YearFilter),OR(RatingFilter="All",$D1972=RatingFilter),OR(TypeFilter="All",$C1972=TypeFilter)),1,0)</f>
        <v/>
      </c>
    </row>
    <row r="1973" ht="15" customHeight="1" s="20">
      <c r="A1973" s="19" t="inlineStr">
        <is>
          <t>s6290</t>
        </is>
      </c>
      <c r="B1973" s="19" t="inlineStr">
        <is>
          <t>Romantic Movies</t>
        </is>
      </c>
      <c r="C1973" s="19">
        <f>IFERROR(INDEX(tblNetflix[type],MATCH($A1973,tblNetflix[show_id],0)),"")</f>
        <v/>
      </c>
      <c r="D1973" s="19">
        <f>IFERROR(INDEX(tblNetflix[rating],MATCH($A1973,tblNetflix[show_id],0)),"")</f>
        <v/>
      </c>
      <c r="E1973" s="19">
        <f>IFERROR(INDEX(tblNetflix[year_added],MATCH($A1973,tblNetflix[show_id],0)),"")</f>
        <v/>
      </c>
      <c r="F1973" s="19">
        <f>IF(AND(OR(YearFilter="All",$E1973=YearFilter),OR(RatingFilter="All",$D1973=RatingFilter),OR(TypeFilter="All",$C1973=TypeFilter)),1,0)</f>
        <v/>
      </c>
    </row>
    <row r="1974" ht="15" customHeight="1" s="20">
      <c r="A1974" s="19" t="inlineStr">
        <is>
          <t>s6293</t>
        </is>
      </c>
      <c r="B1974" s="19" t="inlineStr">
        <is>
          <t>Documentaries</t>
        </is>
      </c>
      <c r="C1974" s="19">
        <f>IFERROR(INDEX(tblNetflix[type],MATCH($A1974,tblNetflix[show_id],0)),"")</f>
        <v/>
      </c>
      <c r="D1974" s="19">
        <f>IFERROR(INDEX(tblNetflix[rating],MATCH($A1974,tblNetflix[show_id],0)),"")</f>
        <v/>
      </c>
      <c r="E1974" s="19">
        <f>IFERROR(INDEX(tblNetflix[year_added],MATCH($A1974,tblNetflix[show_id],0)),"")</f>
        <v/>
      </c>
      <c r="F1974" s="19">
        <f>IF(AND(OR(YearFilter="All",$E1974=YearFilter),OR(RatingFilter="All",$D1974=RatingFilter),OR(TypeFilter="All",$C1974=TypeFilter)),1,0)</f>
        <v/>
      </c>
    </row>
    <row r="1975" ht="15" customHeight="1" s="20">
      <c r="A1975" s="19" t="inlineStr">
        <is>
          <t>s6293</t>
        </is>
      </c>
      <c r="B1975" s="19" t="inlineStr">
        <is>
          <t>International Movies</t>
        </is>
      </c>
      <c r="C1975" s="19">
        <f>IFERROR(INDEX(tblNetflix[type],MATCH($A1975,tblNetflix[show_id],0)),"")</f>
        <v/>
      </c>
      <c r="D1975" s="19">
        <f>IFERROR(INDEX(tblNetflix[rating],MATCH($A1975,tblNetflix[show_id],0)),"")</f>
        <v/>
      </c>
      <c r="E1975" s="19">
        <f>IFERROR(INDEX(tblNetflix[year_added],MATCH($A1975,tblNetflix[show_id],0)),"")</f>
        <v/>
      </c>
      <c r="F1975" s="19">
        <f>IF(AND(OR(YearFilter="All",$E1975=YearFilter),OR(RatingFilter="All",$D1975=RatingFilter),OR(TypeFilter="All",$C1975=TypeFilter)),1,0)</f>
        <v/>
      </c>
    </row>
    <row r="1976" ht="15" customHeight="1" s="20">
      <c r="A1976" s="19" t="inlineStr">
        <is>
          <t>s6293</t>
        </is>
      </c>
      <c r="B1976" s="19" t="inlineStr">
        <is>
          <t>Sports Movies</t>
        </is>
      </c>
      <c r="C1976" s="19">
        <f>IFERROR(INDEX(tblNetflix[type],MATCH($A1976,tblNetflix[show_id],0)),"")</f>
        <v/>
      </c>
      <c r="D1976" s="19">
        <f>IFERROR(INDEX(tblNetflix[rating],MATCH($A1976,tblNetflix[show_id],0)),"")</f>
        <v/>
      </c>
      <c r="E1976" s="19">
        <f>IFERROR(INDEX(tblNetflix[year_added],MATCH($A1976,tblNetflix[show_id],0)),"")</f>
        <v/>
      </c>
      <c r="F1976" s="19">
        <f>IF(AND(OR(YearFilter="All",$E1976=YearFilter),OR(RatingFilter="All",$D1976=RatingFilter),OR(TypeFilter="All",$C1976=TypeFilter)),1,0)</f>
        <v/>
      </c>
    </row>
    <row r="1977" ht="15" customHeight="1" s="20">
      <c r="A1977" s="19" t="inlineStr">
        <is>
          <t>s6294</t>
        </is>
      </c>
      <c r="B1977" s="19" t="inlineStr">
        <is>
          <t>Dramas</t>
        </is>
      </c>
      <c r="C1977" s="19">
        <f>IFERROR(INDEX(tblNetflix[type],MATCH($A1977,tblNetflix[show_id],0)),"")</f>
        <v/>
      </c>
      <c r="D1977" s="19">
        <f>IFERROR(INDEX(tblNetflix[rating],MATCH($A1977,tblNetflix[show_id],0)),"")</f>
        <v/>
      </c>
      <c r="E1977" s="19">
        <f>IFERROR(INDEX(tblNetflix[year_added],MATCH($A1977,tblNetflix[show_id],0)),"")</f>
        <v/>
      </c>
      <c r="F1977" s="19">
        <f>IF(AND(OR(YearFilter="All",$E1977=YearFilter),OR(RatingFilter="All",$D1977=RatingFilter),OR(TypeFilter="All",$C1977=TypeFilter)),1,0)</f>
        <v/>
      </c>
    </row>
    <row r="1978" ht="15" customHeight="1" s="20">
      <c r="A1978" s="19" t="inlineStr">
        <is>
          <t>s6294</t>
        </is>
      </c>
      <c r="B1978" s="19" t="inlineStr">
        <is>
          <t>Independent Movies</t>
        </is>
      </c>
      <c r="C1978" s="19">
        <f>IFERROR(INDEX(tblNetflix[type],MATCH($A1978,tblNetflix[show_id],0)),"")</f>
        <v/>
      </c>
      <c r="D1978" s="19">
        <f>IFERROR(INDEX(tblNetflix[rating],MATCH($A1978,tblNetflix[show_id],0)),"")</f>
        <v/>
      </c>
      <c r="E1978" s="19">
        <f>IFERROR(INDEX(tblNetflix[year_added],MATCH($A1978,tblNetflix[show_id],0)),"")</f>
        <v/>
      </c>
      <c r="F1978" s="19">
        <f>IF(AND(OR(YearFilter="All",$E1978=YearFilter),OR(RatingFilter="All",$D1978=RatingFilter),OR(TypeFilter="All",$C1978=TypeFilter)),1,0)</f>
        <v/>
      </c>
    </row>
    <row r="1979" ht="15" customHeight="1" s="20">
      <c r="A1979" s="19" t="inlineStr">
        <is>
          <t>s6294</t>
        </is>
      </c>
      <c r="B1979" s="19" t="inlineStr">
        <is>
          <t>International Movies</t>
        </is>
      </c>
      <c r="C1979" s="19">
        <f>IFERROR(INDEX(tblNetflix[type],MATCH($A1979,tblNetflix[show_id],0)),"")</f>
        <v/>
      </c>
      <c r="D1979" s="19">
        <f>IFERROR(INDEX(tblNetflix[rating],MATCH($A1979,tblNetflix[show_id],0)),"")</f>
        <v/>
      </c>
      <c r="E1979" s="19">
        <f>IFERROR(INDEX(tblNetflix[year_added],MATCH($A1979,tblNetflix[show_id],0)),"")</f>
        <v/>
      </c>
      <c r="F1979" s="19">
        <f>IF(AND(OR(YearFilter="All",$E1979=YearFilter),OR(RatingFilter="All",$D1979=RatingFilter),OR(TypeFilter="All",$C1979=TypeFilter)),1,0)</f>
        <v/>
      </c>
    </row>
    <row r="1980" ht="15" customHeight="1" s="20">
      <c r="A1980" s="19" t="inlineStr">
        <is>
          <t>s6295</t>
        </is>
      </c>
      <c r="B1980" s="19" t="inlineStr">
        <is>
          <t>International TV Shows</t>
        </is>
      </c>
      <c r="C1980" s="19">
        <f>IFERROR(INDEX(tblNetflix[type],MATCH($A1980,tblNetflix[show_id],0)),"")</f>
        <v/>
      </c>
      <c r="D1980" s="19">
        <f>IFERROR(INDEX(tblNetflix[rating],MATCH($A1980,tblNetflix[show_id],0)),"")</f>
        <v/>
      </c>
      <c r="E1980" s="19">
        <f>IFERROR(INDEX(tblNetflix[year_added],MATCH($A1980,tblNetflix[show_id],0)),"")</f>
        <v/>
      </c>
      <c r="F1980" s="19">
        <f>IF(AND(OR(YearFilter="All",$E1980=YearFilter),OR(RatingFilter="All",$D1980=RatingFilter),OR(TypeFilter="All",$C1980=TypeFilter)),1,0)</f>
        <v/>
      </c>
    </row>
    <row r="1981" ht="15" customHeight="1" s="20">
      <c r="A1981" s="19" t="inlineStr">
        <is>
          <t>s6295</t>
        </is>
      </c>
      <c r="B1981" s="19" t="inlineStr">
        <is>
          <t>TV Comedies</t>
        </is>
      </c>
      <c r="C1981" s="19">
        <f>IFERROR(INDEX(tblNetflix[type],MATCH($A1981,tblNetflix[show_id],0)),"")</f>
        <v/>
      </c>
      <c r="D1981" s="19">
        <f>IFERROR(INDEX(tblNetflix[rating],MATCH($A1981,tblNetflix[show_id],0)),"")</f>
        <v/>
      </c>
      <c r="E1981" s="19">
        <f>IFERROR(INDEX(tblNetflix[year_added],MATCH($A1981,tblNetflix[show_id],0)),"")</f>
        <v/>
      </c>
      <c r="F1981" s="19">
        <f>IF(AND(OR(YearFilter="All",$E1981=YearFilter),OR(RatingFilter="All",$D1981=RatingFilter),OR(TypeFilter="All",$C1981=TypeFilter)),1,0)</f>
        <v/>
      </c>
    </row>
    <row r="1982" ht="15" customHeight="1" s="20">
      <c r="A1982" s="19" t="inlineStr">
        <is>
          <t>s6296</t>
        </is>
      </c>
      <c r="B1982" s="19" t="inlineStr">
        <is>
          <t>International TV Shows</t>
        </is>
      </c>
      <c r="C1982" s="19">
        <f>IFERROR(INDEX(tblNetflix[type],MATCH($A1982,tblNetflix[show_id],0)),"")</f>
        <v/>
      </c>
      <c r="D1982" s="19">
        <f>IFERROR(INDEX(tblNetflix[rating],MATCH($A1982,tblNetflix[show_id],0)),"")</f>
        <v/>
      </c>
      <c r="E1982" s="19">
        <f>IFERROR(INDEX(tblNetflix[year_added],MATCH($A1982,tblNetflix[show_id],0)),"")</f>
        <v/>
      </c>
      <c r="F1982" s="19">
        <f>IF(AND(OR(YearFilter="All",$E1982=YearFilter),OR(RatingFilter="All",$D1982=RatingFilter),OR(TypeFilter="All",$C1982=TypeFilter)),1,0)</f>
        <v/>
      </c>
    </row>
    <row r="1983" ht="15" customHeight="1" s="20">
      <c r="A1983" s="19" t="inlineStr">
        <is>
          <t>s6296</t>
        </is>
      </c>
      <c r="B1983" s="19" t="inlineStr">
        <is>
          <t>Romantic TV Shows</t>
        </is>
      </c>
      <c r="C1983" s="19">
        <f>IFERROR(INDEX(tblNetflix[type],MATCH($A1983,tblNetflix[show_id],0)),"")</f>
        <v/>
      </c>
      <c r="D1983" s="19">
        <f>IFERROR(INDEX(tblNetflix[rating],MATCH($A1983,tblNetflix[show_id],0)),"")</f>
        <v/>
      </c>
      <c r="E1983" s="19">
        <f>IFERROR(INDEX(tblNetflix[year_added],MATCH($A1983,tblNetflix[show_id],0)),"")</f>
        <v/>
      </c>
      <c r="F1983" s="19">
        <f>IF(AND(OR(YearFilter="All",$E1983=YearFilter),OR(RatingFilter="All",$D1983=RatingFilter),OR(TypeFilter="All",$C1983=TypeFilter)),1,0)</f>
        <v/>
      </c>
    </row>
    <row r="1984" ht="15" customHeight="1" s="20">
      <c r="A1984" s="19" t="inlineStr">
        <is>
          <t>s6296</t>
        </is>
      </c>
      <c r="B1984" s="19" t="inlineStr">
        <is>
          <t>TV Dramas</t>
        </is>
      </c>
      <c r="C1984" s="19">
        <f>IFERROR(INDEX(tblNetflix[type],MATCH($A1984,tblNetflix[show_id],0)),"")</f>
        <v/>
      </c>
      <c r="D1984" s="19">
        <f>IFERROR(INDEX(tblNetflix[rating],MATCH($A1984,tblNetflix[show_id],0)),"")</f>
        <v/>
      </c>
      <c r="E1984" s="19">
        <f>IFERROR(INDEX(tblNetflix[year_added],MATCH($A1984,tblNetflix[show_id],0)),"")</f>
        <v/>
      </c>
      <c r="F1984" s="19">
        <f>IF(AND(OR(YearFilter="All",$E1984=YearFilter),OR(RatingFilter="All",$D1984=RatingFilter),OR(TypeFilter="All",$C1984=TypeFilter)),1,0)</f>
        <v/>
      </c>
    </row>
    <row r="1985" ht="15" customHeight="1" s="20">
      <c r="A1985" s="19" t="inlineStr">
        <is>
          <t>s6297</t>
        </is>
      </c>
      <c r="B1985" s="19" t="inlineStr">
        <is>
          <t>Comedies</t>
        </is>
      </c>
      <c r="C1985" s="19">
        <f>IFERROR(INDEX(tblNetflix[type],MATCH($A1985,tblNetflix[show_id],0)),"")</f>
        <v/>
      </c>
      <c r="D1985" s="19">
        <f>IFERROR(INDEX(tblNetflix[rating],MATCH($A1985,tblNetflix[show_id],0)),"")</f>
        <v/>
      </c>
      <c r="E1985" s="19">
        <f>IFERROR(INDEX(tblNetflix[year_added],MATCH($A1985,tblNetflix[show_id],0)),"")</f>
        <v/>
      </c>
      <c r="F1985" s="19">
        <f>IF(AND(OR(YearFilter="All",$E1985=YearFilter),OR(RatingFilter="All",$D1985=RatingFilter),OR(TypeFilter="All",$C1985=TypeFilter)),1,0)</f>
        <v/>
      </c>
    </row>
    <row r="1986" ht="15" customHeight="1" s="20">
      <c r="A1986" s="19" t="inlineStr">
        <is>
          <t>s6297</t>
        </is>
      </c>
      <c r="B1986" s="19" t="inlineStr">
        <is>
          <t>International Movies</t>
        </is>
      </c>
      <c r="C1986" s="19">
        <f>IFERROR(INDEX(tblNetflix[type],MATCH($A1986,tblNetflix[show_id],0)),"")</f>
        <v/>
      </c>
      <c r="D1986" s="19">
        <f>IFERROR(INDEX(tblNetflix[rating],MATCH($A1986,tblNetflix[show_id],0)),"")</f>
        <v/>
      </c>
      <c r="E1986" s="19">
        <f>IFERROR(INDEX(tblNetflix[year_added],MATCH($A1986,tblNetflix[show_id],0)),"")</f>
        <v/>
      </c>
      <c r="F1986" s="19">
        <f>IF(AND(OR(YearFilter="All",$E1986=YearFilter),OR(RatingFilter="All",$D1986=RatingFilter),OR(TypeFilter="All",$C1986=TypeFilter)),1,0)</f>
        <v/>
      </c>
    </row>
    <row r="1987" ht="15" customHeight="1" s="20">
      <c r="A1987" s="19" t="inlineStr">
        <is>
          <t>s6297</t>
        </is>
      </c>
      <c r="B1987" s="19" t="inlineStr">
        <is>
          <t>Romantic Movies</t>
        </is>
      </c>
      <c r="C1987" s="19">
        <f>IFERROR(INDEX(tblNetflix[type],MATCH($A1987,tblNetflix[show_id],0)),"")</f>
        <v/>
      </c>
      <c r="D1987" s="19">
        <f>IFERROR(INDEX(tblNetflix[rating],MATCH($A1987,tblNetflix[show_id],0)),"")</f>
        <v/>
      </c>
      <c r="E1987" s="19">
        <f>IFERROR(INDEX(tblNetflix[year_added],MATCH($A1987,tblNetflix[show_id],0)),"")</f>
        <v/>
      </c>
      <c r="F1987" s="19">
        <f>IF(AND(OR(YearFilter="All",$E1987=YearFilter),OR(RatingFilter="All",$D1987=RatingFilter),OR(TypeFilter="All",$C1987=TypeFilter)),1,0)</f>
        <v/>
      </c>
    </row>
    <row r="1988" ht="15" customHeight="1" s="20">
      <c r="A1988" s="19" t="inlineStr">
        <is>
          <t>s6299</t>
        </is>
      </c>
      <c r="B1988" s="19" t="inlineStr">
        <is>
          <t>Dramas</t>
        </is>
      </c>
      <c r="C1988" s="19">
        <f>IFERROR(INDEX(tblNetflix[type],MATCH($A1988,tblNetflix[show_id],0)),"")</f>
        <v/>
      </c>
      <c r="D1988" s="19">
        <f>IFERROR(INDEX(tblNetflix[rating],MATCH($A1988,tblNetflix[show_id],0)),"")</f>
        <v/>
      </c>
      <c r="E1988" s="19">
        <f>IFERROR(INDEX(tblNetflix[year_added],MATCH($A1988,tblNetflix[show_id],0)),"")</f>
        <v/>
      </c>
      <c r="F1988" s="19">
        <f>IF(AND(OR(YearFilter="All",$E1988=YearFilter),OR(RatingFilter="All",$D1988=RatingFilter),OR(TypeFilter="All",$C1988=TypeFilter)),1,0)</f>
        <v/>
      </c>
    </row>
    <row r="1989" ht="15" customHeight="1" s="20">
      <c r="A1989" s="19" t="inlineStr">
        <is>
          <t>s6299</t>
        </is>
      </c>
      <c r="B1989" s="19" t="inlineStr">
        <is>
          <t>International Movies</t>
        </is>
      </c>
      <c r="C1989" s="19">
        <f>IFERROR(INDEX(tblNetflix[type],MATCH($A1989,tblNetflix[show_id],0)),"")</f>
        <v/>
      </c>
      <c r="D1989" s="19">
        <f>IFERROR(INDEX(tblNetflix[rating],MATCH($A1989,tblNetflix[show_id],0)),"")</f>
        <v/>
      </c>
      <c r="E1989" s="19">
        <f>IFERROR(INDEX(tblNetflix[year_added],MATCH($A1989,tblNetflix[show_id],0)),"")</f>
        <v/>
      </c>
      <c r="F1989" s="19">
        <f>IF(AND(OR(YearFilter="All",$E1989=YearFilter),OR(RatingFilter="All",$D1989=RatingFilter),OR(TypeFilter="All",$C1989=TypeFilter)),1,0)</f>
        <v/>
      </c>
    </row>
    <row r="1990" ht="15" customHeight="1" s="20">
      <c r="A1990" s="19" t="inlineStr">
        <is>
          <t>s6299</t>
        </is>
      </c>
      <c r="B1990" s="19" t="inlineStr">
        <is>
          <t>Thrillers</t>
        </is>
      </c>
      <c r="C1990" s="19">
        <f>IFERROR(INDEX(tblNetflix[type],MATCH($A1990,tblNetflix[show_id],0)),"")</f>
        <v/>
      </c>
      <c r="D1990" s="19">
        <f>IFERROR(INDEX(tblNetflix[rating],MATCH($A1990,tblNetflix[show_id],0)),"")</f>
        <v/>
      </c>
      <c r="E1990" s="19">
        <f>IFERROR(INDEX(tblNetflix[year_added],MATCH($A1990,tblNetflix[show_id],0)),"")</f>
        <v/>
      </c>
      <c r="F1990" s="19">
        <f>IF(AND(OR(YearFilter="All",$E1990=YearFilter),OR(RatingFilter="All",$D1990=RatingFilter),OR(TypeFilter="All",$C1990=TypeFilter)),1,0)</f>
        <v/>
      </c>
    </row>
    <row r="1991" ht="15" customHeight="1" s="20">
      <c r="A1991" s="19" t="inlineStr">
        <is>
          <t>s6300</t>
        </is>
      </c>
      <c r="B1991" s="19" t="inlineStr">
        <is>
          <t>Horror Movies</t>
        </is>
      </c>
      <c r="C1991" s="19">
        <f>IFERROR(INDEX(tblNetflix[type],MATCH($A1991,tblNetflix[show_id],0)),"")</f>
        <v/>
      </c>
      <c r="D1991" s="19">
        <f>IFERROR(INDEX(tblNetflix[rating],MATCH($A1991,tblNetflix[show_id],0)),"")</f>
        <v/>
      </c>
      <c r="E1991" s="19">
        <f>IFERROR(INDEX(tblNetflix[year_added],MATCH($A1991,tblNetflix[show_id],0)),"")</f>
        <v/>
      </c>
      <c r="F1991" s="19">
        <f>IF(AND(OR(YearFilter="All",$E1991=YearFilter),OR(RatingFilter="All",$D1991=RatingFilter),OR(TypeFilter="All",$C1991=TypeFilter)),1,0)</f>
        <v/>
      </c>
    </row>
    <row r="1992" ht="15" customHeight="1" s="20">
      <c r="A1992" s="19" t="inlineStr">
        <is>
          <t>s6300</t>
        </is>
      </c>
      <c r="B1992" s="19" t="inlineStr">
        <is>
          <t>International Movies</t>
        </is>
      </c>
      <c r="C1992" s="19">
        <f>IFERROR(INDEX(tblNetflix[type],MATCH($A1992,tblNetflix[show_id],0)),"")</f>
        <v/>
      </c>
      <c r="D1992" s="19">
        <f>IFERROR(INDEX(tblNetflix[rating],MATCH($A1992,tblNetflix[show_id],0)),"")</f>
        <v/>
      </c>
      <c r="E1992" s="19">
        <f>IFERROR(INDEX(tblNetflix[year_added],MATCH($A1992,tblNetflix[show_id],0)),"")</f>
        <v/>
      </c>
      <c r="F1992" s="19">
        <f>IF(AND(OR(YearFilter="All",$E1992=YearFilter),OR(RatingFilter="All",$D1992=RatingFilter),OR(TypeFilter="All",$C1992=TypeFilter)),1,0)</f>
        <v/>
      </c>
    </row>
    <row r="1993" ht="15" customHeight="1" s="20">
      <c r="A1993" s="19" t="inlineStr">
        <is>
          <t>s6300</t>
        </is>
      </c>
      <c r="B1993" s="19" t="inlineStr">
        <is>
          <t>Thrillers</t>
        </is>
      </c>
      <c r="C1993" s="19">
        <f>IFERROR(INDEX(tblNetflix[type],MATCH($A1993,tblNetflix[show_id],0)),"")</f>
        <v/>
      </c>
      <c r="D1993" s="19">
        <f>IFERROR(INDEX(tblNetflix[rating],MATCH($A1993,tblNetflix[show_id],0)),"")</f>
        <v/>
      </c>
      <c r="E1993" s="19">
        <f>IFERROR(INDEX(tblNetflix[year_added],MATCH($A1993,tblNetflix[show_id],0)),"")</f>
        <v/>
      </c>
      <c r="F1993" s="19">
        <f>IF(AND(OR(YearFilter="All",$E1993=YearFilter),OR(RatingFilter="All",$D1993=RatingFilter),OR(TypeFilter="All",$C1993=TypeFilter)),1,0)</f>
        <v/>
      </c>
    </row>
    <row r="1994" ht="15" customHeight="1" s="20">
      <c r="A1994" s="19" t="inlineStr">
        <is>
          <t>s6301</t>
        </is>
      </c>
      <c r="B1994" s="19" t="inlineStr">
        <is>
          <t>Dramas</t>
        </is>
      </c>
      <c r="C1994" s="19">
        <f>IFERROR(INDEX(tblNetflix[type],MATCH($A1994,tblNetflix[show_id],0)),"")</f>
        <v/>
      </c>
      <c r="D1994" s="19">
        <f>IFERROR(INDEX(tblNetflix[rating],MATCH($A1994,tblNetflix[show_id],0)),"")</f>
        <v/>
      </c>
      <c r="E1994" s="19">
        <f>IFERROR(INDEX(tblNetflix[year_added],MATCH($A1994,tblNetflix[show_id],0)),"")</f>
        <v/>
      </c>
      <c r="F1994" s="19">
        <f>IF(AND(OR(YearFilter="All",$E1994=YearFilter),OR(RatingFilter="All",$D1994=RatingFilter),OR(TypeFilter="All",$C1994=TypeFilter)),1,0)</f>
        <v/>
      </c>
    </row>
    <row r="1995" ht="15" customHeight="1" s="20">
      <c r="A1995" s="19" t="inlineStr">
        <is>
          <t>s6301</t>
        </is>
      </c>
      <c r="B1995" s="19" t="inlineStr">
        <is>
          <t>Independent Movies</t>
        </is>
      </c>
      <c r="C1995" s="19">
        <f>IFERROR(INDEX(tblNetflix[type],MATCH($A1995,tblNetflix[show_id],0)),"")</f>
        <v/>
      </c>
      <c r="D1995" s="19">
        <f>IFERROR(INDEX(tblNetflix[rating],MATCH($A1995,tblNetflix[show_id],0)),"")</f>
        <v/>
      </c>
      <c r="E1995" s="19">
        <f>IFERROR(INDEX(tblNetflix[year_added],MATCH($A1995,tblNetflix[show_id],0)),"")</f>
        <v/>
      </c>
      <c r="F1995" s="19">
        <f>IF(AND(OR(YearFilter="All",$E1995=YearFilter),OR(RatingFilter="All",$D1995=RatingFilter),OR(TypeFilter="All",$C1995=TypeFilter)),1,0)</f>
        <v/>
      </c>
    </row>
    <row r="1996" ht="15" customHeight="1" s="20">
      <c r="A1996" s="19" t="inlineStr">
        <is>
          <t>s6301</t>
        </is>
      </c>
      <c r="B1996" s="19" t="inlineStr">
        <is>
          <t>International Movies</t>
        </is>
      </c>
      <c r="C1996" s="19">
        <f>IFERROR(INDEX(tblNetflix[type],MATCH($A1996,tblNetflix[show_id],0)),"")</f>
        <v/>
      </c>
      <c r="D1996" s="19">
        <f>IFERROR(INDEX(tblNetflix[rating],MATCH($A1996,tblNetflix[show_id],0)),"")</f>
        <v/>
      </c>
      <c r="E1996" s="19">
        <f>IFERROR(INDEX(tblNetflix[year_added],MATCH($A1996,tblNetflix[show_id],0)),"")</f>
        <v/>
      </c>
      <c r="F1996" s="19">
        <f>IF(AND(OR(YearFilter="All",$E1996=YearFilter),OR(RatingFilter="All",$D1996=RatingFilter),OR(TypeFilter="All",$C1996=TypeFilter)),1,0)</f>
        <v/>
      </c>
    </row>
    <row r="1997" ht="15" customHeight="1" s="20">
      <c r="A1997" s="19" t="inlineStr">
        <is>
          <t>s6314</t>
        </is>
      </c>
      <c r="B1997" s="19" t="inlineStr">
        <is>
          <t>Dramas</t>
        </is>
      </c>
      <c r="C1997" s="19">
        <f>IFERROR(INDEX(tblNetflix[type],MATCH($A1997,tblNetflix[show_id],0)),"")</f>
        <v/>
      </c>
      <c r="D1997" s="19">
        <f>IFERROR(INDEX(tblNetflix[rating],MATCH($A1997,tblNetflix[show_id],0)),"")</f>
        <v/>
      </c>
      <c r="E1997" s="19">
        <f>IFERROR(INDEX(tblNetflix[year_added],MATCH($A1997,tblNetflix[show_id],0)),"")</f>
        <v/>
      </c>
      <c r="F1997" s="19">
        <f>IF(AND(OR(YearFilter="All",$E1997=YearFilter),OR(RatingFilter="All",$D1997=RatingFilter),OR(TypeFilter="All",$C1997=TypeFilter)),1,0)</f>
        <v/>
      </c>
    </row>
    <row r="1998" ht="15" customHeight="1" s="20">
      <c r="A1998" s="19" t="inlineStr">
        <is>
          <t>s6314</t>
        </is>
      </c>
      <c r="B1998" s="19" t="inlineStr">
        <is>
          <t>International Movies</t>
        </is>
      </c>
      <c r="C1998" s="19">
        <f>IFERROR(INDEX(tblNetflix[type],MATCH($A1998,tblNetflix[show_id],0)),"")</f>
        <v/>
      </c>
      <c r="D1998" s="19">
        <f>IFERROR(INDEX(tblNetflix[rating],MATCH($A1998,tblNetflix[show_id],0)),"")</f>
        <v/>
      </c>
      <c r="E1998" s="19">
        <f>IFERROR(INDEX(tblNetflix[year_added],MATCH($A1998,tblNetflix[show_id],0)),"")</f>
        <v/>
      </c>
      <c r="F1998" s="19">
        <f>IF(AND(OR(YearFilter="All",$E1998=YearFilter),OR(RatingFilter="All",$D1998=RatingFilter),OR(TypeFilter="All",$C1998=TypeFilter)),1,0)</f>
        <v/>
      </c>
    </row>
    <row r="1999" ht="15" customHeight="1" s="20">
      <c r="A1999" s="19" t="inlineStr">
        <is>
          <t>s6315</t>
        </is>
      </c>
      <c r="B1999" s="19" t="inlineStr">
        <is>
          <t>Dramas</t>
        </is>
      </c>
      <c r="C1999" s="19">
        <f>IFERROR(INDEX(tblNetflix[type],MATCH($A1999,tblNetflix[show_id],0)),"")</f>
        <v/>
      </c>
      <c r="D1999" s="19">
        <f>IFERROR(INDEX(tblNetflix[rating],MATCH($A1999,tblNetflix[show_id],0)),"")</f>
        <v/>
      </c>
      <c r="E1999" s="19">
        <f>IFERROR(INDEX(tblNetflix[year_added],MATCH($A1999,tblNetflix[show_id],0)),"")</f>
        <v/>
      </c>
      <c r="F1999" s="19">
        <f>IF(AND(OR(YearFilter="All",$E1999=YearFilter),OR(RatingFilter="All",$D1999=RatingFilter),OR(TypeFilter="All",$C1999=TypeFilter)),1,0)</f>
        <v/>
      </c>
    </row>
    <row r="2000" ht="15" customHeight="1" s="20">
      <c r="A2000" s="19" t="inlineStr">
        <is>
          <t>s6315</t>
        </is>
      </c>
      <c r="B2000" s="19" t="inlineStr">
        <is>
          <t>International Movies</t>
        </is>
      </c>
      <c r="C2000" s="19">
        <f>IFERROR(INDEX(tblNetflix[type],MATCH($A2000,tblNetflix[show_id],0)),"")</f>
        <v/>
      </c>
      <c r="D2000" s="19">
        <f>IFERROR(INDEX(tblNetflix[rating],MATCH($A2000,tblNetflix[show_id],0)),"")</f>
        <v/>
      </c>
      <c r="E2000" s="19">
        <f>IFERROR(INDEX(tblNetflix[year_added],MATCH($A2000,tblNetflix[show_id],0)),"")</f>
        <v/>
      </c>
      <c r="F2000" s="19">
        <f>IF(AND(OR(YearFilter="All",$E2000=YearFilter),OR(RatingFilter="All",$D2000=RatingFilter),OR(TypeFilter="All",$C2000=TypeFilter)),1,0)</f>
        <v/>
      </c>
    </row>
    <row r="2001" ht="15" customHeight="1" s="20">
      <c r="A2001" s="19" t="inlineStr">
        <is>
          <t>s6315</t>
        </is>
      </c>
      <c r="B2001" s="19" t="inlineStr">
        <is>
          <t>LGBTQ Movies</t>
        </is>
      </c>
      <c r="C2001" s="19">
        <f>IFERROR(INDEX(tblNetflix[type],MATCH($A2001,tblNetflix[show_id],0)),"")</f>
        <v/>
      </c>
      <c r="D2001" s="19">
        <f>IFERROR(INDEX(tblNetflix[rating],MATCH($A2001,tblNetflix[show_id],0)),"")</f>
        <v/>
      </c>
      <c r="E2001" s="19">
        <f>IFERROR(INDEX(tblNetflix[year_added],MATCH($A2001,tblNetflix[show_id],0)),"")</f>
        <v/>
      </c>
      <c r="F2001" s="19">
        <f>IF(AND(OR(YearFilter="All",$E2001=YearFilter),OR(RatingFilter="All",$D2001=RatingFilter),OR(TypeFilter="All",$C2001=TypeFilter)),1,0)</f>
        <v/>
      </c>
    </row>
    <row r="2002" ht="15" customHeight="1" s="20">
      <c r="A2002" s="19" t="inlineStr">
        <is>
          <t>s6321</t>
        </is>
      </c>
      <c r="B2002" s="19" t="inlineStr">
        <is>
          <t>Comedies</t>
        </is>
      </c>
      <c r="C2002" s="19">
        <f>IFERROR(INDEX(tblNetflix[type],MATCH($A2002,tblNetflix[show_id],0)),"")</f>
        <v/>
      </c>
      <c r="D2002" s="19">
        <f>IFERROR(INDEX(tblNetflix[rating],MATCH($A2002,tblNetflix[show_id],0)),"")</f>
        <v/>
      </c>
      <c r="E2002" s="19">
        <f>IFERROR(INDEX(tblNetflix[year_added],MATCH($A2002,tblNetflix[show_id],0)),"")</f>
        <v/>
      </c>
      <c r="F2002" s="19">
        <f>IF(AND(OR(YearFilter="All",$E2002=YearFilter),OR(RatingFilter="All",$D2002=RatingFilter),OR(TypeFilter="All",$C2002=TypeFilter)),1,0)</f>
        <v/>
      </c>
    </row>
    <row r="2003" ht="15" customHeight="1" s="20">
      <c r="A2003" s="19" t="inlineStr">
        <is>
          <t>s6321</t>
        </is>
      </c>
      <c r="B2003" s="19" t="inlineStr">
        <is>
          <t>Dramas</t>
        </is>
      </c>
      <c r="C2003" s="19">
        <f>IFERROR(INDEX(tblNetflix[type],MATCH($A2003,tblNetflix[show_id],0)),"")</f>
        <v/>
      </c>
      <c r="D2003" s="19">
        <f>IFERROR(INDEX(tblNetflix[rating],MATCH($A2003,tblNetflix[show_id],0)),"")</f>
        <v/>
      </c>
      <c r="E2003" s="19">
        <f>IFERROR(INDEX(tblNetflix[year_added],MATCH($A2003,tblNetflix[show_id],0)),"")</f>
        <v/>
      </c>
      <c r="F2003" s="19">
        <f>IF(AND(OR(YearFilter="All",$E2003=YearFilter),OR(RatingFilter="All",$D2003=RatingFilter),OR(TypeFilter="All",$C2003=TypeFilter)),1,0)</f>
        <v/>
      </c>
    </row>
    <row r="2004" ht="15" customHeight="1" s="20">
      <c r="A2004" s="19" t="inlineStr">
        <is>
          <t>s6321</t>
        </is>
      </c>
      <c r="B2004" s="19" t="inlineStr">
        <is>
          <t>International Movies</t>
        </is>
      </c>
      <c r="C2004" s="19">
        <f>IFERROR(INDEX(tblNetflix[type],MATCH($A2004,tblNetflix[show_id],0)),"")</f>
        <v/>
      </c>
      <c r="D2004" s="19">
        <f>IFERROR(INDEX(tblNetflix[rating],MATCH($A2004,tblNetflix[show_id],0)),"")</f>
        <v/>
      </c>
      <c r="E2004" s="19">
        <f>IFERROR(INDEX(tblNetflix[year_added],MATCH($A2004,tblNetflix[show_id],0)),"")</f>
        <v/>
      </c>
      <c r="F2004" s="19">
        <f>IF(AND(OR(YearFilter="All",$E2004=YearFilter),OR(RatingFilter="All",$D2004=RatingFilter),OR(TypeFilter="All",$C2004=TypeFilter)),1,0)</f>
        <v/>
      </c>
    </row>
    <row r="2005" ht="15" customHeight="1" s="20">
      <c r="A2005" s="19" t="inlineStr">
        <is>
          <t>s6351</t>
        </is>
      </c>
      <c r="B2005" s="19" t="inlineStr">
        <is>
          <t>Classic Movies</t>
        </is>
      </c>
      <c r="C2005" s="19">
        <f>IFERROR(INDEX(tblNetflix[type],MATCH($A2005,tblNetflix[show_id],0)),"")</f>
        <v/>
      </c>
      <c r="D2005" s="19">
        <f>IFERROR(INDEX(tblNetflix[rating],MATCH($A2005,tblNetflix[show_id],0)),"")</f>
        <v/>
      </c>
      <c r="E2005" s="19">
        <f>IFERROR(INDEX(tblNetflix[year_added],MATCH($A2005,tblNetflix[show_id],0)),"")</f>
        <v/>
      </c>
      <c r="F2005" s="19">
        <f>IF(AND(OR(YearFilter="All",$E2005=YearFilter),OR(RatingFilter="All",$D2005=RatingFilter),OR(TypeFilter="All",$C2005=TypeFilter)),1,0)</f>
        <v/>
      </c>
    </row>
    <row r="2006" ht="15" customHeight="1" s="20">
      <c r="A2006" s="19" t="inlineStr">
        <is>
          <t>s6351</t>
        </is>
      </c>
      <c r="B2006" s="19" t="inlineStr">
        <is>
          <t>Dramas</t>
        </is>
      </c>
      <c r="C2006" s="19">
        <f>IFERROR(INDEX(tblNetflix[type],MATCH($A2006,tblNetflix[show_id],0)),"")</f>
        <v/>
      </c>
      <c r="D2006" s="19">
        <f>IFERROR(INDEX(tblNetflix[rating],MATCH($A2006,tblNetflix[show_id],0)),"")</f>
        <v/>
      </c>
      <c r="E2006" s="19">
        <f>IFERROR(INDEX(tblNetflix[year_added],MATCH($A2006,tblNetflix[show_id],0)),"")</f>
        <v/>
      </c>
      <c r="F2006" s="19">
        <f>IF(AND(OR(YearFilter="All",$E2006=YearFilter),OR(RatingFilter="All",$D2006=RatingFilter),OR(TypeFilter="All",$C2006=TypeFilter)),1,0)</f>
        <v/>
      </c>
    </row>
    <row r="2007" ht="15" customHeight="1" s="20">
      <c r="A2007" s="19" t="inlineStr">
        <is>
          <t>s6351</t>
        </is>
      </c>
      <c r="B2007" s="19" t="inlineStr">
        <is>
          <t>International Movies</t>
        </is>
      </c>
      <c r="C2007" s="19">
        <f>IFERROR(INDEX(tblNetflix[type],MATCH($A2007,tblNetflix[show_id],0)),"")</f>
        <v/>
      </c>
      <c r="D2007" s="19">
        <f>IFERROR(INDEX(tblNetflix[rating],MATCH($A2007,tblNetflix[show_id],0)),"")</f>
        <v/>
      </c>
      <c r="E2007" s="19">
        <f>IFERROR(INDEX(tblNetflix[year_added],MATCH($A2007,tblNetflix[show_id],0)),"")</f>
        <v/>
      </c>
      <c r="F2007" s="19">
        <f>IF(AND(OR(YearFilter="All",$E2007=YearFilter),OR(RatingFilter="All",$D2007=RatingFilter),OR(TypeFilter="All",$C2007=TypeFilter)),1,0)</f>
        <v/>
      </c>
    </row>
    <row r="2008" ht="15" customHeight="1" s="20">
      <c r="A2008" s="19" t="inlineStr">
        <is>
          <t>s6360</t>
        </is>
      </c>
      <c r="B2008" s="19" t="inlineStr">
        <is>
          <t>Action &amp; Adventure</t>
        </is>
      </c>
      <c r="C2008" s="19">
        <f>IFERROR(INDEX(tblNetflix[type],MATCH($A2008,tblNetflix[show_id],0)),"")</f>
        <v/>
      </c>
      <c r="D2008" s="19">
        <f>IFERROR(INDEX(tblNetflix[rating],MATCH($A2008,tblNetflix[show_id],0)),"")</f>
        <v/>
      </c>
      <c r="E2008" s="19">
        <f>IFERROR(INDEX(tblNetflix[year_added],MATCH($A2008,tblNetflix[show_id],0)),"")</f>
        <v/>
      </c>
      <c r="F2008" s="19">
        <f>IF(AND(OR(YearFilter="All",$E2008=YearFilter),OR(RatingFilter="All",$D2008=RatingFilter),OR(TypeFilter="All",$C2008=TypeFilter)),1,0)</f>
        <v/>
      </c>
    </row>
    <row r="2009" ht="15" customHeight="1" s="20">
      <c r="A2009" s="19" t="inlineStr">
        <is>
          <t>s6360</t>
        </is>
      </c>
      <c r="B2009" s="19" t="inlineStr">
        <is>
          <t>Dramas</t>
        </is>
      </c>
      <c r="C2009" s="19">
        <f>IFERROR(INDEX(tblNetflix[type],MATCH($A2009,tblNetflix[show_id],0)),"")</f>
        <v/>
      </c>
      <c r="D2009" s="19">
        <f>IFERROR(INDEX(tblNetflix[rating],MATCH($A2009,tblNetflix[show_id],0)),"")</f>
        <v/>
      </c>
      <c r="E2009" s="19">
        <f>IFERROR(INDEX(tblNetflix[year_added],MATCH($A2009,tblNetflix[show_id],0)),"")</f>
        <v/>
      </c>
      <c r="F2009" s="19">
        <f>IF(AND(OR(YearFilter="All",$E2009=YearFilter),OR(RatingFilter="All",$D2009=RatingFilter),OR(TypeFilter="All",$C2009=TypeFilter)),1,0)</f>
        <v/>
      </c>
    </row>
    <row r="2010" ht="15" customHeight="1" s="20">
      <c r="A2010" s="19" t="inlineStr">
        <is>
          <t>s6360</t>
        </is>
      </c>
      <c r="B2010" s="19" t="inlineStr">
        <is>
          <t>International Movies</t>
        </is>
      </c>
      <c r="C2010" s="19">
        <f>IFERROR(INDEX(tblNetflix[type],MATCH($A2010,tblNetflix[show_id],0)),"")</f>
        <v/>
      </c>
      <c r="D2010" s="19">
        <f>IFERROR(INDEX(tblNetflix[rating],MATCH($A2010,tblNetflix[show_id],0)),"")</f>
        <v/>
      </c>
      <c r="E2010" s="19">
        <f>IFERROR(INDEX(tblNetflix[year_added],MATCH($A2010,tblNetflix[show_id],0)),"")</f>
        <v/>
      </c>
      <c r="F2010" s="19">
        <f>IF(AND(OR(YearFilter="All",$E2010=YearFilter),OR(RatingFilter="All",$D2010=RatingFilter),OR(TypeFilter="All",$C2010=TypeFilter)),1,0)</f>
        <v/>
      </c>
    </row>
    <row r="2011" ht="15" customHeight="1" s="20">
      <c r="A2011" s="19" t="inlineStr">
        <is>
          <t>s6375</t>
        </is>
      </c>
      <c r="B2011" s="19" t="inlineStr">
        <is>
          <t>Documentaries</t>
        </is>
      </c>
      <c r="C2011" s="19">
        <f>IFERROR(INDEX(tblNetflix[type],MATCH($A2011,tblNetflix[show_id],0)),"")</f>
        <v/>
      </c>
      <c r="D2011" s="19">
        <f>IFERROR(INDEX(tblNetflix[rating],MATCH($A2011,tblNetflix[show_id],0)),"")</f>
        <v/>
      </c>
      <c r="E2011" s="19">
        <f>IFERROR(INDEX(tblNetflix[year_added],MATCH($A2011,tblNetflix[show_id],0)),"")</f>
        <v/>
      </c>
      <c r="F2011" s="19">
        <f>IF(AND(OR(YearFilter="All",$E2011=YearFilter),OR(RatingFilter="All",$D2011=RatingFilter),OR(TypeFilter="All",$C2011=TypeFilter)),1,0)</f>
        <v/>
      </c>
    </row>
    <row r="2012" ht="15" customHeight="1" s="20">
      <c r="A2012" s="19" t="inlineStr">
        <is>
          <t>s6375</t>
        </is>
      </c>
      <c r="B2012" s="19" t="inlineStr">
        <is>
          <t>International Movies</t>
        </is>
      </c>
      <c r="C2012" s="19">
        <f>IFERROR(INDEX(tblNetflix[type],MATCH($A2012,tblNetflix[show_id],0)),"")</f>
        <v/>
      </c>
      <c r="D2012" s="19">
        <f>IFERROR(INDEX(tblNetflix[rating],MATCH($A2012,tblNetflix[show_id],0)),"")</f>
        <v/>
      </c>
      <c r="E2012" s="19">
        <f>IFERROR(INDEX(tblNetflix[year_added],MATCH($A2012,tblNetflix[show_id],0)),"")</f>
        <v/>
      </c>
      <c r="F2012" s="19">
        <f>IF(AND(OR(YearFilter="All",$E2012=YearFilter),OR(RatingFilter="All",$D2012=RatingFilter),OR(TypeFilter="All",$C2012=TypeFilter)),1,0)</f>
        <v/>
      </c>
    </row>
    <row r="2013" ht="15" customHeight="1" s="20">
      <c r="A2013" s="19" t="inlineStr">
        <is>
          <t>s6375</t>
        </is>
      </c>
      <c r="B2013" s="19" t="inlineStr">
        <is>
          <t>LGBTQ Movies</t>
        </is>
      </c>
      <c r="C2013" s="19">
        <f>IFERROR(INDEX(tblNetflix[type],MATCH($A2013,tblNetflix[show_id],0)),"")</f>
        <v/>
      </c>
      <c r="D2013" s="19">
        <f>IFERROR(INDEX(tblNetflix[rating],MATCH($A2013,tblNetflix[show_id],0)),"")</f>
        <v/>
      </c>
      <c r="E2013" s="19">
        <f>IFERROR(INDEX(tblNetflix[year_added],MATCH($A2013,tblNetflix[show_id],0)),"")</f>
        <v/>
      </c>
      <c r="F2013" s="19">
        <f>IF(AND(OR(YearFilter="All",$E2013=YearFilter),OR(RatingFilter="All",$D2013=RatingFilter),OR(TypeFilter="All",$C2013=TypeFilter)),1,0)</f>
        <v/>
      </c>
    </row>
    <row r="2014" ht="15" customHeight="1" s="20">
      <c r="A2014" s="19" t="inlineStr">
        <is>
          <t>s6404</t>
        </is>
      </c>
      <c r="B2014" s="19" t="inlineStr">
        <is>
          <t>Dramas</t>
        </is>
      </c>
      <c r="C2014" s="19">
        <f>IFERROR(INDEX(tblNetflix[type],MATCH($A2014,tblNetflix[show_id],0)),"")</f>
        <v/>
      </c>
      <c r="D2014" s="19">
        <f>IFERROR(INDEX(tblNetflix[rating],MATCH($A2014,tblNetflix[show_id],0)),"")</f>
        <v/>
      </c>
      <c r="E2014" s="19">
        <f>IFERROR(INDEX(tblNetflix[year_added],MATCH($A2014,tblNetflix[show_id],0)),"")</f>
        <v/>
      </c>
      <c r="F2014" s="19">
        <f>IF(AND(OR(YearFilter="All",$E2014=YearFilter),OR(RatingFilter="All",$D2014=RatingFilter),OR(TypeFilter="All",$C2014=TypeFilter)),1,0)</f>
        <v/>
      </c>
    </row>
    <row r="2015" ht="15" customHeight="1" s="20">
      <c r="A2015" s="19" t="inlineStr">
        <is>
          <t>s6404</t>
        </is>
      </c>
      <c r="B2015" s="19" t="inlineStr">
        <is>
          <t>International Movies</t>
        </is>
      </c>
      <c r="C2015" s="19">
        <f>IFERROR(INDEX(tblNetflix[type],MATCH($A2015,tblNetflix[show_id],0)),"")</f>
        <v/>
      </c>
      <c r="D2015" s="19">
        <f>IFERROR(INDEX(tblNetflix[rating],MATCH($A2015,tblNetflix[show_id],0)),"")</f>
        <v/>
      </c>
      <c r="E2015" s="19">
        <f>IFERROR(INDEX(tblNetflix[year_added],MATCH($A2015,tblNetflix[show_id],0)),"")</f>
        <v/>
      </c>
      <c r="F2015" s="19">
        <f>IF(AND(OR(YearFilter="All",$E2015=YearFilter),OR(RatingFilter="All",$D2015=RatingFilter),OR(TypeFilter="All",$C2015=TypeFilter)),1,0)</f>
        <v/>
      </c>
    </row>
    <row r="2016" ht="15" customHeight="1" s="20">
      <c r="A2016" s="19" t="inlineStr">
        <is>
          <t>s6419</t>
        </is>
      </c>
      <c r="B2016" s="19" t="inlineStr">
        <is>
          <t>Comedies</t>
        </is>
      </c>
      <c r="C2016" s="19">
        <f>IFERROR(INDEX(tblNetflix[type],MATCH($A2016,tblNetflix[show_id],0)),"")</f>
        <v/>
      </c>
      <c r="D2016" s="19">
        <f>IFERROR(INDEX(tblNetflix[rating],MATCH($A2016,tblNetflix[show_id],0)),"")</f>
        <v/>
      </c>
      <c r="E2016" s="19">
        <f>IFERROR(INDEX(tblNetflix[year_added],MATCH($A2016,tblNetflix[show_id],0)),"")</f>
        <v/>
      </c>
      <c r="F2016" s="19">
        <f>IF(AND(OR(YearFilter="All",$E2016=YearFilter),OR(RatingFilter="All",$D2016=RatingFilter),OR(TypeFilter="All",$C2016=TypeFilter)),1,0)</f>
        <v/>
      </c>
    </row>
    <row r="2017" ht="15" customHeight="1" s="20">
      <c r="A2017" s="19" t="inlineStr">
        <is>
          <t>s6419</t>
        </is>
      </c>
      <c r="B2017" s="19" t="inlineStr">
        <is>
          <t>Dramas</t>
        </is>
      </c>
      <c r="C2017" s="19">
        <f>IFERROR(INDEX(tblNetflix[type],MATCH($A2017,tblNetflix[show_id],0)),"")</f>
        <v/>
      </c>
      <c r="D2017" s="19">
        <f>IFERROR(INDEX(tblNetflix[rating],MATCH($A2017,tblNetflix[show_id],0)),"")</f>
        <v/>
      </c>
      <c r="E2017" s="19">
        <f>IFERROR(INDEX(tblNetflix[year_added],MATCH($A2017,tblNetflix[show_id],0)),"")</f>
        <v/>
      </c>
      <c r="F2017" s="19">
        <f>IF(AND(OR(YearFilter="All",$E2017=YearFilter),OR(RatingFilter="All",$D2017=RatingFilter),OR(TypeFilter="All",$C2017=TypeFilter)),1,0)</f>
        <v/>
      </c>
    </row>
    <row r="2018" ht="15" customHeight="1" s="20">
      <c r="A2018" s="19" t="inlineStr">
        <is>
          <t>s6419</t>
        </is>
      </c>
      <c r="B2018" s="19" t="inlineStr">
        <is>
          <t>International Movies</t>
        </is>
      </c>
      <c r="C2018" s="19">
        <f>IFERROR(INDEX(tblNetflix[type],MATCH($A2018,tblNetflix[show_id],0)),"")</f>
        <v/>
      </c>
      <c r="D2018" s="19">
        <f>IFERROR(INDEX(tblNetflix[rating],MATCH($A2018,tblNetflix[show_id],0)),"")</f>
        <v/>
      </c>
      <c r="E2018" s="19">
        <f>IFERROR(INDEX(tblNetflix[year_added],MATCH($A2018,tblNetflix[show_id],0)),"")</f>
        <v/>
      </c>
      <c r="F2018" s="19">
        <f>IF(AND(OR(YearFilter="All",$E2018=YearFilter),OR(RatingFilter="All",$D2018=RatingFilter),OR(TypeFilter="All",$C2018=TypeFilter)),1,0)</f>
        <v/>
      </c>
    </row>
    <row r="2019" ht="15" customHeight="1" s="20">
      <c r="A2019" s="19" t="inlineStr">
        <is>
          <t>s6433</t>
        </is>
      </c>
      <c r="B2019" s="19" t="inlineStr">
        <is>
          <t>Documentaries</t>
        </is>
      </c>
      <c r="C2019" s="19">
        <f>IFERROR(INDEX(tblNetflix[type],MATCH($A2019,tblNetflix[show_id],0)),"")</f>
        <v/>
      </c>
      <c r="D2019" s="19">
        <f>IFERROR(INDEX(tblNetflix[rating],MATCH($A2019,tblNetflix[show_id],0)),"")</f>
        <v/>
      </c>
      <c r="E2019" s="19">
        <f>IFERROR(INDEX(tblNetflix[year_added],MATCH($A2019,tblNetflix[show_id],0)),"")</f>
        <v/>
      </c>
      <c r="F2019" s="19">
        <f>IF(AND(OR(YearFilter="All",$E2019=YearFilter),OR(RatingFilter="All",$D2019=RatingFilter),OR(TypeFilter="All",$C2019=TypeFilter)),1,0)</f>
        <v/>
      </c>
    </row>
    <row r="2020" ht="15" customHeight="1" s="20">
      <c r="A2020" s="19" t="inlineStr">
        <is>
          <t>s6437</t>
        </is>
      </c>
      <c r="B2020" s="19" t="inlineStr">
        <is>
          <t>Documentaries</t>
        </is>
      </c>
      <c r="C2020" s="19">
        <f>IFERROR(INDEX(tblNetflix[type],MATCH($A2020,tblNetflix[show_id],0)),"")</f>
        <v/>
      </c>
      <c r="D2020" s="19">
        <f>IFERROR(INDEX(tblNetflix[rating],MATCH($A2020,tblNetflix[show_id],0)),"")</f>
        <v/>
      </c>
      <c r="E2020" s="19">
        <f>IFERROR(INDEX(tblNetflix[year_added],MATCH($A2020,tblNetflix[show_id],0)),"")</f>
        <v/>
      </c>
      <c r="F2020" s="19">
        <f>IF(AND(OR(YearFilter="All",$E2020=YearFilter),OR(RatingFilter="All",$D2020=RatingFilter),OR(TypeFilter="All",$C2020=TypeFilter)),1,0)</f>
        <v/>
      </c>
    </row>
    <row r="2021" ht="15" customHeight="1" s="20">
      <c r="A2021" s="19" t="inlineStr">
        <is>
          <t>s6437</t>
        </is>
      </c>
      <c r="B2021" s="19" t="inlineStr">
        <is>
          <t>International Movies</t>
        </is>
      </c>
      <c r="C2021" s="19">
        <f>IFERROR(INDEX(tblNetflix[type],MATCH($A2021,tblNetflix[show_id],0)),"")</f>
        <v/>
      </c>
      <c r="D2021" s="19">
        <f>IFERROR(INDEX(tblNetflix[rating],MATCH($A2021,tblNetflix[show_id],0)),"")</f>
        <v/>
      </c>
      <c r="E2021" s="19">
        <f>IFERROR(INDEX(tblNetflix[year_added],MATCH($A2021,tblNetflix[show_id],0)),"")</f>
        <v/>
      </c>
      <c r="F2021" s="19">
        <f>IF(AND(OR(YearFilter="All",$E2021=YearFilter),OR(RatingFilter="All",$D2021=RatingFilter),OR(TypeFilter="All",$C2021=TypeFilter)),1,0)</f>
        <v/>
      </c>
    </row>
    <row r="2022" ht="15" customHeight="1" s="20">
      <c r="A2022" s="19" t="inlineStr">
        <is>
          <t>s6439</t>
        </is>
      </c>
      <c r="B2022" s="19" t="inlineStr">
        <is>
          <t>Dramas</t>
        </is>
      </c>
      <c r="C2022" s="19">
        <f>IFERROR(INDEX(tblNetflix[type],MATCH($A2022,tblNetflix[show_id],0)),"")</f>
        <v/>
      </c>
      <c r="D2022" s="19">
        <f>IFERROR(INDEX(tblNetflix[rating],MATCH($A2022,tblNetflix[show_id],0)),"")</f>
        <v/>
      </c>
      <c r="E2022" s="19">
        <f>IFERROR(INDEX(tblNetflix[year_added],MATCH($A2022,tblNetflix[show_id],0)),"")</f>
        <v/>
      </c>
      <c r="F2022" s="19">
        <f>IF(AND(OR(YearFilter="All",$E2022=YearFilter),OR(RatingFilter="All",$D2022=RatingFilter),OR(TypeFilter="All",$C2022=TypeFilter)),1,0)</f>
        <v/>
      </c>
    </row>
    <row r="2023" ht="15" customHeight="1" s="20">
      <c r="A2023" s="19" t="inlineStr">
        <is>
          <t>s6439</t>
        </is>
      </c>
      <c r="B2023" s="19" t="inlineStr">
        <is>
          <t>Faith &amp; Spirituality</t>
        </is>
      </c>
      <c r="C2023" s="19">
        <f>IFERROR(INDEX(tblNetflix[type],MATCH($A2023,tblNetflix[show_id],0)),"")</f>
        <v/>
      </c>
      <c r="D2023" s="19">
        <f>IFERROR(INDEX(tblNetflix[rating],MATCH($A2023,tblNetflix[show_id],0)),"")</f>
        <v/>
      </c>
      <c r="E2023" s="19">
        <f>IFERROR(INDEX(tblNetflix[year_added],MATCH($A2023,tblNetflix[show_id],0)),"")</f>
        <v/>
      </c>
      <c r="F2023" s="19">
        <f>IF(AND(OR(YearFilter="All",$E2023=YearFilter),OR(RatingFilter="All",$D2023=RatingFilter),OR(TypeFilter="All",$C2023=TypeFilter)),1,0)</f>
        <v/>
      </c>
    </row>
    <row r="2024" ht="15" customHeight="1" s="20">
      <c r="A2024" s="19" t="inlineStr">
        <is>
          <t>s6439</t>
        </is>
      </c>
      <c r="B2024" s="19" t="inlineStr">
        <is>
          <t>International Movies</t>
        </is>
      </c>
      <c r="C2024" s="19">
        <f>IFERROR(INDEX(tblNetflix[type],MATCH($A2024,tblNetflix[show_id],0)),"")</f>
        <v/>
      </c>
      <c r="D2024" s="19">
        <f>IFERROR(INDEX(tblNetflix[rating],MATCH($A2024,tblNetflix[show_id],0)),"")</f>
        <v/>
      </c>
      <c r="E2024" s="19">
        <f>IFERROR(INDEX(tblNetflix[year_added],MATCH($A2024,tblNetflix[show_id],0)),"")</f>
        <v/>
      </c>
      <c r="F2024" s="19">
        <f>IF(AND(OR(YearFilter="All",$E2024=YearFilter),OR(RatingFilter="All",$D2024=RatingFilter),OR(TypeFilter="All",$C2024=TypeFilter)),1,0)</f>
        <v/>
      </c>
    </row>
    <row r="2025" ht="15" customHeight="1" s="20">
      <c r="A2025" s="19" t="inlineStr">
        <is>
          <t>s6440</t>
        </is>
      </c>
      <c r="B2025" s="19" t="inlineStr">
        <is>
          <t>Comedies</t>
        </is>
      </c>
      <c r="C2025" s="19">
        <f>IFERROR(INDEX(tblNetflix[type],MATCH($A2025,tblNetflix[show_id],0)),"")</f>
        <v/>
      </c>
      <c r="D2025" s="19">
        <f>IFERROR(INDEX(tblNetflix[rating],MATCH($A2025,tblNetflix[show_id],0)),"")</f>
        <v/>
      </c>
      <c r="E2025" s="19">
        <f>IFERROR(INDEX(tblNetflix[year_added],MATCH($A2025,tblNetflix[show_id],0)),"")</f>
        <v/>
      </c>
      <c r="F2025" s="19">
        <f>IF(AND(OR(YearFilter="All",$E2025=YearFilter),OR(RatingFilter="All",$D2025=RatingFilter),OR(TypeFilter="All",$C2025=TypeFilter)),1,0)</f>
        <v/>
      </c>
    </row>
    <row r="2026" ht="15" customHeight="1" s="20">
      <c r="A2026" s="19" t="inlineStr">
        <is>
          <t>s6440</t>
        </is>
      </c>
      <c r="B2026" s="19" t="inlineStr">
        <is>
          <t>Dramas</t>
        </is>
      </c>
      <c r="C2026" s="19">
        <f>IFERROR(INDEX(tblNetflix[type],MATCH($A2026,tblNetflix[show_id],0)),"")</f>
        <v/>
      </c>
      <c r="D2026" s="19">
        <f>IFERROR(INDEX(tblNetflix[rating],MATCH($A2026,tblNetflix[show_id],0)),"")</f>
        <v/>
      </c>
      <c r="E2026" s="19">
        <f>IFERROR(INDEX(tblNetflix[year_added],MATCH($A2026,tblNetflix[show_id],0)),"")</f>
        <v/>
      </c>
      <c r="F2026" s="19">
        <f>IF(AND(OR(YearFilter="All",$E2026=YearFilter),OR(RatingFilter="All",$D2026=RatingFilter),OR(TypeFilter="All",$C2026=TypeFilter)),1,0)</f>
        <v/>
      </c>
    </row>
    <row r="2027" ht="15" customHeight="1" s="20">
      <c r="A2027" s="19" t="inlineStr">
        <is>
          <t>s6440</t>
        </is>
      </c>
      <c r="B2027" s="19" t="inlineStr">
        <is>
          <t>International Movies</t>
        </is>
      </c>
      <c r="C2027" s="19">
        <f>IFERROR(INDEX(tblNetflix[type],MATCH($A2027,tblNetflix[show_id],0)),"")</f>
        <v/>
      </c>
      <c r="D2027" s="19">
        <f>IFERROR(INDEX(tblNetflix[rating],MATCH($A2027,tblNetflix[show_id],0)),"")</f>
        <v/>
      </c>
      <c r="E2027" s="19">
        <f>IFERROR(INDEX(tblNetflix[year_added],MATCH($A2027,tblNetflix[show_id],0)),"")</f>
        <v/>
      </c>
      <c r="F2027" s="19">
        <f>IF(AND(OR(YearFilter="All",$E2027=YearFilter),OR(RatingFilter="All",$D2027=RatingFilter),OR(TypeFilter="All",$C2027=TypeFilter)),1,0)</f>
        <v/>
      </c>
    </row>
    <row r="2028" ht="15" customHeight="1" s="20">
      <c r="A2028" s="19" t="inlineStr">
        <is>
          <t>s6441</t>
        </is>
      </c>
      <c r="B2028" s="19" t="inlineStr">
        <is>
          <t>Comedies</t>
        </is>
      </c>
      <c r="C2028" s="19">
        <f>IFERROR(INDEX(tblNetflix[type],MATCH($A2028,tblNetflix[show_id],0)),"")</f>
        <v/>
      </c>
      <c r="D2028" s="19">
        <f>IFERROR(INDEX(tblNetflix[rating],MATCH($A2028,tblNetflix[show_id],0)),"")</f>
        <v/>
      </c>
      <c r="E2028" s="19">
        <f>IFERROR(INDEX(tblNetflix[year_added],MATCH($A2028,tblNetflix[show_id],0)),"")</f>
        <v/>
      </c>
      <c r="F2028" s="19">
        <f>IF(AND(OR(YearFilter="All",$E2028=YearFilter),OR(RatingFilter="All",$D2028=RatingFilter),OR(TypeFilter="All",$C2028=TypeFilter)),1,0)</f>
        <v/>
      </c>
    </row>
    <row r="2029" ht="15" customHeight="1" s="20">
      <c r="A2029" s="19" t="inlineStr">
        <is>
          <t>s6441</t>
        </is>
      </c>
      <c r="B2029" s="19" t="inlineStr">
        <is>
          <t>International Movies</t>
        </is>
      </c>
      <c r="C2029" s="19">
        <f>IFERROR(INDEX(tblNetflix[type],MATCH($A2029,tblNetflix[show_id],0)),"")</f>
        <v/>
      </c>
      <c r="D2029" s="19">
        <f>IFERROR(INDEX(tblNetflix[rating],MATCH($A2029,tblNetflix[show_id],0)),"")</f>
        <v/>
      </c>
      <c r="E2029" s="19">
        <f>IFERROR(INDEX(tblNetflix[year_added],MATCH($A2029,tblNetflix[show_id],0)),"")</f>
        <v/>
      </c>
      <c r="F2029" s="19">
        <f>IF(AND(OR(YearFilter="All",$E2029=YearFilter),OR(RatingFilter="All",$D2029=RatingFilter),OR(TypeFilter="All",$C2029=TypeFilter)),1,0)</f>
        <v/>
      </c>
    </row>
    <row r="2030" ht="15" customHeight="1" s="20">
      <c r="A2030" s="19" t="inlineStr">
        <is>
          <t>s6441</t>
        </is>
      </c>
      <c r="B2030" s="19" t="inlineStr">
        <is>
          <t>Romantic Movies</t>
        </is>
      </c>
      <c r="C2030" s="19">
        <f>IFERROR(INDEX(tblNetflix[type],MATCH($A2030,tblNetflix[show_id],0)),"")</f>
        <v/>
      </c>
      <c r="D2030" s="19">
        <f>IFERROR(INDEX(tblNetflix[rating],MATCH($A2030,tblNetflix[show_id],0)),"")</f>
        <v/>
      </c>
      <c r="E2030" s="19">
        <f>IFERROR(INDEX(tblNetflix[year_added],MATCH($A2030,tblNetflix[show_id],0)),"")</f>
        <v/>
      </c>
      <c r="F2030" s="19">
        <f>IF(AND(OR(YearFilter="All",$E2030=YearFilter),OR(RatingFilter="All",$D2030=RatingFilter),OR(TypeFilter="All",$C2030=TypeFilter)),1,0)</f>
        <v/>
      </c>
    </row>
    <row r="2031" ht="15" customHeight="1" s="20">
      <c r="A2031" s="19" t="inlineStr">
        <is>
          <t>s6450</t>
        </is>
      </c>
      <c r="B2031" s="19" t="inlineStr">
        <is>
          <t>Comedies</t>
        </is>
      </c>
      <c r="C2031" s="19">
        <f>IFERROR(INDEX(tblNetflix[type],MATCH($A2031,tblNetflix[show_id],0)),"")</f>
        <v/>
      </c>
      <c r="D2031" s="19">
        <f>IFERROR(INDEX(tblNetflix[rating],MATCH($A2031,tblNetflix[show_id],0)),"")</f>
        <v/>
      </c>
      <c r="E2031" s="19">
        <f>IFERROR(INDEX(tblNetflix[year_added],MATCH($A2031,tblNetflix[show_id],0)),"")</f>
        <v/>
      </c>
      <c r="F2031" s="19">
        <f>IF(AND(OR(YearFilter="All",$E2031=YearFilter),OR(RatingFilter="All",$D2031=RatingFilter),OR(TypeFilter="All",$C2031=TypeFilter)),1,0)</f>
        <v/>
      </c>
    </row>
    <row r="2032" ht="15" customHeight="1" s="20">
      <c r="A2032" s="19" t="inlineStr">
        <is>
          <t>s6450</t>
        </is>
      </c>
      <c r="B2032" s="19" t="inlineStr">
        <is>
          <t>International Movies</t>
        </is>
      </c>
      <c r="C2032" s="19">
        <f>IFERROR(INDEX(tblNetflix[type],MATCH($A2032,tblNetflix[show_id],0)),"")</f>
        <v/>
      </c>
      <c r="D2032" s="19">
        <f>IFERROR(INDEX(tblNetflix[rating],MATCH($A2032,tblNetflix[show_id],0)),"")</f>
        <v/>
      </c>
      <c r="E2032" s="19">
        <f>IFERROR(INDEX(tblNetflix[year_added],MATCH($A2032,tblNetflix[show_id],0)),"")</f>
        <v/>
      </c>
      <c r="F2032" s="19">
        <f>IF(AND(OR(YearFilter="All",$E2032=YearFilter),OR(RatingFilter="All",$D2032=RatingFilter),OR(TypeFilter="All",$C2032=TypeFilter)),1,0)</f>
        <v/>
      </c>
    </row>
    <row r="2033" ht="15" customHeight="1" s="20">
      <c r="A2033" s="19" t="inlineStr">
        <is>
          <t>s6450</t>
        </is>
      </c>
      <c r="B2033" s="19" t="inlineStr">
        <is>
          <t>Music &amp; Musicals</t>
        </is>
      </c>
      <c r="C2033" s="19">
        <f>IFERROR(INDEX(tblNetflix[type],MATCH($A2033,tblNetflix[show_id],0)),"")</f>
        <v/>
      </c>
      <c r="D2033" s="19">
        <f>IFERROR(INDEX(tblNetflix[rating],MATCH($A2033,tblNetflix[show_id],0)),"")</f>
        <v/>
      </c>
      <c r="E2033" s="19">
        <f>IFERROR(INDEX(tblNetflix[year_added],MATCH($A2033,tblNetflix[show_id],0)),"")</f>
        <v/>
      </c>
      <c r="F2033" s="19">
        <f>IF(AND(OR(YearFilter="All",$E2033=YearFilter),OR(RatingFilter="All",$D2033=RatingFilter),OR(TypeFilter="All",$C2033=TypeFilter)),1,0)</f>
        <v/>
      </c>
    </row>
    <row r="2034" ht="15" customHeight="1" s="20">
      <c r="A2034" s="19" t="inlineStr">
        <is>
          <t>s6455</t>
        </is>
      </c>
      <c r="B2034" s="19" t="inlineStr">
        <is>
          <t>Dramas</t>
        </is>
      </c>
      <c r="C2034" s="19">
        <f>IFERROR(INDEX(tblNetflix[type],MATCH($A2034,tblNetflix[show_id],0)),"")</f>
        <v/>
      </c>
      <c r="D2034" s="19">
        <f>IFERROR(INDEX(tblNetflix[rating],MATCH($A2034,tblNetflix[show_id],0)),"")</f>
        <v/>
      </c>
      <c r="E2034" s="19">
        <f>IFERROR(INDEX(tblNetflix[year_added],MATCH($A2034,tblNetflix[show_id],0)),"")</f>
        <v/>
      </c>
      <c r="F2034" s="19">
        <f>IF(AND(OR(YearFilter="All",$E2034=YearFilter),OR(RatingFilter="All",$D2034=RatingFilter),OR(TypeFilter="All",$C2034=TypeFilter)),1,0)</f>
        <v/>
      </c>
    </row>
    <row r="2035" ht="15" customHeight="1" s="20">
      <c r="A2035" s="19" t="inlineStr">
        <is>
          <t>s6455</t>
        </is>
      </c>
      <c r="B2035" s="19" t="inlineStr">
        <is>
          <t>Independent Movies</t>
        </is>
      </c>
      <c r="C2035" s="19">
        <f>IFERROR(INDEX(tblNetflix[type],MATCH($A2035,tblNetflix[show_id],0)),"")</f>
        <v/>
      </c>
      <c r="D2035" s="19">
        <f>IFERROR(INDEX(tblNetflix[rating],MATCH($A2035,tblNetflix[show_id],0)),"")</f>
        <v/>
      </c>
      <c r="E2035" s="19">
        <f>IFERROR(INDEX(tblNetflix[year_added],MATCH($A2035,tblNetflix[show_id],0)),"")</f>
        <v/>
      </c>
      <c r="F2035" s="19">
        <f>IF(AND(OR(YearFilter="All",$E2035=YearFilter),OR(RatingFilter="All",$D2035=RatingFilter),OR(TypeFilter="All",$C2035=TypeFilter)),1,0)</f>
        <v/>
      </c>
    </row>
    <row r="2036" ht="15" customHeight="1" s="20">
      <c r="A2036" s="19" t="inlineStr">
        <is>
          <t>s6455</t>
        </is>
      </c>
      <c r="B2036" s="19" t="inlineStr">
        <is>
          <t>International Movies</t>
        </is>
      </c>
      <c r="C2036" s="19">
        <f>IFERROR(INDEX(tblNetflix[type],MATCH($A2036,tblNetflix[show_id],0)),"")</f>
        <v/>
      </c>
      <c r="D2036" s="19">
        <f>IFERROR(INDEX(tblNetflix[rating],MATCH($A2036,tblNetflix[show_id],0)),"")</f>
        <v/>
      </c>
      <c r="E2036" s="19">
        <f>IFERROR(INDEX(tblNetflix[year_added],MATCH($A2036,tblNetflix[show_id],0)),"")</f>
        <v/>
      </c>
      <c r="F2036" s="19">
        <f>IF(AND(OR(YearFilter="All",$E2036=YearFilter),OR(RatingFilter="All",$D2036=RatingFilter),OR(TypeFilter="All",$C2036=TypeFilter)),1,0)</f>
        <v/>
      </c>
    </row>
    <row r="2037" ht="15" customHeight="1" s="20">
      <c r="A2037" s="19" t="inlineStr">
        <is>
          <t>s6465</t>
        </is>
      </c>
      <c r="B2037" s="19" t="inlineStr">
        <is>
          <t>Children &amp; Family Movies</t>
        </is>
      </c>
      <c r="C2037" s="19">
        <f>IFERROR(INDEX(tblNetflix[type],MATCH($A2037,tblNetflix[show_id],0)),"")</f>
        <v/>
      </c>
      <c r="D2037" s="19">
        <f>IFERROR(INDEX(tblNetflix[rating],MATCH($A2037,tblNetflix[show_id],0)),"")</f>
        <v/>
      </c>
      <c r="E2037" s="19">
        <f>IFERROR(INDEX(tblNetflix[year_added],MATCH($A2037,tblNetflix[show_id],0)),"")</f>
        <v/>
      </c>
      <c r="F2037" s="19">
        <f>IF(AND(OR(YearFilter="All",$E2037=YearFilter),OR(RatingFilter="All",$D2037=RatingFilter),OR(TypeFilter="All",$C2037=TypeFilter)),1,0)</f>
        <v/>
      </c>
    </row>
    <row r="2038" ht="15" customHeight="1" s="20">
      <c r="A2038" s="19" t="inlineStr">
        <is>
          <t>s6466</t>
        </is>
      </c>
      <c r="B2038" s="19" t="inlineStr">
        <is>
          <t>Comedies</t>
        </is>
      </c>
      <c r="C2038" s="19">
        <f>IFERROR(INDEX(tblNetflix[type],MATCH($A2038,tblNetflix[show_id],0)),"")</f>
        <v/>
      </c>
      <c r="D2038" s="19">
        <f>IFERROR(INDEX(tblNetflix[rating],MATCH($A2038,tblNetflix[show_id],0)),"")</f>
        <v/>
      </c>
      <c r="E2038" s="19">
        <f>IFERROR(INDEX(tblNetflix[year_added],MATCH($A2038,tblNetflix[show_id],0)),"")</f>
        <v/>
      </c>
      <c r="F2038" s="19">
        <f>IF(AND(OR(YearFilter="All",$E2038=YearFilter),OR(RatingFilter="All",$D2038=RatingFilter),OR(TypeFilter="All",$C2038=TypeFilter)),1,0)</f>
        <v/>
      </c>
    </row>
    <row r="2039" ht="15" customHeight="1" s="20">
      <c r="A2039" s="19" t="inlineStr">
        <is>
          <t>s6466</t>
        </is>
      </c>
      <c r="B2039" s="19" t="inlineStr">
        <is>
          <t>International Movies</t>
        </is>
      </c>
      <c r="C2039" s="19">
        <f>IFERROR(INDEX(tblNetflix[type],MATCH($A2039,tblNetflix[show_id],0)),"")</f>
        <v/>
      </c>
      <c r="D2039" s="19">
        <f>IFERROR(INDEX(tblNetflix[rating],MATCH($A2039,tblNetflix[show_id],0)),"")</f>
        <v/>
      </c>
      <c r="E2039" s="19">
        <f>IFERROR(INDEX(tblNetflix[year_added],MATCH($A2039,tblNetflix[show_id],0)),"")</f>
        <v/>
      </c>
      <c r="F2039" s="19">
        <f>IF(AND(OR(YearFilter="All",$E2039=YearFilter),OR(RatingFilter="All",$D2039=RatingFilter),OR(TypeFilter="All",$C2039=TypeFilter)),1,0)</f>
        <v/>
      </c>
    </row>
    <row r="2040" ht="15" customHeight="1" s="20">
      <c r="A2040" s="19" t="inlineStr">
        <is>
          <t>s6473</t>
        </is>
      </c>
      <c r="B2040" s="19" t="inlineStr">
        <is>
          <t>Dramas</t>
        </is>
      </c>
      <c r="C2040" s="19">
        <f>IFERROR(INDEX(tblNetflix[type],MATCH($A2040,tblNetflix[show_id],0)),"")</f>
        <v/>
      </c>
      <c r="D2040" s="19">
        <f>IFERROR(INDEX(tblNetflix[rating],MATCH($A2040,tblNetflix[show_id],0)),"")</f>
        <v/>
      </c>
      <c r="E2040" s="19">
        <f>IFERROR(INDEX(tblNetflix[year_added],MATCH($A2040,tblNetflix[show_id],0)),"")</f>
        <v/>
      </c>
      <c r="F2040" s="19">
        <f>IF(AND(OR(YearFilter="All",$E2040=YearFilter),OR(RatingFilter="All",$D2040=RatingFilter),OR(TypeFilter="All",$C2040=TypeFilter)),1,0)</f>
        <v/>
      </c>
    </row>
    <row r="2041" ht="15" customHeight="1" s="20">
      <c r="A2041" s="19" t="inlineStr">
        <is>
          <t>s6473</t>
        </is>
      </c>
      <c r="B2041" s="19" t="inlineStr">
        <is>
          <t>Independent Movies</t>
        </is>
      </c>
      <c r="C2041" s="19">
        <f>IFERROR(INDEX(tblNetflix[type],MATCH($A2041,tblNetflix[show_id],0)),"")</f>
        <v/>
      </c>
      <c r="D2041" s="19">
        <f>IFERROR(INDEX(tblNetflix[rating],MATCH($A2041,tblNetflix[show_id],0)),"")</f>
        <v/>
      </c>
      <c r="E2041" s="19">
        <f>IFERROR(INDEX(tblNetflix[year_added],MATCH($A2041,tblNetflix[show_id],0)),"")</f>
        <v/>
      </c>
      <c r="F2041" s="19">
        <f>IF(AND(OR(YearFilter="All",$E2041=YearFilter),OR(RatingFilter="All",$D2041=RatingFilter),OR(TypeFilter="All",$C2041=TypeFilter)),1,0)</f>
        <v/>
      </c>
    </row>
    <row r="2042" ht="15" customHeight="1" s="20">
      <c r="A2042" s="19" t="inlineStr">
        <is>
          <t>s6473</t>
        </is>
      </c>
      <c r="B2042" s="19" t="inlineStr">
        <is>
          <t>International Movies</t>
        </is>
      </c>
      <c r="C2042" s="19">
        <f>IFERROR(INDEX(tblNetflix[type],MATCH($A2042,tblNetflix[show_id],0)),"")</f>
        <v/>
      </c>
      <c r="D2042" s="19">
        <f>IFERROR(INDEX(tblNetflix[rating],MATCH($A2042,tblNetflix[show_id],0)),"")</f>
        <v/>
      </c>
      <c r="E2042" s="19">
        <f>IFERROR(INDEX(tblNetflix[year_added],MATCH($A2042,tblNetflix[show_id],0)),"")</f>
        <v/>
      </c>
      <c r="F2042" s="19">
        <f>IF(AND(OR(YearFilter="All",$E2042=YearFilter),OR(RatingFilter="All",$D2042=RatingFilter),OR(TypeFilter="All",$C2042=TypeFilter)),1,0)</f>
        <v/>
      </c>
    </row>
    <row r="2043" ht="15" customHeight="1" s="20">
      <c r="A2043" s="19" t="inlineStr">
        <is>
          <t>s6486</t>
        </is>
      </c>
      <c r="B2043" s="19" t="inlineStr">
        <is>
          <t>Classic Movies</t>
        </is>
      </c>
      <c r="C2043" s="19">
        <f>IFERROR(INDEX(tblNetflix[type],MATCH($A2043,tblNetflix[show_id],0)),"")</f>
        <v/>
      </c>
      <c r="D2043" s="19">
        <f>IFERROR(INDEX(tblNetflix[rating],MATCH($A2043,tblNetflix[show_id],0)),"")</f>
        <v/>
      </c>
      <c r="E2043" s="19">
        <f>IFERROR(INDEX(tblNetflix[year_added],MATCH($A2043,tblNetflix[show_id],0)),"")</f>
        <v/>
      </c>
      <c r="F2043" s="19">
        <f>IF(AND(OR(YearFilter="All",$E2043=YearFilter),OR(RatingFilter="All",$D2043=RatingFilter),OR(TypeFilter="All",$C2043=TypeFilter)),1,0)</f>
        <v/>
      </c>
    </row>
    <row r="2044" ht="15" customHeight="1" s="20">
      <c r="A2044" s="19" t="inlineStr">
        <is>
          <t>s6486</t>
        </is>
      </c>
      <c r="B2044" s="19" t="inlineStr">
        <is>
          <t>Comedies</t>
        </is>
      </c>
      <c r="C2044" s="19">
        <f>IFERROR(INDEX(tblNetflix[type],MATCH($A2044,tblNetflix[show_id],0)),"")</f>
        <v/>
      </c>
      <c r="D2044" s="19">
        <f>IFERROR(INDEX(tblNetflix[rating],MATCH($A2044,tblNetflix[show_id],0)),"")</f>
        <v/>
      </c>
      <c r="E2044" s="19">
        <f>IFERROR(INDEX(tblNetflix[year_added],MATCH($A2044,tblNetflix[show_id],0)),"")</f>
        <v/>
      </c>
      <c r="F2044" s="19">
        <f>IF(AND(OR(YearFilter="All",$E2044=YearFilter),OR(RatingFilter="All",$D2044=RatingFilter),OR(TypeFilter="All",$C2044=TypeFilter)),1,0)</f>
        <v/>
      </c>
    </row>
    <row r="2045" ht="15" customHeight="1" s="20">
      <c r="A2045" s="19" t="inlineStr">
        <is>
          <t>s6486</t>
        </is>
      </c>
      <c r="B2045" s="19" t="inlineStr">
        <is>
          <t>International Movies</t>
        </is>
      </c>
      <c r="C2045" s="19">
        <f>IFERROR(INDEX(tblNetflix[type],MATCH($A2045,tblNetflix[show_id],0)),"")</f>
        <v/>
      </c>
      <c r="D2045" s="19">
        <f>IFERROR(INDEX(tblNetflix[rating],MATCH($A2045,tblNetflix[show_id],0)),"")</f>
        <v/>
      </c>
      <c r="E2045" s="19">
        <f>IFERROR(INDEX(tblNetflix[year_added],MATCH($A2045,tblNetflix[show_id],0)),"")</f>
        <v/>
      </c>
      <c r="F2045" s="19">
        <f>IF(AND(OR(YearFilter="All",$E2045=YearFilter),OR(RatingFilter="All",$D2045=RatingFilter),OR(TypeFilter="All",$C2045=TypeFilter)),1,0)</f>
        <v/>
      </c>
    </row>
    <row r="2046" ht="15" customHeight="1" s="20">
      <c r="A2046" s="19" t="inlineStr">
        <is>
          <t>s6496</t>
        </is>
      </c>
      <c r="B2046" s="19" t="inlineStr">
        <is>
          <t>Docuseries</t>
        </is>
      </c>
      <c r="C2046" s="19">
        <f>IFERROR(INDEX(tblNetflix[type],MATCH($A2046,tblNetflix[show_id],0)),"")</f>
        <v/>
      </c>
      <c r="D2046" s="19">
        <f>IFERROR(INDEX(tblNetflix[rating],MATCH($A2046,tblNetflix[show_id],0)),"")</f>
        <v/>
      </c>
      <c r="E2046" s="19">
        <f>IFERROR(INDEX(tblNetflix[year_added],MATCH($A2046,tblNetflix[show_id],0)),"")</f>
        <v/>
      </c>
      <c r="F2046" s="19">
        <f>IF(AND(OR(YearFilter="All",$E2046=YearFilter),OR(RatingFilter="All",$D2046=RatingFilter),OR(TypeFilter="All",$C2046=TypeFilter)),1,0)</f>
        <v/>
      </c>
    </row>
    <row r="2047" ht="15" customHeight="1" s="20">
      <c r="A2047" s="19" t="inlineStr">
        <is>
          <t>s6496</t>
        </is>
      </c>
      <c r="B2047" s="19" t="inlineStr">
        <is>
          <t>International TV Shows</t>
        </is>
      </c>
      <c r="C2047" s="19">
        <f>IFERROR(INDEX(tblNetflix[type],MATCH($A2047,tblNetflix[show_id],0)),"")</f>
        <v/>
      </c>
      <c r="D2047" s="19">
        <f>IFERROR(INDEX(tblNetflix[rating],MATCH($A2047,tblNetflix[show_id],0)),"")</f>
        <v/>
      </c>
      <c r="E2047" s="19">
        <f>IFERROR(INDEX(tblNetflix[year_added],MATCH($A2047,tblNetflix[show_id],0)),"")</f>
        <v/>
      </c>
      <c r="F2047" s="19">
        <f>IF(AND(OR(YearFilter="All",$E2047=YearFilter),OR(RatingFilter="All",$D2047=RatingFilter),OR(TypeFilter="All",$C2047=TypeFilter)),1,0)</f>
        <v/>
      </c>
    </row>
    <row r="2048" ht="15" customHeight="1" s="20">
      <c r="A2048" s="19" t="inlineStr">
        <is>
          <t>s6513</t>
        </is>
      </c>
      <c r="B2048" s="19" t="inlineStr">
        <is>
          <t>Comedies</t>
        </is>
      </c>
      <c r="C2048" s="19">
        <f>IFERROR(INDEX(tblNetflix[type],MATCH($A2048,tblNetflix[show_id],0)),"")</f>
        <v/>
      </c>
      <c r="D2048" s="19">
        <f>IFERROR(INDEX(tblNetflix[rating],MATCH($A2048,tblNetflix[show_id],0)),"")</f>
        <v/>
      </c>
      <c r="E2048" s="19">
        <f>IFERROR(INDEX(tblNetflix[year_added],MATCH($A2048,tblNetflix[show_id],0)),"")</f>
        <v/>
      </c>
      <c r="F2048" s="19">
        <f>IF(AND(OR(YearFilter="All",$E2048=YearFilter),OR(RatingFilter="All",$D2048=RatingFilter),OR(TypeFilter="All",$C2048=TypeFilter)),1,0)</f>
        <v/>
      </c>
    </row>
    <row r="2049" ht="15" customHeight="1" s="20">
      <c r="A2049" s="19" t="inlineStr">
        <is>
          <t>s6513</t>
        </is>
      </c>
      <c r="B2049" s="19" t="inlineStr">
        <is>
          <t>Independent Movies</t>
        </is>
      </c>
      <c r="C2049" s="19">
        <f>IFERROR(INDEX(tblNetflix[type],MATCH($A2049,tblNetflix[show_id],0)),"")</f>
        <v/>
      </c>
      <c r="D2049" s="19">
        <f>IFERROR(INDEX(tblNetflix[rating],MATCH($A2049,tblNetflix[show_id],0)),"")</f>
        <v/>
      </c>
      <c r="E2049" s="19">
        <f>IFERROR(INDEX(tblNetflix[year_added],MATCH($A2049,tblNetflix[show_id],0)),"")</f>
        <v/>
      </c>
      <c r="F2049" s="19">
        <f>IF(AND(OR(YearFilter="All",$E2049=YearFilter),OR(RatingFilter="All",$D2049=RatingFilter),OR(TypeFilter="All",$C2049=TypeFilter)),1,0)</f>
        <v/>
      </c>
    </row>
    <row r="2050" ht="15" customHeight="1" s="20">
      <c r="A2050" s="19" t="inlineStr">
        <is>
          <t>s6513</t>
        </is>
      </c>
      <c r="B2050" s="19" t="inlineStr">
        <is>
          <t>International Movies</t>
        </is>
      </c>
      <c r="C2050" s="19">
        <f>IFERROR(INDEX(tblNetflix[type],MATCH($A2050,tblNetflix[show_id],0)),"")</f>
        <v/>
      </c>
      <c r="D2050" s="19">
        <f>IFERROR(INDEX(tblNetflix[rating],MATCH($A2050,tblNetflix[show_id],0)),"")</f>
        <v/>
      </c>
      <c r="E2050" s="19">
        <f>IFERROR(INDEX(tblNetflix[year_added],MATCH($A2050,tblNetflix[show_id],0)),"")</f>
        <v/>
      </c>
      <c r="F2050" s="19">
        <f>IF(AND(OR(YearFilter="All",$E2050=YearFilter),OR(RatingFilter="All",$D2050=RatingFilter),OR(TypeFilter="All",$C2050=TypeFilter)),1,0)</f>
        <v/>
      </c>
    </row>
    <row r="2051" ht="15" customHeight="1" s="20">
      <c r="A2051" s="19" t="inlineStr">
        <is>
          <t>s6516</t>
        </is>
      </c>
      <c r="B2051" s="19" t="inlineStr">
        <is>
          <t>Comedies</t>
        </is>
      </c>
      <c r="C2051" s="19">
        <f>IFERROR(INDEX(tblNetflix[type],MATCH($A2051,tblNetflix[show_id],0)),"")</f>
        <v/>
      </c>
      <c r="D2051" s="19">
        <f>IFERROR(INDEX(tblNetflix[rating],MATCH($A2051,tblNetflix[show_id],0)),"")</f>
        <v/>
      </c>
      <c r="E2051" s="19">
        <f>IFERROR(INDEX(tblNetflix[year_added],MATCH($A2051,tblNetflix[show_id],0)),"")</f>
        <v/>
      </c>
      <c r="F2051" s="19">
        <f>IF(AND(OR(YearFilter="All",$E2051=YearFilter),OR(RatingFilter="All",$D2051=RatingFilter),OR(TypeFilter="All",$C2051=TypeFilter)),1,0)</f>
        <v/>
      </c>
    </row>
    <row r="2052" ht="15" customHeight="1" s="20">
      <c r="A2052" s="19" t="inlineStr">
        <is>
          <t>s6516</t>
        </is>
      </c>
      <c r="B2052" s="19" t="inlineStr">
        <is>
          <t>Dramas</t>
        </is>
      </c>
      <c r="C2052" s="19">
        <f>IFERROR(INDEX(tblNetflix[type],MATCH($A2052,tblNetflix[show_id],0)),"")</f>
        <v/>
      </c>
      <c r="D2052" s="19">
        <f>IFERROR(INDEX(tblNetflix[rating],MATCH($A2052,tblNetflix[show_id],0)),"")</f>
        <v/>
      </c>
      <c r="E2052" s="19">
        <f>IFERROR(INDEX(tblNetflix[year_added],MATCH($A2052,tblNetflix[show_id],0)),"")</f>
        <v/>
      </c>
      <c r="F2052" s="19">
        <f>IF(AND(OR(YearFilter="All",$E2052=YearFilter),OR(RatingFilter="All",$D2052=RatingFilter),OR(TypeFilter="All",$C2052=TypeFilter)),1,0)</f>
        <v/>
      </c>
    </row>
    <row r="2053" ht="15" customHeight="1" s="20">
      <c r="A2053" s="19" t="inlineStr">
        <is>
          <t>s6516</t>
        </is>
      </c>
      <c r="B2053" s="19" t="inlineStr">
        <is>
          <t>Independent Movies</t>
        </is>
      </c>
      <c r="C2053" s="19">
        <f>IFERROR(INDEX(tblNetflix[type],MATCH($A2053,tblNetflix[show_id],0)),"")</f>
        <v/>
      </c>
      <c r="D2053" s="19">
        <f>IFERROR(INDEX(tblNetflix[rating],MATCH($A2053,tblNetflix[show_id],0)),"")</f>
        <v/>
      </c>
      <c r="E2053" s="19">
        <f>IFERROR(INDEX(tblNetflix[year_added],MATCH($A2053,tblNetflix[show_id],0)),"")</f>
        <v/>
      </c>
      <c r="F2053" s="19">
        <f>IF(AND(OR(YearFilter="All",$E2053=YearFilter),OR(RatingFilter="All",$D2053=RatingFilter),OR(TypeFilter="All",$C2053=TypeFilter)),1,0)</f>
        <v/>
      </c>
    </row>
    <row r="2054" ht="15" customHeight="1" s="20">
      <c r="A2054" s="19" t="inlineStr">
        <is>
          <t>s6518</t>
        </is>
      </c>
      <c r="B2054" s="19" t="inlineStr">
        <is>
          <t>Dramas</t>
        </is>
      </c>
      <c r="C2054" s="19">
        <f>IFERROR(INDEX(tblNetflix[type],MATCH($A2054,tblNetflix[show_id],0)),"")</f>
        <v/>
      </c>
      <c r="D2054" s="19">
        <f>IFERROR(INDEX(tblNetflix[rating],MATCH($A2054,tblNetflix[show_id],0)),"")</f>
        <v/>
      </c>
      <c r="E2054" s="19">
        <f>IFERROR(INDEX(tblNetflix[year_added],MATCH($A2054,tblNetflix[show_id],0)),"")</f>
        <v/>
      </c>
      <c r="F2054" s="19">
        <f>IF(AND(OR(YearFilter="All",$E2054=YearFilter),OR(RatingFilter="All",$D2054=RatingFilter),OR(TypeFilter="All",$C2054=TypeFilter)),1,0)</f>
        <v/>
      </c>
    </row>
    <row r="2055" ht="15" customHeight="1" s="20">
      <c r="A2055" s="19" t="inlineStr">
        <is>
          <t>s6518</t>
        </is>
      </c>
      <c r="B2055" s="19" t="inlineStr">
        <is>
          <t>International Movies</t>
        </is>
      </c>
      <c r="C2055" s="19">
        <f>IFERROR(INDEX(tblNetflix[type],MATCH($A2055,tblNetflix[show_id],0)),"")</f>
        <v/>
      </c>
      <c r="D2055" s="19">
        <f>IFERROR(INDEX(tblNetflix[rating],MATCH($A2055,tblNetflix[show_id],0)),"")</f>
        <v/>
      </c>
      <c r="E2055" s="19">
        <f>IFERROR(INDEX(tblNetflix[year_added],MATCH($A2055,tblNetflix[show_id],0)),"")</f>
        <v/>
      </c>
      <c r="F2055" s="19">
        <f>IF(AND(OR(YearFilter="All",$E2055=YearFilter),OR(RatingFilter="All",$D2055=RatingFilter),OR(TypeFilter="All",$C2055=TypeFilter)),1,0)</f>
        <v/>
      </c>
    </row>
    <row r="2056" ht="15" customHeight="1" s="20">
      <c r="A2056" s="19" t="inlineStr">
        <is>
          <t>s6523</t>
        </is>
      </c>
      <c r="B2056" s="19" t="inlineStr">
        <is>
          <t>Action &amp; Adventure</t>
        </is>
      </c>
      <c r="C2056" s="19">
        <f>IFERROR(INDEX(tblNetflix[type],MATCH($A2056,tblNetflix[show_id],0)),"")</f>
        <v/>
      </c>
      <c r="D2056" s="19">
        <f>IFERROR(INDEX(tblNetflix[rating],MATCH($A2056,tblNetflix[show_id],0)),"")</f>
        <v/>
      </c>
      <c r="E2056" s="19">
        <f>IFERROR(INDEX(tblNetflix[year_added],MATCH($A2056,tblNetflix[show_id],0)),"")</f>
        <v/>
      </c>
      <c r="F2056" s="19">
        <f>IF(AND(OR(YearFilter="All",$E2056=YearFilter),OR(RatingFilter="All",$D2056=RatingFilter),OR(TypeFilter="All",$C2056=TypeFilter)),1,0)</f>
        <v/>
      </c>
    </row>
    <row r="2057" ht="15" customHeight="1" s="20">
      <c r="A2057" s="19" t="inlineStr">
        <is>
          <t>s6523</t>
        </is>
      </c>
      <c r="B2057" s="19" t="inlineStr">
        <is>
          <t>Dramas</t>
        </is>
      </c>
      <c r="C2057" s="19">
        <f>IFERROR(INDEX(tblNetflix[type],MATCH($A2057,tblNetflix[show_id],0)),"")</f>
        <v/>
      </c>
      <c r="D2057" s="19">
        <f>IFERROR(INDEX(tblNetflix[rating],MATCH($A2057,tblNetflix[show_id],0)),"")</f>
        <v/>
      </c>
      <c r="E2057" s="19">
        <f>IFERROR(INDEX(tblNetflix[year_added],MATCH($A2057,tblNetflix[show_id],0)),"")</f>
        <v/>
      </c>
      <c r="F2057" s="19">
        <f>IF(AND(OR(YearFilter="All",$E2057=YearFilter),OR(RatingFilter="All",$D2057=RatingFilter),OR(TypeFilter="All",$C2057=TypeFilter)),1,0)</f>
        <v/>
      </c>
    </row>
    <row r="2058" ht="15" customHeight="1" s="20">
      <c r="A2058" s="19" t="inlineStr">
        <is>
          <t>s6523</t>
        </is>
      </c>
      <c r="B2058" s="19" t="inlineStr">
        <is>
          <t>International Movies</t>
        </is>
      </c>
      <c r="C2058" s="19">
        <f>IFERROR(INDEX(tblNetflix[type],MATCH($A2058,tblNetflix[show_id],0)),"")</f>
        <v/>
      </c>
      <c r="D2058" s="19">
        <f>IFERROR(INDEX(tblNetflix[rating],MATCH($A2058,tblNetflix[show_id],0)),"")</f>
        <v/>
      </c>
      <c r="E2058" s="19">
        <f>IFERROR(INDEX(tblNetflix[year_added],MATCH($A2058,tblNetflix[show_id],0)),"")</f>
        <v/>
      </c>
      <c r="F2058" s="19">
        <f>IF(AND(OR(YearFilter="All",$E2058=YearFilter),OR(RatingFilter="All",$D2058=RatingFilter),OR(TypeFilter="All",$C2058=TypeFilter)),1,0)</f>
        <v/>
      </c>
    </row>
    <row r="2059" ht="15" customHeight="1" s="20">
      <c r="A2059" s="19" t="inlineStr">
        <is>
          <t>s6531</t>
        </is>
      </c>
      <c r="B2059" s="19" t="inlineStr">
        <is>
          <t>Action &amp; Adventure</t>
        </is>
      </c>
      <c r="C2059" s="19">
        <f>IFERROR(INDEX(tblNetflix[type],MATCH($A2059,tblNetflix[show_id],0)),"")</f>
        <v/>
      </c>
      <c r="D2059" s="19">
        <f>IFERROR(INDEX(tblNetflix[rating],MATCH($A2059,tblNetflix[show_id],0)),"")</f>
        <v/>
      </c>
      <c r="E2059" s="19">
        <f>IFERROR(INDEX(tblNetflix[year_added],MATCH($A2059,tblNetflix[show_id],0)),"")</f>
        <v/>
      </c>
      <c r="F2059" s="19">
        <f>IF(AND(OR(YearFilter="All",$E2059=YearFilter),OR(RatingFilter="All",$D2059=RatingFilter),OR(TypeFilter="All",$C2059=TypeFilter)),1,0)</f>
        <v/>
      </c>
    </row>
    <row r="2060" ht="15" customHeight="1" s="20">
      <c r="A2060" s="19" t="inlineStr">
        <is>
          <t>s6531</t>
        </is>
      </c>
      <c r="B2060" s="19" t="inlineStr">
        <is>
          <t>Dramas</t>
        </is>
      </c>
      <c r="C2060" s="19">
        <f>IFERROR(INDEX(tblNetflix[type],MATCH($A2060,tblNetflix[show_id],0)),"")</f>
        <v/>
      </c>
      <c r="D2060" s="19">
        <f>IFERROR(INDEX(tblNetflix[rating],MATCH($A2060,tblNetflix[show_id],0)),"")</f>
        <v/>
      </c>
      <c r="E2060" s="19">
        <f>IFERROR(INDEX(tblNetflix[year_added],MATCH($A2060,tblNetflix[show_id],0)),"")</f>
        <v/>
      </c>
      <c r="F2060" s="19">
        <f>IF(AND(OR(YearFilter="All",$E2060=YearFilter),OR(RatingFilter="All",$D2060=RatingFilter),OR(TypeFilter="All",$C2060=TypeFilter)),1,0)</f>
        <v/>
      </c>
    </row>
    <row r="2061" ht="15" customHeight="1" s="20">
      <c r="A2061" s="19" t="inlineStr">
        <is>
          <t>s6531</t>
        </is>
      </c>
      <c r="B2061" s="19" t="inlineStr">
        <is>
          <t>Independent Movies</t>
        </is>
      </c>
      <c r="C2061" s="19">
        <f>IFERROR(INDEX(tblNetflix[type],MATCH($A2061,tblNetflix[show_id],0)),"")</f>
        <v/>
      </c>
      <c r="D2061" s="19">
        <f>IFERROR(INDEX(tblNetflix[rating],MATCH($A2061,tblNetflix[show_id],0)),"")</f>
        <v/>
      </c>
      <c r="E2061" s="19">
        <f>IFERROR(INDEX(tblNetflix[year_added],MATCH($A2061,tblNetflix[show_id],0)),"")</f>
        <v/>
      </c>
      <c r="F2061" s="19">
        <f>IF(AND(OR(YearFilter="All",$E2061=YearFilter),OR(RatingFilter="All",$D2061=RatingFilter),OR(TypeFilter="All",$C2061=TypeFilter)),1,0)</f>
        <v/>
      </c>
    </row>
    <row r="2062" ht="15" customHeight="1" s="20">
      <c r="A2062" s="19" t="inlineStr">
        <is>
          <t>s6542</t>
        </is>
      </c>
      <c r="B2062" s="19" t="inlineStr">
        <is>
          <t>Comedies</t>
        </is>
      </c>
      <c r="C2062" s="19">
        <f>IFERROR(INDEX(tblNetflix[type],MATCH($A2062,tblNetflix[show_id],0)),"")</f>
        <v/>
      </c>
      <c r="D2062" s="19">
        <f>IFERROR(INDEX(tblNetflix[rating],MATCH($A2062,tblNetflix[show_id],0)),"")</f>
        <v/>
      </c>
      <c r="E2062" s="19">
        <f>IFERROR(INDEX(tblNetflix[year_added],MATCH($A2062,tblNetflix[show_id],0)),"")</f>
        <v/>
      </c>
      <c r="F2062" s="19">
        <f>IF(AND(OR(YearFilter="All",$E2062=YearFilter),OR(RatingFilter="All",$D2062=RatingFilter),OR(TypeFilter="All",$C2062=TypeFilter)),1,0)</f>
        <v/>
      </c>
    </row>
    <row r="2063" ht="15" customHeight="1" s="20">
      <c r="A2063" s="19" t="inlineStr">
        <is>
          <t>s6542</t>
        </is>
      </c>
      <c r="B2063" s="19" t="inlineStr">
        <is>
          <t>Dramas</t>
        </is>
      </c>
      <c r="C2063" s="19">
        <f>IFERROR(INDEX(tblNetflix[type],MATCH($A2063,tblNetflix[show_id],0)),"")</f>
        <v/>
      </c>
      <c r="D2063" s="19">
        <f>IFERROR(INDEX(tblNetflix[rating],MATCH($A2063,tblNetflix[show_id],0)),"")</f>
        <v/>
      </c>
      <c r="E2063" s="19">
        <f>IFERROR(INDEX(tblNetflix[year_added],MATCH($A2063,tblNetflix[show_id],0)),"")</f>
        <v/>
      </c>
      <c r="F2063" s="19">
        <f>IF(AND(OR(YearFilter="All",$E2063=YearFilter),OR(RatingFilter="All",$D2063=RatingFilter),OR(TypeFilter="All",$C2063=TypeFilter)),1,0)</f>
        <v/>
      </c>
    </row>
    <row r="2064" ht="15" customHeight="1" s="20">
      <c r="A2064" s="19" t="inlineStr">
        <is>
          <t>s6542</t>
        </is>
      </c>
      <c r="B2064" s="19" t="inlineStr">
        <is>
          <t>Independent Movies</t>
        </is>
      </c>
      <c r="C2064" s="19">
        <f>IFERROR(INDEX(tblNetflix[type],MATCH($A2064,tblNetflix[show_id],0)),"")</f>
        <v/>
      </c>
      <c r="D2064" s="19">
        <f>IFERROR(INDEX(tblNetflix[rating],MATCH($A2064,tblNetflix[show_id],0)),"")</f>
        <v/>
      </c>
      <c r="E2064" s="19">
        <f>IFERROR(INDEX(tblNetflix[year_added],MATCH($A2064,tblNetflix[show_id],0)),"")</f>
        <v/>
      </c>
      <c r="F2064" s="19">
        <f>IF(AND(OR(YearFilter="All",$E2064=YearFilter),OR(RatingFilter="All",$D2064=RatingFilter),OR(TypeFilter="All",$C2064=TypeFilter)),1,0)</f>
        <v/>
      </c>
    </row>
    <row r="2065" ht="15" customHeight="1" s="20">
      <c r="A2065" s="19" t="inlineStr">
        <is>
          <t>s6547</t>
        </is>
      </c>
      <c r="B2065" s="19" t="inlineStr">
        <is>
          <t>Action &amp; Adventure</t>
        </is>
      </c>
      <c r="C2065" s="19">
        <f>IFERROR(INDEX(tblNetflix[type],MATCH($A2065,tblNetflix[show_id],0)),"")</f>
        <v/>
      </c>
      <c r="D2065" s="19">
        <f>IFERROR(INDEX(tblNetflix[rating],MATCH($A2065,tblNetflix[show_id],0)),"")</f>
        <v/>
      </c>
      <c r="E2065" s="19">
        <f>IFERROR(INDEX(tblNetflix[year_added],MATCH($A2065,tblNetflix[show_id],0)),"")</f>
        <v/>
      </c>
      <c r="F2065" s="19">
        <f>IF(AND(OR(YearFilter="All",$E2065=YearFilter),OR(RatingFilter="All",$D2065=RatingFilter),OR(TypeFilter="All",$C2065=TypeFilter)),1,0)</f>
        <v/>
      </c>
    </row>
    <row r="2066" ht="15" customHeight="1" s="20">
      <c r="A2066" s="19" t="inlineStr">
        <is>
          <t>s6547</t>
        </is>
      </c>
      <c r="B2066" s="19" t="inlineStr">
        <is>
          <t>Dramas</t>
        </is>
      </c>
      <c r="C2066" s="19">
        <f>IFERROR(INDEX(tblNetflix[type],MATCH($A2066,tblNetflix[show_id],0)),"")</f>
        <v/>
      </c>
      <c r="D2066" s="19">
        <f>IFERROR(INDEX(tblNetflix[rating],MATCH($A2066,tblNetflix[show_id],0)),"")</f>
        <v/>
      </c>
      <c r="E2066" s="19">
        <f>IFERROR(INDEX(tblNetflix[year_added],MATCH($A2066,tblNetflix[show_id],0)),"")</f>
        <v/>
      </c>
      <c r="F2066" s="19">
        <f>IF(AND(OR(YearFilter="All",$E2066=YearFilter),OR(RatingFilter="All",$D2066=RatingFilter),OR(TypeFilter="All",$C2066=TypeFilter)),1,0)</f>
        <v/>
      </c>
    </row>
    <row r="2067" ht="15" customHeight="1" s="20">
      <c r="A2067" s="19" t="inlineStr">
        <is>
          <t>s6547</t>
        </is>
      </c>
      <c r="B2067" s="19" t="inlineStr">
        <is>
          <t>International Movies</t>
        </is>
      </c>
      <c r="C2067" s="19">
        <f>IFERROR(INDEX(tblNetflix[type],MATCH($A2067,tblNetflix[show_id],0)),"")</f>
        <v/>
      </c>
      <c r="D2067" s="19">
        <f>IFERROR(INDEX(tblNetflix[rating],MATCH($A2067,tblNetflix[show_id],0)),"")</f>
        <v/>
      </c>
      <c r="E2067" s="19">
        <f>IFERROR(INDEX(tblNetflix[year_added],MATCH($A2067,tblNetflix[show_id],0)),"")</f>
        <v/>
      </c>
      <c r="F2067" s="19">
        <f>IF(AND(OR(YearFilter="All",$E2067=YearFilter),OR(RatingFilter="All",$D2067=RatingFilter),OR(TypeFilter="All",$C2067=TypeFilter)),1,0)</f>
        <v/>
      </c>
    </row>
    <row r="2068" ht="15" customHeight="1" s="20">
      <c r="A2068" s="19" t="inlineStr">
        <is>
          <t>s6554</t>
        </is>
      </c>
      <c r="B2068" s="19" t="inlineStr">
        <is>
          <t>Dramas</t>
        </is>
      </c>
      <c r="C2068" s="19">
        <f>IFERROR(INDEX(tblNetflix[type],MATCH($A2068,tblNetflix[show_id],0)),"")</f>
        <v/>
      </c>
      <c r="D2068" s="19">
        <f>IFERROR(INDEX(tblNetflix[rating],MATCH($A2068,tblNetflix[show_id],0)),"")</f>
        <v/>
      </c>
      <c r="E2068" s="19">
        <f>IFERROR(INDEX(tblNetflix[year_added],MATCH($A2068,tblNetflix[show_id],0)),"")</f>
        <v/>
      </c>
      <c r="F2068" s="19">
        <f>IF(AND(OR(YearFilter="All",$E2068=YearFilter),OR(RatingFilter="All",$D2068=RatingFilter),OR(TypeFilter="All",$C2068=TypeFilter)),1,0)</f>
        <v/>
      </c>
    </row>
    <row r="2069" ht="15" customHeight="1" s="20">
      <c r="A2069" s="19" t="inlineStr">
        <is>
          <t>s6554</t>
        </is>
      </c>
      <c r="B2069" s="19" t="inlineStr">
        <is>
          <t>International Movies</t>
        </is>
      </c>
      <c r="C2069" s="19">
        <f>IFERROR(INDEX(tblNetflix[type],MATCH($A2069,tblNetflix[show_id],0)),"")</f>
        <v/>
      </c>
      <c r="D2069" s="19">
        <f>IFERROR(INDEX(tblNetflix[rating],MATCH($A2069,tblNetflix[show_id],0)),"")</f>
        <v/>
      </c>
      <c r="E2069" s="19">
        <f>IFERROR(INDEX(tblNetflix[year_added],MATCH($A2069,tblNetflix[show_id],0)),"")</f>
        <v/>
      </c>
      <c r="F2069" s="19">
        <f>IF(AND(OR(YearFilter="All",$E2069=YearFilter),OR(RatingFilter="All",$D2069=RatingFilter),OR(TypeFilter="All",$C2069=TypeFilter)),1,0)</f>
        <v/>
      </c>
    </row>
    <row r="2070" ht="15" customHeight="1" s="20">
      <c r="A2070" s="19" t="inlineStr">
        <is>
          <t>s6555</t>
        </is>
      </c>
      <c r="B2070" s="19" t="inlineStr">
        <is>
          <t>Dramas</t>
        </is>
      </c>
      <c r="C2070" s="19">
        <f>IFERROR(INDEX(tblNetflix[type],MATCH($A2070,tblNetflix[show_id],0)),"")</f>
        <v/>
      </c>
      <c r="D2070" s="19">
        <f>IFERROR(INDEX(tblNetflix[rating],MATCH($A2070,tblNetflix[show_id],0)),"")</f>
        <v/>
      </c>
      <c r="E2070" s="19">
        <f>IFERROR(INDEX(tblNetflix[year_added],MATCH($A2070,tblNetflix[show_id],0)),"")</f>
        <v/>
      </c>
      <c r="F2070" s="19">
        <f>IF(AND(OR(YearFilter="All",$E2070=YearFilter),OR(RatingFilter="All",$D2070=RatingFilter),OR(TypeFilter="All",$C2070=TypeFilter)),1,0)</f>
        <v/>
      </c>
    </row>
    <row r="2071" ht="15" customHeight="1" s="20">
      <c r="A2071" s="19" t="inlineStr">
        <is>
          <t>s6555</t>
        </is>
      </c>
      <c r="B2071" s="19" t="inlineStr">
        <is>
          <t>Independent Movies</t>
        </is>
      </c>
      <c r="C2071" s="19">
        <f>IFERROR(INDEX(tblNetflix[type],MATCH($A2071,tblNetflix[show_id],0)),"")</f>
        <v/>
      </c>
      <c r="D2071" s="19">
        <f>IFERROR(INDEX(tblNetflix[rating],MATCH($A2071,tblNetflix[show_id],0)),"")</f>
        <v/>
      </c>
      <c r="E2071" s="19">
        <f>IFERROR(INDEX(tblNetflix[year_added],MATCH($A2071,tblNetflix[show_id],0)),"")</f>
        <v/>
      </c>
      <c r="F2071" s="19">
        <f>IF(AND(OR(YearFilter="All",$E2071=YearFilter),OR(RatingFilter="All",$D2071=RatingFilter),OR(TypeFilter="All",$C2071=TypeFilter)),1,0)</f>
        <v/>
      </c>
    </row>
    <row r="2072" ht="15" customHeight="1" s="20">
      <c r="A2072" s="19" t="inlineStr">
        <is>
          <t>s6555</t>
        </is>
      </c>
      <c r="B2072" s="19" t="inlineStr">
        <is>
          <t>International Movies</t>
        </is>
      </c>
      <c r="C2072" s="19">
        <f>IFERROR(INDEX(tblNetflix[type],MATCH($A2072,tblNetflix[show_id],0)),"")</f>
        <v/>
      </c>
      <c r="D2072" s="19">
        <f>IFERROR(INDEX(tblNetflix[rating],MATCH($A2072,tblNetflix[show_id],0)),"")</f>
        <v/>
      </c>
      <c r="E2072" s="19">
        <f>IFERROR(INDEX(tblNetflix[year_added],MATCH($A2072,tblNetflix[show_id],0)),"")</f>
        <v/>
      </c>
      <c r="F2072" s="19">
        <f>IF(AND(OR(YearFilter="All",$E2072=YearFilter),OR(RatingFilter="All",$D2072=RatingFilter),OR(TypeFilter="All",$C2072=TypeFilter)),1,0)</f>
        <v/>
      </c>
    </row>
    <row r="2073" ht="15" customHeight="1" s="20">
      <c r="A2073" s="19" t="inlineStr">
        <is>
          <t>s6565</t>
        </is>
      </c>
      <c r="B2073" s="19" t="inlineStr">
        <is>
          <t>Dramas</t>
        </is>
      </c>
      <c r="C2073" s="19">
        <f>IFERROR(INDEX(tblNetflix[type],MATCH($A2073,tblNetflix[show_id],0)),"")</f>
        <v/>
      </c>
      <c r="D2073" s="19">
        <f>IFERROR(INDEX(tblNetflix[rating],MATCH($A2073,tblNetflix[show_id],0)),"")</f>
        <v/>
      </c>
      <c r="E2073" s="19">
        <f>IFERROR(INDEX(tblNetflix[year_added],MATCH($A2073,tblNetflix[show_id],0)),"")</f>
        <v/>
      </c>
      <c r="F2073" s="19">
        <f>IF(AND(OR(YearFilter="All",$E2073=YearFilter),OR(RatingFilter="All",$D2073=RatingFilter),OR(TypeFilter="All",$C2073=TypeFilter)),1,0)</f>
        <v/>
      </c>
    </row>
    <row r="2074" ht="15" customHeight="1" s="20">
      <c r="A2074" s="19" t="inlineStr">
        <is>
          <t>s6565</t>
        </is>
      </c>
      <c r="B2074" s="19" t="inlineStr">
        <is>
          <t>International Movies</t>
        </is>
      </c>
      <c r="C2074" s="19">
        <f>IFERROR(INDEX(tblNetflix[type],MATCH($A2074,tblNetflix[show_id],0)),"")</f>
        <v/>
      </c>
      <c r="D2074" s="19">
        <f>IFERROR(INDEX(tblNetflix[rating],MATCH($A2074,tblNetflix[show_id],0)),"")</f>
        <v/>
      </c>
      <c r="E2074" s="19">
        <f>IFERROR(INDEX(tblNetflix[year_added],MATCH($A2074,tblNetflix[show_id],0)),"")</f>
        <v/>
      </c>
      <c r="F2074" s="19">
        <f>IF(AND(OR(YearFilter="All",$E2074=YearFilter),OR(RatingFilter="All",$D2074=RatingFilter),OR(TypeFilter="All",$C2074=TypeFilter)),1,0)</f>
        <v/>
      </c>
    </row>
    <row r="2075" ht="15" customHeight="1" s="20">
      <c r="A2075" s="19" t="inlineStr">
        <is>
          <t>s6565</t>
        </is>
      </c>
      <c r="B2075" s="19" t="inlineStr">
        <is>
          <t>Thrillers</t>
        </is>
      </c>
      <c r="C2075" s="19">
        <f>IFERROR(INDEX(tblNetflix[type],MATCH($A2075,tblNetflix[show_id],0)),"")</f>
        <v/>
      </c>
      <c r="D2075" s="19">
        <f>IFERROR(INDEX(tblNetflix[rating],MATCH($A2075,tblNetflix[show_id],0)),"")</f>
        <v/>
      </c>
      <c r="E2075" s="19">
        <f>IFERROR(INDEX(tblNetflix[year_added],MATCH($A2075,tblNetflix[show_id],0)),"")</f>
        <v/>
      </c>
      <c r="F2075" s="19">
        <f>IF(AND(OR(YearFilter="All",$E2075=YearFilter),OR(RatingFilter="All",$D2075=RatingFilter),OR(TypeFilter="All",$C2075=TypeFilter)),1,0)</f>
        <v/>
      </c>
    </row>
    <row r="2076" ht="15" customHeight="1" s="20">
      <c r="A2076" s="19" t="inlineStr">
        <is>
          <t>s6568</t>
        </is>
      </c>
      <c r="B2076" s="19" t="inlineStr">
        <is>
          <t>Horror Movies</t>
        </is>
      </c>
      <c r="C2076" s="19">
        <f>IFERROR(INDEX(tblNetflix[type],MATCH($A2076,tblNetflix[show_id],0)),"")</f>
        <v/>
      </c>
      <c r="D2076" s="19">
        <f>IFERROR(INDEX(tblNetflix[rating],MATCH($A2076,tblNetflix[show_id],0)),"")</f>
        <v/>
      </c>
      <c r="E2076" s="19">
        <f>IFERROR(INDEX(tblNetflix[year_added],MATCH($A2076,tblNetflix[show_id],0)),"")</f>
        <v/>
      </c>
      <c r="F2076" s="19">
        <f>IF(AND(OR(YearFilter="All",$E2076=YearFilter),OR(RatingFilter="All",$D2076=RatingFilter),OR(TypeFilter="All",$C2076=TypeFilter)),1,0)</f>
        <v/>
      </c>
    </row>
    <row r="2077" ht="15" customHeight="1" s="20">
      <c r="A2077" s="19" t="inlineStr">
        <is>
          <t>s6568</t>
        </is>
      </c>
      <c r="B2077" s="19" t="inlineStr">
        <is>
          <t>International Movies</t>
        </is>
      </c>
      <c r="C2077" s="19">
        <f>IFERROR(INDEX(tblNetflix[type],MATCH($A2077,tblNetflix[show_id],0)),"")</f>
        <v/>
      </c>
      <c r="D2077" s="19">
        <f>IFERROR(INDEX(tblNetflix[rating],MATCH($A2077,tblNetflix[show_id],0)),"")</f>
        <v/>
      </c>
      <c r="E2077" s="19">
        <f>IFERROR(INDEX(tblNetflix[year_added],MATCH($A2077,tblNetflix[show_id],0)),"")</f>
        <v/>
      </c>
      <c r="F2077" s="19">
        <f>IF(AND(OR(YearFilter="All",$E2077=YearFilter),OR(RatingFilter="All",$D2077=RatingFilter),OR(TypeFilter="All",$C2077=TypeFilter)),1,0)</f>
        <v/>
      </c>
    </row>
    <row r="2078" ht="15" customHeight="1" s="20">
      <c r="A2078" s="19" t="inlineStr">
        <is>
          <t>s6568</t>
        </is>
      </c>
      <c r="B2078" s="19" t="inlineStr">
        <is>
          <t>Thrillers</t>
        </is>
      </c>
      <c r="C2078" s="19">
        <f>IFERROR(INDEX(tblNetflix[type],MATCH($A2078,tblNetflix[show_id],0)),"")</f>
        <v/>
      </c>
      <c r="D2078" s="19">
        <f>IFERROR(INDEX(tblNetflix[rating],MATCH($A2078,tblNetflix[show_id],0)),"")</f>
        <v/>
      </c>
      <c r="E2078" s="19">
        <f>IFERROR(INDEX(tblNetflix[year_added],MATCH($A2078,tblNetflix[show_id],0)),"")</f>
        <v/>
      </c>
      <c r="F2078" s="19">
        <f>IF(AND(OR(YearFilter="All",$E2078=YearFilter),OR(RatingFilter="All",$D2078=RatingFilter),OR(TypeFilter="All",$C2078=TypeFilter)),1,0)</f>
        <v/>
      </c>
    </row>
    <row r="2079" ht="15" customHeight="1" s="20">
      <c r="A2079" s="19" t="inlineStr">
        <is>
          <t>s6569</t>
        </is>
      </c>
      <c r="B2079" s="19" t="inlineStr">
        <is>
          <t>International TV Shows</t>
        </is>
      </c>
      <c r="C2079" s="19">
        <f>IFERROR(INDEX(tblNetflix[type],MATCH($A2079,tblNetflix[show_id],0)),"")</f>
        <v/>
      </c>
      <c r="D2079" s="19">
        <f>IFERROR(INDEX(tblNetflix[rating],MATCH($A2079,tblNetflix[show_id],0)),"")</f>
        <v/>
      </c>
      <c r="E2079" s="19">
        <f>IFERROR(INDEX(tblNetflix[year_added],MATCH($A2079,tblNetflix[show_id],0)),"")</f>
        <v/>
      </c>
      <c r="F2079" s="19">
        <f>IF(AND(OR(YearFilter="All",$E2079=YearFilter),OR(RatingFilter="All",$D2079=RatingFilter),OR(TypeFilter="All",$C2079=TypeFilter)),1,0)</f>
        <v/>
      </c>
    </row>
    <row r="2080" ht="15" customHeight="1" s="20">
      <c r="A2080" s="19" t="inlineStr">
        <is>
          <t>s6569</t>
        </is>
      </c>
      <c r="B2080" s="19" t="inlineStr">
        <is>
          <t>TV Horror</t>
        </is>
      </c>
      <c r="C2080" s="19">
        <f>IFERROR(INDEX(tblNetflix[type],MATCH($A2080,tblNetflix[show_id],0)),"")</f>
        <v/>
      </c>
      <c r="D2080" s="19">
        <f>IFERROR(INDEX(tblNetflix[rating],MATCH($A2080,tblNetflix[show_id],0)),"")</f>
        <v/>
      </c>
      <c r="E2080" s="19">
        <f>IFERROR(INDEX(tblNetflix[year_added],MATCH($A2080,tblNetflix[show_id],0)),"")</f>
        <v/>
      </c>
      <c r="F2080" s="19">
        <f>IF(AND(OR(YearFilter="All",$E2080=YearFilter),OR(RatingFilter="All",$D2080=RatingFilter),OR(TypeFilter="All",$C2080=TypeFilter)),1,0)</f>
        <v/>
      </c>
    </row>
    <row r="2081" ht="15" customHeight="1" s="20">
      <c r="A2081" s="19" t="inlineStr">
        <is>
          <t>s6569</t>
        </is>
      </c>
      <c r="B2081" s="19" t="inlineStr">
        <is>
          <t>TV Thrillers</t>
        </is>
      </c>
      <c r="C2081" s="19">
        <f>IFERROR(INDEX(tblNetflix[type],MATCH($A2081,tblNetflix[show_id],0)),"")</f>
        <v/>
      </c>
      <c r="D2081" s="19">
        <f>IFERROR(INDEX(tblNetflix[rating],MATCH($A2081,tblNetflix[show_id],0)),"")</f>
        <v/>
      </c>
      <c r="E2081" s="19">
        <f>IFERROR(INDEX(tblNetflix[year_added],MATCH($A2081,tblNetflix[show_id],0)),"")</f>
        <v/>
      </c>
      <c r="F2081" s="19">
        <f>IF(AND(OR(YearFilter="All",$E2081=YearFilter),OR(RatingFilter="All",$D2081=RatingFilter),OR(TypeFilter="All",$C2081=TypeFilter)),1,0)</f>
        <v/>
      </c>
    </row>
    <row r="2082" ht="15" customHeight="1" s="20">
      <c r="A2082" s="19" t="inlineStr">
        <is>
          <t>s6570</t>
        </is>
      </c>
      <c r="B2082" s="19" t="inlineStr">
        <is>
          <t>Dramas</t>
        </is>
      </c>
      <c r="C2082" s="19">
        <f>IFERROR(INDEX(tblNetflix[type],MATCH($A2082,tblNetflix[show_id],0)),"")</f>
        <v/>
      </c>
      <c r="D2082" s="19">
        <f>IFERROR(INDEX(tblNetflix[rating],MATCH($A2082,tblNetflix[show_id],0)),"")</f>
        <v/>
      </c>
      <c r="E2082" s="19">
        <f>IFERROR(INDEX(tblNetflix[year_added],MATCH($A2082,tblNetflix[show_id],0)),"")</f>
        <v/>
      </c>
      <c r="F2082" s="19">
        <f>IF(AND(OR(YearFilter="All",$E2082=YearFilter),OR(RatingFilter="All",$D2082=RatingFilter),OR(TypeFilter="All",$C2082=TypeFilter)),1,0)</f>
        <v/>
      </c>
    </row>
    <row r="2083" ht="15" customHeight="1" s="20">
      <c r="A2083" s="19" t="inlineStr">
        <is>
          <t>s6570</t>
        </is>
      </c>
      <c r="B2083" s="19" t="inlineStr">
        <is>
          <t>International Movies</t>
        </is>
      </c>
      <c r="C2083" s="19">
        <f>IFERROR(INDEX(tblNetflix[type],MATCH($A2083,tblNetflix[show_id],0)),"")</f>
        <v/>
      </c>
      <c r="D2083" s="19">
        <f>IFERROR(INDEX(tblNetflix[rating],MATCH($A2083,tblNetflix[show_id],0)),"")</f>
        <v/>
      </c>
      <c r="E2083" s="19">
        <f>IFERROR(INDEX(tblNetflix[year_added],MATCH($A2083,tblNetflix[show_id],0)),"")</f>
        <v/>
      </c>
      <c r="F2083" s="19">
        <f>IF(AND(OR(YearFilter="All",$E2083=YearFilter),OR(RatingFilter="All",$D2083=RatingFilter),OR(TypeFilter="All",$C2083=TypeFilter)),1,0)</f>
        <v/>
      </c>
    </row>
    <row r="2084" ht="15" customHeight="1" s="20">
      <c r="A2084" s="19" t="inlineStr">
        <is>
          <t>s6578</t>
        </is>
      </c>
      <c r="B2084" s="19" t="inlineStr">
        <is>
          <t>Independent Movies</t>
        </is>
      </c>
      <c r="C2084" s="19">
        <f>IFERROR(INDEX(tblNetflix[type],MATCH($A2084,tblNetflix[show_id],0)),"")</f>
        <v/>
      </c>
      <c r="D2084" s="19">
        <f>IFERROR(INDEX(tblNetflix[rating],MATCH($A2084,tblNetflix[show_id],0)),"")</f>
        <v/>
      </c>
      <c r="E2084" s="19">
        <f>IFERROR(INDEX(tblNetflix[year_added],MATCH($A2084,tblNetflix[show_id],0)),"")</f>
        <v/>
      </c>
      <c r="F2084" s="19">
        <f>IF(AND(OR(YearFilter="All",$E2084=YearFilter),OR(RatingFilter="All",$D2084=RatingFilter),OR(TypeFilter="All",$C2084=TypeFilter)),1,0)</f>
        <v/>
      </c>
    </row>
    <row r="2085" ht="15" customHeight="1" s="20">
      <c r="A2085" s="19" t="inlineStr">
        <is>
          <t>s6578</t>
        </is>
      </c>
      <c r="B2085" s="19" t="inlineStr">
        <is>
          <t>International Movies</t>
        </is>
      </c>
      <c r="C2085" s="19">
        <f>IFERROR(INDEX(tblNetflix[type],MATCH($A2085,tblNetflix[show_id],0)),"")</f>
        <v/>
      </c>
      <c r="D2085" s="19">
        <f>IFERROR(INDEX(tblNetflix[rating],MATCH($A2085,tblNetflix[show_id],0)),"")</f>
        <v/>
      </c>
      <c r="E2085" s="19">
        <f>IFERROR(INDEX(tblNetflix[year_added],MATCH($A2085,tblNetflix[show_id],0)),"")</f>
        <v/>
      </c>
      <c r="F2085" s="19">
        <f>IF(AND(OR(YearFilter="All",$E2085=YearFilter),OR(RatingFilter="All",$D2085=RatingFilter),OR(TypeFilter="All",$C2085=TypeFilter)),1,0)</f>
        <v/>
      </c>
    </row>
    <row r="2086" ht="15" customHeight="1" s="20">
      <c r="A2086" s="19" t="inlineStr">
        <is>
          <t>s6578</t>
        </is>
      </c>
      <c r="B2086" s="19" t="inlineStr">
        <is>
          <t>Thrillers</t>
        </is>
      </c>
      <c r="C2086" s="19">
        <f>IFERROR(INDEX(tblNetflix[type],MATCH($A2086,tblNetflix[show_id],0)),"")</f>
        <v/>
      </c>
      <c r="D2086" s="19">
        <f>IFERROR(INDEX(tblNetflix[rating],MATCH($A2086,tblNetflix[show_id],0)),"")</f>
        <v/>
      </c>
      <c r="E2086" s="19">
        <f>IFERROR(INDEX(tblNetflix[year_added],MATCH($A2086,tblNetflix[show_id],0)),"")</f>
        <v/>
      </c>
      <c r="F2086" s="19">
        <f>IF(AND(OR(YearFilter="All",$E2086=YearFilter),OR(RatingFilter="All",$D2086=RatingFilter),OR(TypeFilter="All",$C2086=TypeFilter)),1,0)</f>
        <v/>
      </c>
    </row>
    <row r="2087" ht="15" customHeight="1" s="20">
      <c r="A2087" s="19" t="inlineStr">
        <is>
          <t>s6581</t>
        </is>
      </c>
      <c r="B2087" s="19" t="inlineStr">
        <is>
          <t>Comedies</t>
        </is>
      </c>
      <c r="C2087" s="19">
        <f>IFERROR(INDEX(tblNetflix[type],MATCH($A2087,tblNetflix[show_id],0)),"")</f>
        <v/>
      </c>
      <c r="D2087" s="19">
        <f>IFERROR(INDEX(tblNetflix[rating],MATCH($A2087,tblNetflix[show_id],0)),"")</f>
        <v/>
      </c>
      <c r="E2087" s="19">
        <f>IFERROR(INDEX(tblNetflix[year_added],MATCH($A2087,tblNetflix[show_id],0)),"")</f>
        <v/>
      </c>
      <c r="F2087" s="19">
        <f>IF(AND(OR(YearFilter="All",$E2087=YearFilter),OR(RatingFilter="All",$D2087=RatingFilter),OR(TypeFilter="All",$C2087=TypeFilter)),1,0)</f>
        <v/>
      </c>
    </row>
    <row r="2088" ht="15" customHeight="1" s="20">
      <c r="A2088" s="19" t="inlineStr">
        <is>
          <t>s6581</t>
        </is>
      </c>
      <c r="B2088" s="19" t="inlineStr">
        <is>
          <t>Dramas</t>
        </is>
      </c>
      <c r="C2088" s="19">
        <f>IFERROR(INDEX(tblNetflix[type],MATCH($A2088,tblNetflix[show_id],0)),"")</f>
        <v/>
      </c>
      <c r="D2088" s="19">
        <f>IFERROR(INDEX(tblNetflix[rating],MATCH($A2088,tblNetflix[show_id],0)),"")</f>
        <v/>
      </c>
      <c r="E2088" s="19">
        <f>IFERROR(INDEX(tblNetflix[year_added],MATCH($A2088,tblNetflix[show_id],0)),"")</f>
        <v/>
      </c>
      <c r="F2088" s="19">
        <f>IF(AND(OR(YearFilter="All",$E2088=YearFilter),OR(RatingFilter="All",$D2088=RatingFilter),OR(TypeFilter="All",$C2088=TypeFilter)),1,0)</f>
        <v/>
      </c>
    </row>
    <row r="2089" ht="15" customHeight="1" s="20">
      <c r="A2089" s="19" t="inlineStr">
        <is>
          <t>s6581</t>
        </is>
      </c>
      <c r="B2089" s="19" t="inlineStr">
        <is>
          <t>Independent Movies</t>
        </is>
      </c>
      <c r="C2089" s="19">
        <f>IFERROR(INDEX(tblNetflix[type],MATCH($A2089,tblNetflix[show_id],0)),"")</f>
        <v/>
      </c>
      <c r="D2089" s="19">
        <f>IFERROR(INDEX(tblNetflix[rating],MATCH($A2089,tblNetflix[show_id],0)),"")</f>
        <v/>
      </c>
      <c r="E2089" s="19">
        <f>IFERROR(INDEX(tblNetflix[year_added],MATCH($A2089,tblNetflix[show_id],0)),"")</f>
        <v/>
      </c>
      <c r="F2089" s="19">
        <f>IF(AND(OR(YearFilter="All",$E2089=YearFilter),OR(RatingFilter="All",$D2089=RatingFilter),OR(TypeFilter="All",$C2089=TypeFilter)),1,0)</f>
        <v/>
      </c>
    </row>
    <row r="2090" ht="15" customHeight="1" s="20">
      <c r="A2090" s="19" t="inlineStr">
        <is>
          <t>s6589</t>
        </is>
      </c>
      <c r="B2090" s="19" t="inlineStr">
        <is>
          <t>International Movies</t>
        </is>
      </c>
      <c r="C2090" s="19">
        <f>IFERROR(INDEX(tblNetflix[type],MATCH($A2090,tblNetflix[show_id],0)),"")</f>
        <v/>
      </c>
      <c r="D2090" s="19">
        <f>IFERROR(INDEX(tblNetflix[rating],MATCH($A2090,tblNetflix[show_id],0)),"")</f>
        <v/>
      </c>
      <c r="E2090" s="19">
        <f>IFERROR(INDEX(tblNetflix[year_added],MATCH($A2090,tblNetflix[show_id],0)),"")</f>
        <v/>
      </c>
      <c r="F2090" s="19">
        <f>IF(AND(OR(YearFilter="All",$E2090=YearFilter),OR(RatingFilter="All",$D2090=RatingFilter),OR(TypeFilter="All",$C2090=TypeFilter)),1,0)</f>
        <v/>
      </c>
    </row>
    <row r="2091" ht="15" customHeight="1" s="20">
      <c r="A2091" s="19" t="inlineStr">
        <is>
          <t>s6589</t>
        </is>
      </c>
      <c r="B2091" s="19" t="inlineStr">
        <is>
          <t>Thrillers</t>
        </is>
      </c>
      <c r="C2091" s="19">
        <f>IFERROR(INDEX(tblNetflix[type],MATCH($A2091,tblNetflix[show_id],0)),"")</f>
        <v/>
      </c>
      <c r="D2091" s="19">
        <f>IFERROR(INDEX(tblNetflix[rating],MATCH($A2091,tblNetflix[show_id],0)),"")</f>
        <v/>
      </c>
      <c r="E2091" s="19">
        <f>IFERROR(INDEX(tblNetflix[year_added],MATCH($A2091,tblNetflix[show_id],0)),"")</f>
        <v/>
      </c>
      <c r="F2091" s="19">
        <f>IF(AND(OR(YearFilter="All",$E2091=YearFilter),OR(RatingFilter="All",$D2091=RatingFilter),OR(TypeFilter="All",$C2091=TypeFilter)),1,0)</f>
        <v/>
      </c>
    </row>
    <row r="2092" ht="15" customHeight="1" s="20">
      <c r="A2092" s="19" t="inlineStr">
        <is>
          <t>s6602</t>
        </is>
      </c>
      <c r="B2092" s="19" t="inlineStr">
        <is>
          <t>International TV Shows</t>
        </is>
      </c>
      <c r="C2092" s="19">
        <f>IFERROR(INDEX(tblNetflix[type],MATCH($A2092,tblNetflix[show_id],0)),"")</f>
        <v/>
      </c>
      <c r="D2092" s="19">
        <f>IFERROR(INDEX(tblNetflix[rating],MATCH($A2092,tblNetflix[show_id],0)),"")</f>
        <v/>
      </c>
      <c r="E2092" s="19">
        <f>IFERROR(INDEX(tblNetflix[year_added],MATCH($A2092,tblNetflix[show_id],0)),"")</f>
        <v/>
      </c>
      <c r="F2092" s="19">
        <f>IF(AND(OR(YearFilter="All",$E2092=YearFilter),OR(RatingFilter="All",$D2092=RatingFilter),OR(TypeFilter="All",$C2092=TypeFilter)),1,0)</f>
        <v/>
      </c>
    </row>
    <row r="2093" ht="15" customHeight="1" s="20">
      <c r="A2093" s="19" t="inlineStr">
        <is>
          <t>s6603</t>
        </is>
      </c>
      <c r="B2093" s="19" t="inlineStr">
        <is>
          <t>Dramas</t>
        </is>
      </c>
      <c r="C2093" s="19">
        <f>IFERROR(INDEX(tblNetflix[type],MATCH($A2093,tblNetflix[show_id],0)),"")</f>
        <v/>
      </c>
      <c r="D2093" s="19">
        <f>IFERROR(INDEX(tblNetflix[rating],MATCH($A2093,tblNetflix[show_id],0)),"")</f>
        <v/>
      </c>
      <c r="E2093" s="19">
        <f>IFERROR(INDEX(tblNetflix[year_added],MATCH($A2093,tblNetflix[show_id],0)),"")</f>
        <v/>
      </c>
      <c r="F2093" s="19">
        <f>IF(AND(OR(YearFilter="All",$E2093=YearFilter),OR(RatingFilter="All",$D2093=RatingFilter),OR(TypeFilter="All",$C2093=TypeFilter)),1,0)</f>
        <v/>
      </c>
    </row>
    <row r="2094" ht="15" customHeight="1" s="20">
      <c r="A2094" s="19" t="inlineStr">
        <is>
          <t>s6603</t>
        </is>
      </c>
      <c r="B2094" s="19" t="inlineStr">
        <is>
          <t>International Movies</t>
        </is>
      </c>
      <c r="C2094" s="19">
        <f>IFERROR(INDEX(tblNetflix[type],MATCH($A2094,tblNetflix[show_id],0)),"")</f>
        <v/>
      </c>
      <c r="D2094" s="19">
        <f>IFERROR(INDEX(tblNetflix[rating],MATCH($A2094,tblNetflix[show_id],0)),"")</f>
        <v/>
      </c>
      <c r="E2094" s="19">
        <f>IFERROR(INDEX(tblNetflix[year_added],MATCH($A2094,tblNetflix[show_id],0)),"")</f>
        <v/>
      </c>
      <c r="F2094" s="19">
        <f>IF(AND(OR(YearFilter="All",$E2094=YearFilter),OR(RatingFilter="All",$D2094=RatingFilter),OR(TypeFilter="All",$C2094=TypeFilter)),1,0)</f>
        <v/>
      </c>
    </row>
    <row r="2095" ht="15" customHeight="1" s="20">
      <c r="A2095" s="19" t="inlineStr">
        <is>
          <t>s6605</t>
        </is>
      </c>
      <c r="B2095" s="19" t="inlineStr">
        <is>
          <t>Action &amp; Adventure</t>
        </is>
      </c>
      <c r="C2095" s="19">
        <f>IFERROR(INDEX(tblNetflix[type],MATCH($A2095,tblNetflix[show_id],0)),"")</f>
        <v/>
      </c>
      <c r="D2095" s="19">
        <f>IFERROR(INDEX(tblNetflix[rating],MATCH($A2095,tblNetflix[show_id],0)),"")</f>
        <v/>
      </c>
      <c r="E2095" s="19">
        <f>IFERROR(INDEX(tblNetflix[year_added],MATCH($A2095,tblNetflix[show_id],0)),"")</f>
        <v/>
      </c>
      <c r="F2095" s="19">
        <f>IF(AND(OR(YearFilter="All",$E2095=YearFilter),OR(RatingFilter="All",$D2095=RatingFilter),OR(TypeFilter="All",$C2095=TypeFilter)),1,0)</f>
        <v/>
      </c>
    </row>
    <row r="2096" ht="15" customHeight="1" s="20">
      <c r="A2096" s="19" t="inlineStr">
        <is>
          <t>s6605</t>
        </is>
      </c>
      <c r="B2096" s="19" t="inlineStr">
        <is>
          <t>Comedies</t>
        </is>
      </c>
      <c r="C2096" s="19">
        <f>IFERROR(INDEX(tblNetflix[type],MATCH($A2096,tblNetflix[show_id],0)),"")</f>
        <v/>
      </c>
      <c r="D2096" s="19">
        <f>IFERROR(INDEX(tblNetflix[rating],MATCH($A2096,tblNetflix[show_id],0)),"")</f>
        <v/>
      </c>
      <c r="E2096" s="19">
        <f>IFERROR(INDEX(tblNetflix[year_added],MATCH($A2096,tblNetflix[show_id],0)),"")</f>
        <v/>
      </c>
      <c r="F2096" s="19">
        <f>IF(AND(OR(YearFilter="All",$E2096=YearFilter),OR(RatingFilter="All",$D2096=RatingFilter),OR(TypeFilter="All",$C2096=TypeFilter)),1,0)</f>
        <v/>
      </c>
    </row>
    <row r="2097" ht="15" customHeight="1" s="20">
      <c r="A2097" s="19" t="inlineStr">
        <is>
          <t>s6605</t>
        </is>
      </c>
      <c r="B2097" s="19" t="inlineStr">
        <is>
          <t>International Movies</t>
        </is>
      </c>
      <c r="C2097" s="19">
        <f>IFERROR(INDEX(tblNetflix[type],MATCH($A2097,tblNetflix[show_id],0)),"")</f>
        <v/>
      </c>
      <c r="D2097" s="19">
        <f>IFERROR(INDEX(tblNetflix[rating],MATCH($A2097,tblNetflix[show_id],0)),"")</f>
        <v/>
      </c>
      <c r="E2097" s="19">
        <f>IFERROR(INDEX(tblNetflix[year_added],MATCH($A2097,tblNetflix[show_id],0)),"")</f>
        <v/>
      </c>
      <c r="F2097" s="19">
        <f>IF(AND(OR(YearFilter="All",$E2097=YearFilter),OR(RatingFilter="All",$D2097=RatingFilter),OR(TypeFilter="All",$C2097=TypeFilter)),1,0)</f>
        <v/>
      </c>
    </row>
    <row r="2098" ht="15" customHeight="1" s="20">
      <c r="A2098" s="19" t="inlineStr">
        <is>
          <t>s6611</t>
        </is>
      </c>
      <c r="B2098" s="19" t="inlineStr">
        <is>
          <t>Dramas</t>
        </is>
      </c>
      <c r="C2098" s="19">
        <f>IFERROR(INDEX(tblNetflix[type],MATCH($A2098,tblNetflix[show_id],0)),"")</f>
        <v/>
      </c>
      <c r="D2098" s="19">
        <f>IFERROR(INDEX(tblNetflix[rating],MATCH($A2098,tblNetflix[show_id],0)),"")</f>
        <v/>
      </c>
      <c r="E2098" s="19">
        <f>IFERROR(INDEX(tblNetflix[year_added],MATCH($A2098,tblNetflix[show_id],0)),"")</f>
        <v/>
      </c>
      <c r="F2098" s="19">
        <f>IF(AND(OR(YearFilter="All",$E2098=YearFilter),OR(RatingFilter="All",$D2098=RatingFilter),OR(TypeFilter="All",$C2098=TypeFilter)),1,0)</f>
        <v/>
      </c>
    </row>
    <row r="2099" ht="15" customHeight="1" s="20">
      <c r="A2099" s="19" t="inlineStr">
        <is>
          <t>s6611</t>
        </is>
      </c>
      <c r="B2099" s="19" t="inlineStr">
        <is>
          <t>International Movies</t>
        </is>
      </c>
      <c r="C2099" s="19">
        <f>IFERROR(INDEX(tblNetflix[type],MATCH($A2099,tblNetflix[show_id],0)),"")</f>
        <v/>
      </c>
      <c r="D2099" s="19">
        <f>IFERROR(INDEX(tblNetflix[rating],MATCH($A2099,tblNetflix[show_id],0)),"")</f>
        <v/>
      </c>
      <c r="E2099" s="19">
        <f>IFERROR(INDEX(tblNetflix[year_added],MATCH($A2099,tblNetflix[show_id],0)),"")</f>
        <v/>
      </c>
      <c r="F2099" s="19">
        <f>IF(AND(OR(YearFilter="All",$E2099=YearFilter),OR(RatingFilter="All",$D2099=RatingFilter),OR(TypeFilter="All",$C2099=TypeFilter)),1,0)</f>
        <v/>
      </c>
    </row>
    <row r="2100" ht="15" customHeight="1" s="20">
      <c r="A2100" s="19" t="inlineStr">
        <is>
          <t>s6611</t>
        </is>
      </c>
      <c r="B2100" s="19" t="inlineStr">
        <is>
          <t>Music &amp; Musicals</t>
        </is>
      </c>
      <c r="C2100" s="19">
        <f>IFERROR(INDEX(tblNetflix[type],MATCH($A2100,tblNetflix[show_id],0)),"")</f>
        <v/>
      </c>
      <c r="D2100" s="19">
        <f>IFERROR(INDEX(tblNetflix[rating],MATCH($A2100,tblNetflix[show_id],0)),"")</f>
        <v/>
      </c>
      <c r="E2100" s="19">
        <f>IFERROR(INDEX(tblNetflix[year_added],MATCH($A2100,tblNetflix[show_id],0)),"")</f>
        <v/>
      </c>
      <c r="F2100" s="19">
        <f>IF(AND(OR(YearFilter="All",$E2100=YearFilter),OR(RatingFilter="All",$D2100=RatingFilter),OR(TypeFilter="All",$C2100=TypeFilter)),1,0)</f>
        <v/>
      </c>
    </row>
    <row r="2101" ht="15" customHeight="1" s="20">
      <c r="A2101" s="19" t="inlineStr">
        <is>
          <t>s6655</t>
        </is>
      </c>
      <c r="B2101" s="19" t="inlineStr">
        <is>
          <t>Action &amp; Adventure</t>
        </is>
      </c>
      <c r="C2101" s="19">
        <f>IFERROR(INDEX(tblNetflix[type],MATCH($A2101,tblNetflix[show_id],0)),"")</f>
        <v/>
      </c>
      <c r="D2101" s="19">
        <f>IFERROR(INDEX(tblNetflix[rating],MATCH($A2101,tblNetflix[show_id],0)),"")</f>
        <v/>
      </c>
      <c r="E2101" s="19">
        <f>IFERROR(INDEX(tblNetflix[year_added],MATCH($A2101,tblNetflix[show_id],0)),"")</f>
        <v/>
      </c>
      <c r="F2101" s="19">
        <f>IF(AND(OR(YearFilter="All",$E2101=YearFilter),OR(RatingFilter="All",$D2101=RatingFilter),OR(TypeFilter="All",$C2101=TypeFilter)),1,0)</f>
        <v/>
      </c>
    </row>
    <row r="2102" ht="15" customHeight="1" s="20">
      <c r="A2102" s="19" t="inlineStr">
        <is>
          <t>s6655</t>
        </is>
      </c>
      <c r="B2102" s="19" t="inlineStr">
        <is>
          <t>Dramas</t>
        </is>
      </c>
      <c r="C2102" s="19">
        <f>IFERROR(INDEX(tblNetflix[type],MATCH($A2102,tblNetflix[show_id],0)),"")</f>
        <v/>
      </c>
      <c r="D2102" s="19">
        <f>IFERROR(INDEX(tblNetflix[rating],MATCH($A2102,tblNetflix[show_id],0)),"")</f>
        <v/>
      </c>
      <c r="E2102" s="19">
        <f>IFERROR(INDEX(tblNetflix[year_added],MATCH($A2102,tblNetflix[show_id],0)),"")</f>
        <v/>
      </c>
      <c r="F2102" s="19">
        <f>IF(AND(OR(YearFilter="All",$E2102=YearFilter),OR(RatingFilter="All",$D2102=RatingFilter),OR(TypeFilter="All",$C2102=TypeFilter)),1,0)</f>
        <v/>
      </c>
    </row>
    <row r="2103" ht="15" customHeight="1" s="20">
      <c r="A2103" s="19" t="inlineStr">
        <is>
          <t>s6655</t>
        </is>
      </c>
      <c r="B2103" s="19" t="inlineStr">
        <is>
          <t>International Movies</t>
        </is>
      </c>
      <c r="C2103" s="19">
        <f>IFERROR(INDEX(tblNetflix[type],MATCH($A2103,tblNetflix[show_id],0)),"")</f>
        <v/>
      </c>
      <c r="D2103" s="19">
        <f>IFERROR(INDEX(tblNetflix[rating],MATCH($A2103,tblNetflix[show_id],0)),"")</f>
        <v/>
      </c>
      <c r="E2103" s="19">
        <f>IFERROR(INDEX(tblNetflix[year_added],MATCH($A2103,tblNetflix[show_id],0)),"")</f>
        <v/>
      </c>
      <c r="F2103" s="19">
        <f>IF(AND(OR(YearFilter="All",$E2103=YearFilter),OR(RatingFilter="All",$D2103=RatingFilter),OR(TypeFilter="All",$C2103=TypeFilter)),1,0)</f>
        <v/>
      </c>
    </row>
    <row r="2104" ht="15" customHeight="1" s="20">
      <c r="A2104" s="19" t="inlineStr">
        <is>
          <t>s6667</t>
        </is>
      </c>
      <c r="B2104" s="19" t="inlineStr">
        <is>
          <t>Dramas</t>
        </is>
      </c>
      <c r="C2104" s="19">
        <f>IFERROR(INDEX(tblNetflix[type],MATCH($A2104,tblNetflix[show_id],0)),"")</f>
        <v/>
      </c>
      <c r="D2104" s="19">
        <f>IFERROR(INDEX(tblNetflix[rating],MATCH($A2104,tblNetflix[show_id],0)),"")</f>
        <v/>
      </c>
      <c r="E2104" s="19">
        <f>IFERROR(INDEX(tblNetflix[year_added],MATCH($A2104,tblNetflix[show_id],0)),"")</f>
        <v/>
      </c>
      <c r="F2104" s="19">
        <f>IF(AND(OR(YearFilter="All",$E2104=YearFilter),OR(RatingFilter="All",$D2104=RatingFilter),OR(TypeFilter="All",$C2104=TypeFilter)),1,0)</f>
        <v/>
      </c>
    </row>
    <row r="2105" ht="15" customHeight="1" s="20">
      <c r="A2105" s="19" t="inlineStr">
        <is>
          <t>s6667</t>
        </is>
      </c>
      <c r="B2105" s="19" t="inlineStr">
        <is>
          <t>International Movies</t>
        </is>
      </c>
      <c r="C2105" s="19">
        <f>IFERROR(INDEX(tblNetflix[type],MATCH($A2105,tblNetflix[show_id],0)),"")</f>
        <v/>
      </c>
      <c r="D2105" s="19">
        <f>IFERROR(INDEX(tblNetflix[rating],MATCH($A2105,tblNetflix[show_id],0)),"")</f>
        <v/>
      </c>
      <c r="E2105" s="19">
        <f>IFERROR(INDEX(tblNetflix[year_added],MATCH($A2105,tblNetflix[show_id],0)),"")</f>
        <v/>
      </c>
      <c r="F2105" s="19">
        <f>IF(AND(OR(YearFilter="All",$E2105=YearFilter),OR(RatingFilter="All",$D2105=RatingFilter),OR(TypeFilter="All",$C2105=TypeFilter)),1,0)</f>
        <v/>
      </c>
    </row>
    <row r="2106" ht="15" customHeight="1" s="20">
      <c r="A2106" s="19" t="inlineStr">
        <is>
          <t>s6667</t>
        </is>
      </c>
      <c r="B2106" s="19" t="inlineStr">
        <is>
          <t>Romantic Movies</t>
        </is>
      </c>
      <c r="C2106" s="19">
        <f>IFERROR(INDEX(tblNetflix[type],MATCH($A2106,tblNetflix[show_id],0)),"")</f>
        <v/>
      </c>
      <c r="D2106" s="19">
        <f>IFERROR(INDEX(tblNetflix[rating],MATCH($A2106,tblNetflix[show_id],0)),"")</f>
        <v/>
      </c>
      <c r="E2106" s="19">
        <f>IFERROR(INDEX(tblNetflix[year_added],MATCH($A2106,tblNetflix[show_id],0)),"")</f>
        <v/>
      </c>
      <c r="F2106" s="19">
        <f>IF(AND(OR(YearFilter="All",$E2106=YearFilter),OR(RatingFilter="All",$D2106=RatingFilter),OR(TypeFilter="All",$C2106=TypeFilter)),1,0)</f>
        <v/>
      </c>
    </row>
    <row r="2107" ht="15" customHeight="1" s="20">
      <c r="A2107" s="19" t="inlineStr">
        <is>
          <t>s6668</t>
        </is>
      </c>
      <c r="B2107" s="19" t="inlineStr">
        <is>
          <t>Dramas</t>
        </is>
      </c>
      <c r="C2107" s="19">
        <f>IFERROR(INDEX(tblNetflix[type],MATCH($A2107,tblNetflix[show_id],0)),"")</f>
        <v/>
      </c>
      <c r="D2107" s="19">
        <f>IFERROR(INDEX(tblNetflix[rating],MATCH($A2107,tblNetflix[show_id],0)),"")</f>
        <v/>
      </c>
      <c r="E2107" s="19">
        <f>IFERROR(INDEX(tblNetflix[year_added],MATCH($A2107,tblNetflix[show_id],0)),"")</f>
        <v/>
      </c>
      <c r="F2107" s="19">
        <f>IF(AND(OR(YearFilter="All",$E2107=YearFilter),OR(RatingFilter="All",$D2107=RatingFilter),OR(TypeFilter="All",$C2107=TypeFilter)),1,0)</f>
        <v/>
      </c>
    </row>
    <row r="2108" ht="15" customHeight="1" s="20">
      <c r="A2108" s="19" t="inlineStr">
        <is>
          <t>s6668</t>
        </is>
      </c>
      <c r="B2108" s="19" t="inlineStr">
        <is>
          <t>International Movies</t>
        </is>
      </c>
      <c r="C2108" s="19">
        <f>IFERROR(INDEX(tblNetflix[type],MATCH($A2108,tblNetflix[show_id],0)),"")</f>
        <v/>
      </c>
      <c r="D2108" s="19">
        <f>IFERROR(INDEX(tblNetflix[rating],MATCH($A2108,tblNetflix[show_id],0)),"")</f>
        <v/>
      </c>
      <c r="E2108" s="19">
        <f>IFERROR(INDEX(tblNetflix[year_added],MATCH($A2108,tblNetflix[show_id],0)),"")</f>
        <v/>
      </c>
      <c r="F2108" s="19">
        <f>IF(AND(OR(YearFilter="All",$E2108=YearFilter),OR(RatingFilter="All",$D2108=RatingFilter),OR(TypeFilter="All",$C2108=TypeFilter)),1,0)</f>
        <v/>
      </c>
    </row>
    <row r="2109" ht="15" customHeight="1" s="20">
      <c r="A2109" s="19" t="inlineStr">
        <is>
          <t>s6669</t>
        </is>
      </c>
      <c r="B2109" s="19" t="inlineStr">
        <is>
          <t>Dramas</t>
        </is>
      </c>
      <c r="C2109" s="19">
        <f>IFERROR(INDEX(tblNetflix[type],MATCH($A2109,tblNetflix[show_id],0)),"")</f>
        <v/>
      </c>
      <c r="D2109" s="19">
        <f>IFERROR(INDEX(tblNetflix[rating],MATCH($A2109,tblNetflix[show_id],0)),"")</f>
        <v/>
      </c>
      <c r="E2109" s="19">
        <f>IFERROR(INDEX(tblNetflix[year_added],MATCH($A2109,tblNetflix[show_id],0)),"")</f>
        <v/>
      </c>
      <c r="F2109" s="19">
        <f>IF(AND(OR(YearFilter="All",$E2109=YearFilter),OR(RatingFilter="All",$D2109=RatingFilter),OR(TypeFilter="All",$C2109=TypeFilter)),1,0)</f>
        <v/>
      </c>
    </row>
    <row r="2110" ht="15" customHeight="1" s="20">
      <c r="A2110" s="19" t="inlineStr">
        <is>
          <t>s6669</t>
        </is>
      </c>
      <c r="B2110" s="19" t="inlineStr">
        <is>
          <t>Independent Movies</t>
        </is>
      </c>
      <c r="C2110" s="19">
        <f>IFERROR(INDEX(tblNetflix[type],MATCH($A2110,tblNetflix[show_id],0)),"")</f>
        <v/>
      </c>
      <c r="D2110" s="19">
        <f>IFERROR(INDEX(tblNetflix[rating],MATCH($A2110,tblNetflix[show_id],0)),"")</f>
        <v/>
      </c>
      <c r="E2110" s="19">
        <f>IFERROR(INDEX(tblNetflix[year_added],MATCH($A2110,tblNetflix[show_id],0)),"")</f>
        <v/>
      </c>
      <c r="F2110" s="19">
        <f>IF(AND(OR(YearFilter="All",$E2110=YearFilter),OR(RatingFilter="All",$D2110=RatingFilter),OR(TypeFilter="All",$C2110=TypeFilter)),1,0)</f>
        <v/>
      </c>
    </row>
    <row r="2111" ht="15" customHeight="1" s="20">
      <c r="A2111" s="19" t="inlineStr">
        <is>
          <t>s6669</t>
        </is>
      </c>
      <c r="B2111" s="19" t="inlineStr">
        <is>
          <t>International Movies</t>
        </is>
      </c>
      <c r="C2111" s="19">
        <f>IFERROR(INDEX(tblNetflix[type],MATCH($A2111,tblNetflix[show_id],0)),"")</f>
        <v/>
      </c>
      <c r="D2111" s="19">
        <f>IFERROR(INDEX(tblNetflix[rating],MATCH($A2111,tblNetflix[show_id],0)),"")</f>
        <v/>
      </c>
      <c r="E2111" s="19">
        <f>IFERROR(INDEX(tblNetflix[year_added],MATCH($A2111,tblNetflix[show_id],0)),"")</f>
        <v/>
      </c>
      <c r="F2111" s="19">
        <f>IF(AND(OR(YearFilter="All",$E2111=YearFilter),OR(RatingFilter="All",$D2111=RatingFilter),OR(TypeFilter="All",$C2111=TypeFilter)),1,0)</f>
        <v/>
      </c>
    </row>
    <row r="2112" ht="15" customHeight="1" s="20">
      <c r="A2112" s="19" t="inlineStr">
        <is>
          <t>s6670</t>
        </is>
      </c>
      <c r="B2112" s="19" t="inlineStr">
        <is>
          <t>Dramas</t>
        </is>
      </c>
      <c r="C2112" s="19">
        <f>IFERROR(INDEX(tblNetflix[type],MATCH($A2112,tblNetflix[show_id],0)),"")</f>
        <v/>
      </c>
      <c r="D2112" s="19">
        <f>IFERROR(INDEX(tblNetflix[rating],MATCH($A2112,tblNetflix[show_id],0)),"")</f>
        <v/>
      </c>
      <c r="E2112" s="19">
        <f>IFERROR(INDEX(tblNetflix[year_added],MATCH($A2112,tblNetflix[show_id],0)),"")</f>
        <v/>
      </c>
      <c r="F2112" s="19">
        <f>IF(AND(OR(YearFilter="All",$E2112=YearFilter),OR(RatingFilter="All",$D2112=RatingFilter),OR(TypeFilter="All",$C2112=TypeFilter)),1,0)</f>
        <v/>
      </c>
    </row>
    <row r="2113" ht="15" customHeight="1" s="20">
      <c r="A2113" s="19" t="inlineStr">
        <is>
          <t>s6670</t>
        </is>
      </c>
      <c r="B2113" s="19" t="inlineStr">
        <is>
          <t>International Movies</t>
        </is>
      </c>
      <c r="C2113" s="19">
        <f>IFERROR(INDEX(tblNetflix[type],MATCH($A2113,tblNetflix[show_id],0)),"")</f>
        <v/>
      </c>
      <c r="D2113" s="19">
        <f>IFERROR(INDEX(tblNetflix[rating],MATCH($A2113,tblNetflix[show_id],0)),"")</f>
        <v/>
      </c>
      <c r="E2113" s="19">
        <f>IFERROR(INDEX(tblNetflix[year_added],MATCH($A2113,tblNetflix[show_id],0)),"")</f>
        <v/>
      </c>
      <c r="F2113" s="19">
        <f>IF(AND(OR(YearFilter="All",$E2113=YearFilter),OR(RatingFilter="All",$D2113=RatingFilter),OR(TypeFilter="All",$C2113=TypeFilter)),1,0)</f>
        <v/>
      </c>
    </row>
    <row r="2114" ht="15" customHeight="1" s="20">
      <c r="A2114" s="19" t="inlineStr">
        <is>
          <t>s6670</t>
        </is>
      </c>
      <c r="B2114" s="19" t="inlineStr">
        <is>
          <t>Thrillers</t>
        </is>
      </c>
      <c r="C2114" s="19">
        <f>IFERROR(INDEX(tblNetflix[type],MATCH($A2114,tblNetflix[show_id],0)),"")</f>
        <v/>
      </c>
      <c r="D2114" s="19">
        <f>IFERROR(INDEX(tblNetflix[rating],MATCH($A2114,tblNetflix[show_id],0)),"")</f>
        <v/>
      </c>
      <c r="E2114" s="19">
        <f>IFERROR(INDEX(tblNetflix[year_added],MATCH($A2114,tblNetflix[show_id],0)),"")</f>
        <v/>
      </c>
      <c r="F2114" s="19">
        <f>IF(AND(OR(YearFilter="All",$E2114=YearFilter),OR(RatingFilter="All",$D2114=RatingFilter),OR(TypeFilter="All",$C2114=TypeFilter)),1,0)</f>
        <v/>
      </c>
    </row>
    <row r="2115" ht="15" customHeight="1" s="20">
      <c r="A2115" s="19" t="inlineStr">
        <is>
          <t>s6695</t>
        </is>
      </c>
      <c r="B2115" s="19" t="inlineStr">
        <is>
          <t>Dramas</t>
        </is>
      </c>
      <c r="C2115" s="19">
        <f>IFERROR(INDEX(tblNetflix[type],MATCH($A2115,tblNetflix[show_id],0)),"")</f>
        <v/>
      </c>
      <c r="D2115" s="19">
        <f>IFERROR(INDEX(tblNetflix[rating],MATCH($A2115,tblNetflix[show_id],0)),"")</f>
        <v/>
      </c>
      <c r="E2115" s="19">
        <f>IFERROR(INDEX(tblNetflix[year_added],MATCH($A2115,tblNetflix[show_id],0)),"")</f>
        <v/>
      </c>
      <c r="F2115" s="19">
        <f>IF(AND(OR(YearFilter="All",$E2115=YearFilter),OR(RatingFilter="All",$D2115=RatingFilter),OR(TypeFilter="All",$C2115=TypeFilter)),1,0)</f>
        <v/>
      </c>
    </row>
    <row r="2116" ht="15" customHeight="1" s="20">
      <c r="A2116" s="19" t="inlineStr">
        <is>
          <t>s6695</t>
        </is>
      </c>
      <c r="B2116" s="19" t="inlineStr">
        <is>
          <t>Independent Movies</t>
        </is>
      </c>
      <c r="C2116" s="19">
        <f>IFERROR(INDEX(tblNetflix[type],MATCH($A2116,tblNetflix[show_id],0)),"")</f>
        <v/>
      </c>
      <c r="D2116" s="19">
        <f>IFERROR(INDEX(tblNetflix[rating],MATCH($A2116,tblNetflix[show_id],0)),"")</f>
        <v/>
      </c>
      <c r="E2116" s="19">
        <f>IFERROR(INDEX(tblNetflix[year_added],MATCH($A2116,tblNetflix[show_id],0)),"")</f>
        <v/>
      </c>
      <c r="F2116" s="19">
        <f>IF(AND(OR(YearFilter="All",$E2116=YearFilter),OR(RatingFilter="All",$D2116=RatingFilter),OR(TypeFilter="All",$C2116=TypeFilter)),1,0)</f>
        <v/>
      </c>
    </row>
    <row r="2117" ht="15" customHeight="1" s="20">
      <c r="A2117" s="19" t="inlineStr">
        <is>
          <t>s6695</t>
        </is>
      </c>
      <c r="B2117" s="19" t="inlineStr">
        <is>
          <t>International Movies</t>
        </is>
      </c>
      <c r="C2117" s="19">
        <f>IFERROR(INDEX(tblNetflix[type],MATCH($A2117,tblNetflix[show_id],0)),"")</f>
        <v/>
      </c>
      <c r="D2117" s="19">
        <f>IFERROR(INDEX(tblNetflix[rating],MATCH($A2117,tblNetflix[show_id],0)),"")</f>
        <v/>
      </c>
      <c r="E2117" s="19">
        <f>IFERROR(INDEX(tblNetflix[year_added],MATCH($A2117,tblNetflix[show_id],0)),"")</f>
        <v/>
      </c>
      <c r="F2117" s="19">
        <f>IF(AND(OR(YearFilter="All",$E2117=YearFilter),OR(RatingFilter="All",$D2117=RatingFilter),OR(TypeFilter="All",$C2117=TypeFilter)),1,0)</f>
        <v/>
      </c>
    </row>
    <row r="2118" ht="15" customHeight="1" s="20">
      <c r="A2118" s="19" t="inlineStr">
        <is>
          <t>s6708</t>
        </is>
      </c>
      <c r="B2118" s="19" t="inlineStr">
        <is>
          <t>International Movies</t>
        </is>
      </c>
      <c r="C2118" s="19">
        <f>IFERROR(INDEX(tblNetflix[type],MATCH($A2118,tblNetflix[show_id],0)),"")</f>
        <v/>
      </c>
      <c r="D2118" s="19">
        <f>IFERROR(INDEX(tblNetflix[rating],MATCH($A2118,tblNetflix[show_id],0)),"")</f>
        <v/>
      </c>
      <c r="E2118" s="19">
        <f>IFERROR(INDEX(tblNetflix[year_added],MATCH($A2118,tblNetflix[show_id],0)),"")</f>
        <v/>
      </c>
      <c r="F2118" s="19">
        <f>IF(AND(OR(YearFilter="All",$E2118=YearFilter),OR(RatingFilter="All",$D2118=RatingFilter),OR(TypeFilter="All",$C2118=TypeFilter)),1,0)</f>
        <v/>
      </c>
    </row>
    <row r="2119" ht="15" customHeight="1" s="20">
      <c r="A2119" s="19" t="inlineStr">
        <is>
          <t>s6708</t>
        </is>
      </c>
      <c r="B2119" s="19" t="inlineStr">
        <is>
          <t>Music &amp; Musicals</t>
        </is>
      </c>
      <c r="C2119" s="19">
        <f>IFERROR(INDEX(tblNetflix[type],MATCH($A2119,tblNetflix[show_id],0)),"")</f>
        <v/>
      </c>
      <c r="D2119" s="19">
        <f>IFERROR(INDEX(tblNetflix[rating],MATCH($A2119,tblNetflix[show_id],0)),"")</f>
        <v/>
      </c>
      <c r="E2119" s="19">
        <f>IFERROR(INDEX(tblNetflix[year_added],MATCH($A2119,tblNetflix[show_id],0)),"")</f>
        <v/>
      </c>
      <c r="F2119" s="19">
        <f>IF(AND(OR(YearFilter="All",$E2119=YearFilter),OR(RatingFilter="All",$D2119=RatingFilter),OR(TypeFilter="All",$C2119=TypeFilter)),1,0)</f>
        <v/>
      </c>
    </row>
    <row r="2120" ht="15" customHeight="1" s="20">
      <c r="A2120" s="19" t="inlineStr">
        <is>
          <t>s6708</t>
        </is>
      </c>
      <c r="B2120" s="19" t="inlineStr">
        <is>
          <t>Thrillers</t>
        </is>
      </c>
      <c r="C2120" s="19">
        <f>IFERROR(INDEX(tblNetflix[type],MATCH($A2120,tblNetflix[show_id],0)),"")</f>
        <v/>
      </c>
      <c r="D2120" s="19">
        <f>IFERROR(INDEX(tblNetflix[rating],MATCH($A2120,tblNetflix[show_id],0)),"")</f>
        <v/>
      </c>
      <c r="E2120" s="19">
        <f>IFERROR(INDEX(tblNetflix[year_added],MATCH($A2120,tblNetflix[show_id],0)),"")</f>
        <v/>
      </c>
      <c r="F2120" s="19">
        <f>IF(AND(OR(YearFilter="All",$E2120=YearFilter),OR(RatingFilter="All",$D2120=RatingFilter),OR(TypeFilter="All",$C2120=TypeFilter)),1,0)</f>
        <v/>
      </c>
    </row>
    <row r="2121" ht="15" customHeight="1" s="20">
      <c r="A2121" s="19" t="inlineStr">
        <is>
          <t>s6734</t>
        </is>
      </c>
      <c r="B2121" s="19" t="inlineStr">
        <is>
          <t>Action &amp; Adventure</t>
        </is>
      </c>
      <c r="C2121" s="19">
        <f>IFERROR(INDEX(tblNetflix[type],MATCH($A2121,tblNetflix[show_id],0)),"")</f>
        <v/>
      </c>
      <c r="D2121" s="19">
        <f>IFERROR(INDEX(tblNetflix[rating],MATCH($A2121,tblNetflix[show_id],0)),"")</f>
        <v/>
      </c>
      <c r="E2121" s="19">
        <f>IFERROR(INDEX(tblNetflix[year_added],MATCH($A2121,tblNetflix[show_id],0)),"")</f>
        <v/>
      </c>
      <c r="F2121" s="19">
        <f>IF(AND(OR(YearFilter="All",$E2121=YearFilter),OR(RatingFilter="All",$D2121=RatingFilter),OR(TypeFilter="All",$C2121=TypeFilter)),1,0)</f>
        <v/>
      </c>
    </row>
    <row r="2122" ht="15" customHeight="1" s="20">
      <c r="A2122" s="19" t="inlineStr">
        <is>
          <t>s6734</t>
        </is>
      </c>
      <c r="B2122" s="19" t="inlineStr">
        <is>
          <t>Dramas</t>
        </is>
      </c>
      <c r="C2122" s="19">
        <f>IFERROR(INDEX(tblNetflix[type],MATCH($A2122,tblNetflix[show_id],0)),"")</f>
        <v/>
      </c>
      <c r="D2122" s="19">
        <f>IFERROR(INDEX(tblNetflix[rating],MATCH($A2122,tblNetflix[show_id],0)),"")</f>
        <v/>
      </c>
      <c r="E2122" s="19">
        <f>IFERROR(INDEX(tblNetflix[year_added],MATCH($A2122,tblNetflix[show_id],0)),"")</f>
        <v/>
      </c>
      <c r="F2122" s="19">
        <f>IF(AND(OR(YearFilter="All",$E2122=YearFilter),OR(RatingFilter="All",$D2122=RatingFilter),OR(TypeFilter="All",$C2122=TypeFilter)),1,0)</f>
        <v/>
      </c>
    </row>
    <row r="2123" ht="15" customHeight="1" s="20">
      <c r="A2123" s="19" t="inlineStr">
        <is>
          <t>s6734</t>
        </is>
      </c>
      <c r="B2123" s="19" t="inlineStr">
        <is>
          <t>International Movies</t>
        </is>
      </c>
      <c r="C2123" s="19">
        <f>IFERROR(INDEX(tblNetflix[type],MATCH($A2123,tblNetflix[show_id],0)),"")</f>
        <v/>
      </c>
      <c r="D2123" s="19">
        <f>IFERROR(INDEX(tblNetflix[rating],MATCH($A2123,tblNetflix[show_id],0)),"")</f>
        <v/>
      </c>
      <c r="E2123" s="19">
        <f>IFERROR(INDEX(tblNetflix[year_added],MATCH($A2123,tblNetflix[show_id],0)),"")</f>
        <v/>
      </c>
      <c r="F2123" s="19">
        <f>IF(AND(OR(YearFilter="All",$E2123=YearFilter),OR(RatingFilter="All",$D2123=RatingFilter),OR(TypeFilter="All",$C2123=TypeFilter)),1,0)</f>
        <v/>
      </c>
    </row>
    <row r="2124" ht="15" customHeight="1" s="20">
      <c r="A2124" s="19" t="inlineStr">
        <is>
          <t>s6738</t>
        </is>
      </c>
      <c r="B2124" s="19" t="inlineStr">
        <is>
          <t>Documentaries</t>
        </is>
      </c>
      <c r="C2124" s="19">
        <f>IFERROR(INDEX(tblNetflix[type],MATCH($A2124,tblNetflix[show_id],0)),"")</f>
        <v/>
      </c>
      <c r="D2124" s="19">
        <f>IFERROR(INDEX(tblNetflix[rating],MATCH($A2124,tblNetflix[show_id],0)),"")</f>
        <v/>
      </c>
      <c r="E2124" s="19">
        <f>IFERROR(INDEX(tblNetflix[year_added],MATCH($A2124,tblNetflix[show_id],0)),"")</f>
        <v/>
      </c>
      <c r="F2124" s="19">
        <f>IF(AND(OR(YearFilter="All",$E2124=YearFilter),OR(RatingFilter="All",$D2124=RatingFilter),OR(TypeFilter="All",$C2124=TypeFilter)),1,0)</f>
        <v/>
      </c>
    </row>
    <row r="2125" ht="15" customHeight="1" s="20">
      <c r="A2125" s="19" t="inlineStr">
        <is>
          <t>s6738</t>
        </is>
      </c>
      <c r="B2125" s="19" t="inlineStr">
        <is>
          <t>International Movies</t>
        </is>
      </c>
      <c r="C2125" s="19">
        <f>IFERROR(INDEX(tblNetflix[type],MATCH($A2125,tblNetflix[show_id],0)),"")</f>
        <v/>
      </c>
      <c r="D2125" s="19">
        <f>IFERROR(INDEX(tblNetflix[rating],MATCH($A2125,tblNetflix[show_id],0)),"")</f>
        <v/>
      </c>
      <c r="E2125" s="19">
        <f>IFERROR(INDEX(tblNetflix[year_added],MATCH($A2125,tblNetflix[show_id],0)),"")</f>
        <v/>
      </c>
      <c r="F2125" s="19">
        <f>IF(AND(OR(YearFilter="All",$E2125=YearFilter),OR(RatingFilter="All",$D2125=RatingFilter),OR(TypeFilter="All",$C2125=TypeFilter)),1,0)</f>
        <v/>
      </c>
    </row>
    <row r="2126" ht="15" customHeight="1" s="20">
      <c r="A2126" s="19" t="inlineStr">
        <is>
          <t>s6740</t>
        </is>
      </c>
      <c r="B2126" s="19" t="inlineStr">
        <is>
          <t>Dramas</t>
        </is>
      </c>
      <c r="C2126" s="19">
        <f>IFERROR(INDEX(tblNetflix[type],MATCH($A2126,tblNetflix[show_id],0)),"")</f>
        <v/>
      </c>
      <c r="D2126" s="19">
        <f>IFERROR(INDEX(tblNetflix[rating],MATCH($A2126,tblNetflix[show_id],0)),"")</f>
        <v/>
      </c>
      <c r="E2126" s="19">
        <f>IFERROR(INDEX(tblNetflix[year_added],MATCH($A2126,tblNetflix[show_id],0)),"")</f>
        <v/>
      </c>
      <c r="F2126" s="19">
        <f>IF(AND(OR(YearFilter="All",$E2126=YearFilter),OR(RatingFilter="All",$D2126=RatingFilter),OR(TypeFilter="All",$C2126=TypeFilter)),1,0)</f>
        <v/>
      </c>
    </row>
    <row r="2127" ht="15" customHeight="1" s="20">
      <c r="A2127" s="19" t="inlineStr">
        <is>
          <t>s6740</t>
        </is>
      </c>
      <c r="B2127" s="19" t="inlineStr">
        <is>
          <t>Independent Movies</t>
        </is>
      </c>
      <c r="C2127" s="19">
        <f>IFERROR(INDEX(tblNetflix[type],MATCH($A2127,tblNetflix[show_id],0)),"")</f>
        <v/>
      </c>
      <c r="D2127" s="19">
        <f>IFERROR(INDEX(tblNetflix[rating],MATCH($A2127,tblNetflix[show_id],0)),"")</f>
        <v/>
      </c>
      <c r="E2127" s="19">
        <f>IFERROR(INDEX(tblNetflix[year_added],MATCH($A2127,tblNetflix[show_id],0)),"")</f>
        <v/>
      </c>
      <c r="F2127" s="19">
        <f>IF(AND(OR(YearFilter="All",$E2127=YearFilter),OR(RatingFilter="All",$D2127=RatingFilter),OR(TypeFilter="All",$C2127=TypeFilter)),1,0)</f>
        <v/>
      </c>
    </row>
    <row r="2128" ht="15" customHeight="1" s="20">
      <c r="A2128" s="19" t="inlineStr">
        <is>
          <t>s6740</t>
        </is>
      </c>
      <c r="B2128" s="19" t="inlineStr">
        <is>
          <t>International Movies</t>
        </is>
      </c>
      <c r="C2128" s="19">
        <f>IFERROR(INDEX(tblNetflix[type],MATCH($A2128,tblNetflix[show_id],0)),"")</f>
        <v/>
      </c>
      <c r="D2128" s="19">
        <f>IFERROR(INDEX(tblNetflix[rating],MATCH($A2128,tblNetflix[show_id],0)),"")</f>
        <v/>
      </c>
      <c r="E2128" s="19">
        <f>IFERROR(INDEX(tblNetflix[year_added],MATCH($A2128,tblNetflix[show_id],0)),"")</f>
        <v/>
      </c>
      <c r="F2128" s="19">
        <f>IF(AND(OR(YearFilter="All",$E2128=YearFilter),OR(RatingFilter="All",$D2128=RatingFilter),OR(TypeFilter="All",$C2128=TypeFilter)),1,0)</f>
        <v/>
      </c>
    </row>
    <row r="2129" ht="15" customHeight="1" s="20">
      <c r="A2129" s="19" t="inlineStr">
        <is>
          <t>s6745</t>
        </is>
      </c>
      <c r="B2129" s="19" t="inlineStr">
        <is>
          <t>International TV Shows</t>
        </is>
      </c>
      <c r="C2129" s="19">
        <f>IFERROR(INDEX(tblNetflix[type],MATCH($A2129,tblNetflix[show_id],0)),"")</f>
        <v/>
      </c>
      <c r="D2129" s="19">
        <f>IFERROR(INDEX(tblNetflix[rating],MATCH($A2129,tblNetflix[show_id],0)),"")</f>
        <v/>
      </c>
      <c r="E2129" s="19">
        <f>IFERROR(INDEX(tblNetflix[year_added],MATCH($A2129,tblNetflix[show_id],0)),"")</f>
        <v/>
      </c>
      <c r="F2129" s="19">
        <f>IF(AND(OR(YearFilter="All",$E2129=YearFilter),OR(RatingFilter="All",$D2129=RatingFilter),OR(TypeFilter="All",$C2129=TypeFilter)),1,0)</f>
        <v/>
      </c>
    </row>
    <row r="2130" ht="15" customHeight="1" s="20">
      <c r="A2130" s="19" t="inlineStr">
        <is>
          <t>s6745</t>
        </is>
      </c>
      <c r="B2130" s="19" t="inlineStr">
        <is>
          <t>TV Horror</t>
        </is>
      </c>
      <c r="C2130" s="19">
        <f>IFERROR(INDEX(tblNetflix[type],MATCH($A2130,tblNetflix[show_id],0)),"")</f>
        <v/>
      </c>
      <c r="D2130" s="19">
        <f>IFERROR(INDEX(tblNetflix[rating],MATCH($A2130,tblNetflix[show_id],0)),"")</f>
        <v/>
      </c>
      <c r="E2130" s="19">
        <f>IFERROR(INDEX(tblNetflix[year_added],MATCH($A2130,tblNetflix[show_id],0)),"")</f>
        <v/>
      </c>
      <c r="F2130" s="19">
        <f>IF(AND(OR(YearFilter="All",$E2130=YearFilter),OR(RatingFilter="All",$D2130=RatingFilter),OR(TypeFilter="All",$C2130=TypeFilter)),1,0)</f>
        <v/>
      </c>
    </row>
    <row r="2131" ht="15" customHeight="1" s="20">
      <c r="A2131" s="19" t="inlineStr">
        <is>
          <t>s6745</t>
        </is>
      </c>
      <c r="B2131" s="19" t="inlineStr">
        <is>
          <t>TV Thrillers</t>
        </is>
      </c>
      <c r="C2131" s="19">
        <f>IFERROR(INDEX(tblNetflix[type],MATCH($A2131,tblNetflix[show_id],0)),"")</f>
        <v/>
      </c>
      <c r="D2131" s="19">
        <f>IFERROR(INDEX(tblNetflix[rating],MATCH($A2131,tblNetflix[show_id],0)),"")</f>
        <v/>
      </c>
      <c r="E2131" s="19">
        <f>IFERROR(INDEX(tblNetflix[year_added],MATCH($A2131,tblNetflix[show_id],0)),"")</f>
        <v/>
      </c>
      <c r="F2131" s="19">
        <f>IF(AND(OR(YearFilter="All",$E2131=YearFilter),OR(RatingFilter="All",$D2131=RatingFilter),OR(TypeFilter="All",$C2131=TypeFilter)),1,0)</f>
        <v/>
      </c>
    </row>
    <row r="2132" ht="15" customHeight="1" s="20">
      <c r="A2132" s="19" t="inlineStr">
        <is>
          <t>s6758</t>
        </is>
      </c>
      <c r="B2132" s="19" t="inlineStr">
        <is>
          <t>Dramas</t>
        </is>
      </c>
      <c r="C2132" s="19">
        <f>IFERROR(INDEX(tblNetflix[type],MATCH($A2132,tblNetflix[show_id],0)),"")</f>
        <v/>
      </c>
      <c r="D2132" s="19">
        <f>IFERROR(INDEX(tblNetflix[rating],MATCH($A2132,tblNetflix[show_id],0)),"")</f>
        <v/>
      </c>
      <c r="E2132" s="19">
        <f>IFERROR(INDEX(tblNetflix[year_added],MATCH($A2132,tblNetflix[show_id],0)),"")</f>
        <v/>
      </c>
      <c r="F2132" s="19">
        <f>IF(AND(OR(YearFilter="All",$E2132=YearFilter),OR(RatingFilter="All",$D2132=RatingFilter),OR(TypeFilter="All",$C2132=TypeFilter)),1,0)</f>
        <v/>
      </c>
    </row>
    <row r="2133" ht="15" customHeight="1" s="20">
      <c r="A2133" s="19" t="inlineStr">
        <is>
          <t>s6758</t>
        </is>
      </c>
      <c r="B2133" s="19" t="inlineStr">
        <is>
          <t>Independent Movies</t>
        </is>
      </c>
      <c r="C2133" s="19">
        <f>IFERROR(INDEX(tblNetflix[type],MATCH($A2133,tblNetflix[show_id],0)),"")</f>
        <v/>
      </c>
      <c r="D2133" s="19">
        <f>IFERROR(INDEX(tblNetflix[rating],MATCH($A2133,tblNetflix[show_id],0)),"")</f>
        <v/>
      </c>
      <c r="E2133" s="19">
        <f>IFERROR(INDEX(tblNetflix[year_added],MATCH($A2133,tblNetflix[show_id],0)),"")</f>
        <v/>
      </c>
      <c r="F2133" s="19">
        <f>IF(AND(OR(YearFilter="All",$E2133=YearFilter),OR(RatingFilter="All",$D2133=RatingFilter),OR(TypeFilter="All",$C2133=TypeFilter)),1,0)</f>
        <v/>
      </c>
    </row>
    <row r="2134" ht="15" customHeight="1" s="20">
      <c r="A2134" s="19" t="inlineStr">
        <is>
          <t>s6758</t>
        </is>
      </c>
      <c r="B2134" s="19" t="inlineStr">
        <is>
          <t>International Movies</t>
        </is>
      </c>
      <c r="C2134" s="19">
        <f>IFERROR(INDEX(tblNetflix[type],MATCH($A2134,tblNetflix[show_id],0)),"")</f>
        <v/>
      </c>
      <c r="D2134" s="19">
        <f>IFERROR(INDEX(tblNetflix[rating],MATCH($A2134,tblNetflix[show_id],0)),"")</f>
        <v/>
      </c>
      <c r="E2134" s="19">
        <f>IFERROR(INDEX(tblNetflix[year_added],MATCH($A2134,tblNetflix[show_id],0)),"")</f>
        <v/>
      </c>
      <c r="F2134" s="19">
        <f>IF(AND(OR(YearFilter="All",$E2134=YearFilter),OR(RatingFilter="All",$D2134=RatingFilter),OR(TypeFilter="All",$C2134=TypeFilter)),1,0)</f>
        <v/>
      </c>
    </row>
    <row r="2135" ht="15" customHeight="1" s="20">
      <c r="A2135" s="19" t="inlineStr">
        <is>
          <t>s6821</t>
        </is>
      </c>
      <c r="B2135" s="19" t="inlineStr">
        <is>
          <t>International TV Shows</t>
        </is>
      </c>
      <c r="C2135" s="19">
        <f>IFERROR(INDEX(tblNetflix[type],MATCH($A2135,tblNetflix[show_id],0)),"")</f>
        <v/>
      </c>
      <c r="D2135" s="19">
        <f>IFERROR(INDEX(tblNetflix[rating],MATCH($A2135,tblNetflix[show_id],0)),"")</f>
        <v/>
      </c>
      <c r="E2135" s="19">
        <f>IFERROR(INDEX(tblNetflix[year_added],MATCH($A2135,tblNetflix[show_id],0)),"")</f>
        <v/>
      </c>
      <c r="F2135" s="19">
        <f>IF(AND(OR(YearFilter="All",$E2135=YearFilter),OR(RatingFilter="All",$D2135=RatingFilter),OR(TypeFilter="All",$C2135=TypeFilter)),1,0)</f>
        <v/>
      </c>
    </row>
    <row r="2136" ht="15" customHeight="1" s="20">
      <c r="A2136" s="19" t="inlineStr">
        <is>
          <t>s6821</t>
        </is>
      </c>
      <c r="B2136" s="19" t="inlineStr">
        <is>
          <t>TV Dramas</t>
        </is>
      </c>
      <c r="C2136" s="19">
        <f>IFERROR(INDEX(tblNetflix[type],MATCH($A2136,tblNetflix[show_id],0)),"")</f>
        <v/>
      </c>
      <c r="D2136" s="19">
        <f>IFERROR(INDEX(tblNetflix[rating],MATCH($A2136,tblNetflix[show_id],0)),"")</f>
        <v/>
      </c>
      <c r="E2136" s="19">
        <f>IFERROR(INDEX(tblNetflix[year_added],MATCH($A2136,tblNetflix[show_id],0)),"")</f>
        <v/>
      </c>
      <c r="F2136" s="19">
        <f>IF(AND(OR(YearFilter="All",$E2136=YearFilter),OR(RatingFilter="All",$D2136=RatingFilter),OR(TypeFilter="All",$C2136=TypeFilter)),1,0)</f>
        <v/>
      </c>
    </row>
    <row r="2137" ht="15" customHeight="1" s="20">
      <c r="A2137" s="19" t="inlineStr">
        <is>
          <t>s6826</t>
        </is>
      </c>
      <c r="B2137" s="19" t="inlineStr">
        <is>
          <t>International TV Shows</t>
        </is>
      </c>
      <c r="C2137" s="19">
        <f>IFERROR(INDEX(tblNetflix[type],MATCH($A2137,tblNetflix[show_id],0)),"")</f>
        <v/>
      </c>
      <c r="D2137" s="19">
        <f>IFERROR(INDEX(tblNetflix[rating],MATCH($A2137,tblNetflix[show_id],0)),"")</f>
        <v/>
      </c>
      <c r="E2137" s="19">
        <f>IFERROR(INDEX(tblNetflix[year_added],MATCH($A2137,tblNetflix[show_id],0)),"")</f>
        <v/>
      </c>
      <c r="F2137" s="19">
        <f>IF(AND(OR(YearFilter="All",$E2137=YearFilter),OR(RatingFilter="All",$D2137=RatingFilter),OR(TypeFilter="All",$C2137=TypeFilter)),1,0)</f>
        <v/>
      </c>
    </row>
    <row r="2138" ht="15" customHeight="1" s="20">
      <c r="A2138" s="19" t="inlineStr">
        <is>
          <t>s6826</t>
        </is>
      </c>
      <c r="B2138" s="19" t="inlineStr">
        <is>
          <t>Stand-Up Comedy &amp; Talk Shows</t>
        </is>
      </c>
      <c r="C2138" s="19">
        <f>IFERROR(INDEX(tblNetflix[type],MATCH($A2138,tblNetflix[show_id],0)),"")</f>
        <v/>
      </c>
      <c r="D2138" s="19">
        <f>IFERROR(INDEX(tblNetflix[rating],MATCH($A2138,tblNetflix[show_id],0)),"")</f>
        <v/>
      </c>
      <c r="E2138" s="19">
        <f>IFERROR(INDEX(tblNetflix[year_added],MATCH($A2138,tblNetflix[show_id],0)),"")</f>
        <v/>
      </c>
      <c r="F2138" s="19">
        <f>IF(AND(OR(YearFilter="All",$E2138=YearFilter),OR(RatingFilter="All",$D2138=RatingFilter),OR(TypeFilter="All",$C2138=TypeFilter)),1,0)</f>
        <v/>
      </c>
    </row>
    <row r="2139" ht="15" customHeight="1" s="20">
      <c r="A2139" s="19" t="inlineStr">
        <is>
          <t>s6826</t>
        </is>
      </c>
      <c r="B2139" s="19" t="inlineStr">
        <is>
          <t>TV Comedies</t>
        </is>
      </c>
      <c r="C2139" s="19">
        <f>IFERROR(INDEX(tblNetflix[type],MATCH($A2139,tblNetflix[show_id],0)),"")</f>
        <v/>
      </c>
      <c r="D2139" s="19">
        <f>IFERROR(INDEX(tblNetflix[rating],MATCH($A2139,tblNetflix[show_id],0)),"")</f>
        <v/>
      </c>
      <c r="E2139" s="19">
        <f>IFERROR(INDEX(tblNetflix[year_added],MATCH($A2139,tblNetflix[show_id],0)),"")</f>
        <v/>
      </c>
      <c r="F2139" s="19">
        <f>IF(AND(OR(YearFilter="All",$E2139=YearFilter),OR(RatingFilter="All",$D2139=RatingFilter),OR(TypeFilter="All",$C2139=TypeFilter)),1,0)</f>
        <v/>
      </c>
    </row>
    <row r="2140" ht="15" customHeight="1" s="20">
      <c r="A2140" s="19" t="inlineStr">
        <is>
          <t>s6832</t>
        </is>
      </c>
      <c r="B2140" s="19" t="inlineStr">
        <is>
          <t>Dramas</t>
        </is>
      </c>
      <c r="C2140" s="19">
        <f>IFERROR(INDEX(tblNetflix[type],MATCH($A2140,tblNetflix[show_id],0)),"")</f>
        <v/>
      </c>
      <c r="D2140" s="19">
        <f>IFERROR(INDEX(tblNetflix[rating],MATCH($A2140,tblNetflix[show_id],0)),"")</f>
        <v/>
      </c>
      <c r="E2140" s="19">
        <f>IFERROR(INDEX(tblNetflix[year_added],MATCH($A2140,tblNetflix[show_id],0)),"")</f>
        <v/>
      </c>
      <c r="F2140" s="19">
        <f>IF(AND(OR(YearFilter="All",$E2140=YearFilter),OR(RatingFilter="All",$D2140=RatingFilter),OR(TypeFilter="All",$C2140=TypeFilter)),1,0)</f>
        <v/>
      </c>
    </row>
    <row r="2141" ht="15" customHeight="1" s="20">
      <c r="A2141" s="19" t="inlineStr">
        <is>
          <t>s6832</t>
        </is>
      </c>
      <c r="B2141" s="19" t="inlineStr">
        <is>
          <t>International Movies</t>
        </is>
      </c>
      <c r="C2141" s="19">
        <f>IFERROR(INDEX(tblNetflix[type],MATCH($A2141,tblNetflix[show_id],0)),"")</f>
        <v/>
      </c>
      <c r="D2141" s="19">
        <f>IFERROR(INDEX(tblNetflix[rating],MATCH($A2141,tblNetflix[show_id],0)),"")</f>
        <v/>
      </c>
      <c r="E2141" s="19">
        <f>IFERROR(INDEX(tblNetflix[year_added],MATCH($A2141,tblNetflix[show_id],0)),"")</f>
        <v/>
      </c>
      <c r="F2141" s="19">
        <f>IF(AND(OR(YearFilter="All",$E2141=YearFilter),OR(RatingFilter="All",$D2141=RatingFilter),OR(TypeFilter="All",$C2141=TypeFilter)),1,0)</f>
        <v/>
      </c>
    </row>
    <row r="2142" ht="15" customHeight="1" s="20">
      <c r="A2142" s="19" t="inlineStr">
        <is>
          <t>s6833</t>
        </is>
      </c>
      <c r="B2142" s="19" t="inlineStr">
        <is>
          <t>Dramas</t>
        </is>
      </c>
      <c r="C2142" s="19">
        <f>IFERROR(INDEX(tblNetflix[type],MATCH($A2142,tblNetflix[show_id],0)),"")</f>
        <v/>
      </c>
      <c r="D2142" s="19">
        <f>IFERROR(INDEX(tblNetflix[rating],MATCH($A2142,tblNetflix[show_id],0)),"")</f>
        <v/>
      </c>
      <c r="E2142" s="19">
        <f>IFERROR(INDEX(tblNetflix[year_added],MATCH($A2142,tblNetflix[show_id],0)),"")</f>
        <v/>
      </c>
      <c r="F2142" s="19">
        <f>IF(AND(OR(YearFilter="All",$E2142=YearFilter),OR(RatingFilter="All",$D2142=RatingFilter),OR(TypeFilter="All",$C2142=TypeFilter)),1,0)</f>
        <v/>
      </c>
    </row>
    <row r="2143" ht="15" customHeight="1" s="20">
      <c r="A2143" s="19" t="inlineStr">
        <is>
          <t>s6845</t>
        </is>
      </c>
      <c r="B2143" s="19" t="inlineStr">
        <is>
          <t>Action &amp; Adventure</t>
        </is>
      </c>
      <c r="C2143" s="19">
        <f>IFERROR(INDEX(tblNetflix[type],MATCH($A2143,tblNetflix[show_id],0)),"")</f>
        <v/>
      </c>
      <c r="D2143" s="19">
        <f>IFERROR(INDEX(tblNetflix[rating],MATCH($A2143,tblNetflix[show_id],0)),"")</f>
        <v/>
      </c>
      <c r="E2143" s="19">
        <f>IFERROR(INDEX(tblNetflix[year_added],MATCH($A2143,tblNetflix[show_id],0)),"")</f>
        <v/>
      </c>
      <c r="F2143" s="19">
        <f>IF(AND(OR(YearFilter="All",$E2143=YearFilter),OR(RatingFilter="All",$D2143=RatingFilter),OR(TypeFilter="All",$C2143=TypeFilter)),1,0)</f>
        <v/>
      </c>
    </row>
    <row r="2144" ht="15" customHeight="1" s="20">
      <c r="A2144" s="19" t="inlineStr">
        <is>
          <t>s6845</t>
        </is>
      </c>
      <c r="B2144" s="19" t="inlineStr">
        <is>
          <t>Dramas</t>
        </is>
      </c>
      <c r="C2144" s="19">
        <f>IFERROR(INDEX(tblNetflix[type],MATCH($A2144,tblNetflix[show_id],0)),"")</f>
        <v/>
      </c>
      <c r="D2144" s="19">
        <f>IFERROR(INDEX(tblNetflix[rating],MATCH($A2144,tblNetflix[show_id],0)),"")</f>
        <v/>
      </c>
      <c r="E2144" s="19">
        <f>IFERROR(INDEX(tblNetflix[year_added],MATCH($A2144,tblNetflix[show_id],0)),"")</f>
        <v/>
      </c>
      <c r="F2144" s="19">
        <f>IF(AND(OR(YearFilter="All",$E2144=YearFilter),OR(RatingFilter="All",$D2144=RatingFilter),OR(TypeFilter="All",$C2144=TypeFilter)),1,0)</f>
        <v/>
      </c>
    </row>
    <row r="2145" ht="15" customHeight="1" s="20">
      <c r="A2145" s="19" t="inlineStr">
        <is>
          <t>s6845</t>
        </is>
      </c>
      <c r="B2145" s="19" t="inlineStr">
        <is>
          <t>International Movies</t>
        </is>
      </c>
      <c r="C2145" s="19">
        <f>IFERROR(INDEX(tblNetflix[type],MATCH($A2145,tblNetflix[show_id],0)),"")</f>
        <v/>
      </c>
      <c r="D2145" s="19">
        <f>IFERROR(INDEX(tblNetflix[rating],MATCH($A2145,tblNetflix[show_id],0)),"")</f>
        <v/>
      </c>
      <c r="E2145" s="19">
        <f>IFERROR(INDEX(tblNetflix[year_added],MATCH($A2145,tblNetflix[show_id],0)),"")</f>
        <v/>
      </c>
      <c r="F2145" s="19">
        <f>IF(AND(OR(YearFilter="All",$E2145=YearFilter),OR(RatingFilter="All",$D2145=RatingFilter),OR(TypeFilter="All",$C2145=TypeFilter)),1,0)</f>
        <v/>
      </c>
    </row>
    <row r="2146" ht="15" customHeight="1" s="20">
      <c r="A2146" s="19" t="inlineStr">
        <is>
          <t>s6852</t>
        </is>
      </c>
      <c r="B2146" s="19" t="inlineStr">
        <is>
          <t>Action &amp; Adventure</t>
        </is>
      </c>
      <c r="C2146" s="19">
        <f>IFERROR(INDEX(tblNetflix[type],MATCH($A2146,tblNetflix[show_id],0)),"")</f>
        <v/>
      </c>
      <c r="D2146" s="19">
        <f>IFERROR(INDEX(tblNetflix[rating],MATCH($A2146,tblNetflix[show_id],0)),"")</f>
        <v/>
      </c>
      <c r="E2146" s="19">
        <f>IFERROR(INDEX(tblNetflix[year_added],MATCH($A2146,tblNetflix[show_id],0)),"")</f>
        <v/>
      </c>
      <c r="F2146" s="19">
        <f>IF(AND(OR(YearFilter="All",$E2146=YearFilter),OR(RatingFilter="All",$D2146=RatingFilter),OR(TypeFilter="All",$C2146=TypeFilter)),1,0)</f>
        <v/>
      </c>
    </row>
    <row r="2147" ht="15" customHeight="1" s="20">
      <c r="A2147" s="19" t="inlineStr">
        <is>
          <t>s6852</t>
        </is>
      </c>
      <c r="B2147" s="19" t="inlineStr">
        <is>
          <t>Dramas</t>
        </is>
      </c>
      <c r="C2147" s="19">
        <f>IFERROR(INDEX(tblNetflix[type],MATCH($A2147,tblNetflix[show_id],0)),"")</f>
        <v/>
      </c>
      <c r="D2147" s="19">
        <f>IFERROR(INDEX(tblNetflix[rating],MATCH($A2147,tblNetflix[show_id],0)),"")</f>
        <v/>
      </c>
      <c r="E2147" s="19">
        <f>IFERROR(INDEX(tblNetflix[year_added],MATCH($A2147,tblNetflix[show_id],0)),"")</f>
        <v/>
      </c>
      <c r="F2147" s="19">
        <f>IF(AND(OR(YearFilter="All",$E2147=YearFilter),OR(RatingFilter="All",$D2147=RatingFilter),OR(TypeFilter="All",$C2147=TypeFilter)),1,0)</f>
        <v/>
      </c>
    </row>
    <row r="2148" ht="15" customHeight="1" s="20">
      <c r="A2148" s="19" t="inlineStr">
        <is>
          <t>s6852</t>
        </is>
      </c>
      <c r="B2148" s="19" t="inlineStr">
        <is>
          <t>International Movies</t>
        </is>
      </c>
      <c r="C2148" s="19">
        <f>IFERROR(INDEX(tblNetflix[type],MATCH($A2148,tblNetflix[show_id],0)),"")</f>
        <v/>
      </c>
      <c r="D2148" s="19">
        <f>IFERROR(INDEX(tblNetflix[rating],MATCH($A2148,tblNetflix[show_id],0)),"")</f>
        <v/>
      </c>
      <c r="E2148" s="19">
        <f>IFERROR(INDEX(tblNetflix[year_added],MATCH($A2148,tblNetflix[show_id],0)),"")</f>
        <v/>
      </c>
      <c r="F2148" s="19">
        <f>IF(AND(OR(YearFilter="All",$E2148=YearFilter),OR(RatingFilter="All",$D2148=RatingFilter),OR(TypeFilter="All",$C2148=TypeFilter)),1,0)</f>
        <v/>
      </c>
    </row>
    <row r="2149" ht="15" customHeight="1" s="20">
      <c r="A2149" s="19" t="inlineStr">
        <is>
          <t>s6865</t>
        </is>
      </c>
      <c r="B2149" s="19" t="inlineStr">
        <is>
          <t>Classic Movies</t>
        </is>
      </c>
      <c r="C2149" s="19">
        <f>IFERROR(INDEX(tblNetflix[type],MATCH($A2149,tblNetflix[show_id],0)),"")</f>
        <v/>
      </c>
      <c r="D2149" s="19">
        <f>IFERROR(INDEX(tblNetflix[rating],MATCH($A2149,tblNetflix[show_id],0)),"")</f>
        <v/>
      </c>
      <c r="E2149" s="19">
        <f>IFERROR(INDEX(tblNetflix[year_added],MATCH($A2149,tblNetflix[show_id],0)),"")</f>
        <v/>
      </c>
      <c r="F2149" s="19">
        <f>IF(AND(OR(YearFilter="All",$E2149=YearFilter),OR(RatingFilter="All",$D2149=RatingFilter),OR(TypeFilter="All",$C2149=TypeFilter)),1,0)</f>
        <v/>
      </c>
    </row>
    <row r="2150" ht="15" customHeight="1" s="20">
      <c r="A2150" s="19" t="inlineStr">
        <is>
          <t>s6865</t>
        </is>
      </c>
      <c r="B2150" s="19" t="inlineStr">
        <is>
          <t>Comedies</t>
        </is>
      </c>
      <c r="C2150" s="19">
        <f>IFERROR(INDEX(tblNetflix[type],MATCH($A2150,tblNetflix[show_id],0)),"")</f>
        <v/>
      </c>
      <c r="D2150" s="19">
        <f>IFERROR(INDEX(tblNetflix[rating],MATCH($A2150,tblNetflix[show_id],0)),"")</f>
        <v/>
      </c>
      <c r="E2150" s="19">
        <f>IFERROR(INDEX(tblNetflix[year_added],MATCH($A2150,tblNetflix[show_id],0)),"")</f>
        <v/>
      </c>
      <c r="F2150" s="19">
        <f>IF(AND(OR(YearFilter="All",$E2150=YearFilter),OR(RatingFilter="All",$D2150=RatingFilter),OR(TypeFilter="All",$C2150=TypeFilter)),1,0)</f>
        <v/>
      </c>
    </row>
    <row r="2151" ht="15" customHeight="1" s="20">
      <c r="A2151" s="19" t="inlineStr">
        <is>
          <t>s6865</t>
        </is>
      </c>
      <c r="B2151" s="19" t="inlineStr">
        <is>
          <t>International Movies</t>
        </is>
      </c>
      <c r="C2151" s="19">
        <f>IFERROR(INDEX(tblNetflix[type],MATCH($A2151,tblNetflix[show_id],0)),"")</f>
        <v/>
      </c>
      <c r="D2151" s="19">
        <f>IFERROR(INDEX(tblNetflix[rating],MATCH($A2151,tblNetflix[show_id],0)),"")</f>
        <v/>
      </c>
      <c r="E2151" s="19">
        <f>IFERROR(INDEX(tblNetflix[year_added],MATCH($A2151,tblNetflix[show_id],0)),"")</f>
        <v/>
      </c>
      <c r="F2151" s="19">
        <f>IF(AND(OR(YearFilter="All",$E2151=YearFilter),OR(RatingFilter="All",$D2151=RatingFilter),OR(TypeFilter="All",$C2151=TypeFilter)),1,0)</f>
        <v/>
      </c>
    </row>
    <row r="2152" ht="15" customHeight="1" s="20">
      <c r="A2152" s="19" t="inlineStr">
        <is>
          <t>s6871</t>
        </is>
      </c>
      <c r="B2152" s="19" t="inlineStr">
        <is>
          <t>Comedies</t>
        </is>
      </c>
      <c r="C2152" s="19">
        <f>IFERROR(INDEX(tblNetflix[type],MATCH($A2152,tblNetflix[show_id],0)),"")</f>
        <v/>
      </c>
      <c r="D2152" s="19">
        <f>IFERROR(INDEX(tblNetflix[rating],MATCH($A2152,tblNetflix[show_id],0)),"")</f>
        <v/>
      </c>
      <c r="E2152" s="19">
        <f>IFERROR(INDEX(tblNetflix[year_added],MATCH($A2152,tblNetflix[show_id],0)),"")</f>
        <v/>
      </c>
      <c r="F2152" s="19">
        <f>IF(AND(OR(YearFilter="All",$E2152=YearFilter),OR(RatingFilter="All",$D2152=RatingFilter),OR(TypeFilter="All",$C2152=TypeFilter)),1,0)</f>
        <v/>
      </c>
    </row>
    <row r="2153" ht="15" customHeight="1" s="20">
      <c r="A2153" s="19" t="inlineStr">
        <is>
          <t>s6871</t>
        </is>
      </c>
      <c r="B2153" s="19" t="inlineStr">
        <is>
          <t>International Movies</t>
        </is>
      </c>
      <c r="C2153" s="19">
        <f>IFERROR(INDEX(tblNetflix[type],MATCH($A2153,tblNetflix[show_id],0)),"")</f>
        <v/>
      </c>
      <c r="D2153" s="19">
        <f>IFERROR(INDEX(tblNetflix[rating],MATCH($A2153,tblNetflix[show_id],0)),"")</f>
        <v/>
      </c>
      <c r="E2153" s="19">
        <f>IFERROR(INDEX(tblNetflix[year_added],MATCH($A2153,tblNetflix[show_id],0)),"")</f>
        <v/>
      </c>
      <c r="F2153" s="19">
        <f>IF(AND(OR(YearFilter="All",$E2153=YearFilter),OR(RatingFilter="All",$D2153=RatingFilter),OR(TypeFilter="All",$C2153=TypeFilter)),1,0)</f>
        <v/>
      </c>
    </row>
    <row r="2154" ht="15" customHeight="1" s="20">
      <c r="A2154" s="19" t="inlineStr">
        <is>
          <t>s6888</t>
        </is>
      </c>
      <c r="B2154" s="19" t="inlineStr">
        <is>
          <t>Dramas</t>
        </is>
      </c>
      <c r="C2154" s="19">
        <f>IFERROR(INDEX(tblNetflix[type],MATCH($A2154,tblNetflix[show_id],0)),"")</f>
        <v/>
      </c>
      <c r="D2154" s="19">
        <f>IFERROR(INDEX(tblNetflix[rating],MATCH($A2154,tblNetflix[show_id],0)),"")</f>
        <v/>
      </c>
      <c r="E2154" s="19">
        <f>IFERROR(INDEX(tblNetflix[year_added],MATCH($A2154,tblNetflix[show_id],0)),"")</f>
        <v/>
      </c>
      <c r="F2154" s="19">
        <f>IF(AND(OR(YearFilter="All",$E2154=YearFilter),OR(RatingFilter="All",$D2154=RatingFilter),OR(TypeFilter="All",$C2154=TypeFilter)),1,0)</f>
        <v/>
      </c>
    </row>
    <row r="2155" ht="15" customHeight="1" s="20">
      <c r="A2155" s="19" t="inlineStr">
        <is>
          <t>s6888</t>
        </is>
      </c>
      <c r="B2155" s="19" t="inlineStr">
        <is>
          <t>Independent Movies</t>
        </is>
      </c>
      <c r="C2155" s="19">
        <f>IFERROR(INDEX(tblNetflix[type],MATCH($A2155,tblNetflix[show_id],0)),"")</f>
        <v/>
      </c>
      <c r="D2155" s="19">
        <f>IFERROR(INDEX(tblNetflix[rating],MATCH($A2155,tblNetflix[show_id],0)),"")</f>
        <v/>
      </c>
      <c r="E2155" s="19">
        <f>IFERROR(INDEX(tblNetflix[year_added],MATCH($A2155,tblNetflix[show_id],0)),"")</f>
        <v/>
      </c>
      <c r="F2155" s="19">
        <f>IF(AND(OR(YearFilter="All",$E2155=YearFilter),OR(RatingFilter="All",$D2155=RatingFilter),OR(TypeFilter="All",$C2155=TypeFilter)),1,0)</f>
        <v/>
      </c>
    </row>
    <row r="2156" ht="15" customHeight="1" s="20">
      <c r="A2156" s="19" t="inlineStr">
        <is>
          <t>s6888</t>
        </is>
      </c>
      <c r="B2156" s="19" t="inlineStr">
        <is>
          <t>International Movies</t>
        </is>
      </c>
      <c r="C2156" s="19">
        <f>IFERROR(INDEX(tblNetflix[type],MATCH($A2156,tblNetflix[show_id],0)),"")</f>
        <v/>
      </c>
      <c r="D2156" s="19">
        <f>IFERROR(INDEX(tblNetflix[rating],MATCH($A2156,tblNetflix[show_id],0)),"")</f>
        <v/>
      </c>
      <c r="E2156" s="19">
        <f>IFERROR(INDEX(tblNetflix[year_added],MATCH($A2156,tblNetflix[show_id],0)),"")</f>
        <v/>
      </c>
      <c r="F2156" s="19">
        <f>IF(AND(OR(YearFilter="All",$E2156=YearFilter),OR(RatingFilter="All",$D2156=RatingFilter),OR(TypeFilter="All",$C2156=TypeFilter)),1,0)</f>
        <v/>
      </c>
    </row>
    <row r="2157" ht="15" customHeight="1" s="20">
      <c r="A2157" s="19" t="inlineStr">
        <is>
          <t>s6892</t>
        </is>
      </c>
      <c r="B2157" s="19" t="inlineStr">
        <is>
          <t>Comedies</t>
        </is>
      </c>
      <c r="C2157" s="19">
        <f>IFERROR(INDEX(tblNetflix[type],MATCH($A2157,tblNetflix[show_id],0)),"")</f>
        <v/>
      </c>
      <c r="D2157" s="19">
        <f>IFERROR(INDEX(tblNetflix[rating],MATCH($A2157,tblNetflix[show_id],0)),"")</f>
        <v/>
      </c>
      <c r="E2157" s="19">
        <f>IFERROR(INDEX(tblNetflix[year_added],MATCH($A2157,tblNetflix[show_id],0)),"")</f>
        <v/>
      </c>
      <c r="F2157" s="19">
        <f>IF(AND(OR(YearFilter="All",$E2157=YearFilter),OR(RatingFilter="All",$D2157=RatingFilter),OR(TypeFilter="All",$C2157=TypeFilter)),1,0)</f>
        <v/>
      </c>
    </row>
    <row r="2158" ht="15" customHeight="1" s="20">
      <c r="A2158" s="19" t="inlineStr">
        <is>
          <t>s6892</t>
        </is>
      </c>
      <c r="B2158" s="19" t="inlineStr">
        <is>
          <t>International Movies</t>
        </is>
      </c>
      <c r="C2158" s="19">
        <f>IFERROR(INDEX(tblNetflix[type],MATCH($A2158,tblNetflix[show_id],0)),"")</f>
        <v/>
      </c>
      <c r="D2158" s="19">
        <f>IFERROR(INDEX(tblNetflix[rating],MATCH($A2158,tblNetflix[show_id],0)),"")</f>
        <v/>
      </c>
      <c r="E2158" s="19">
        <f>IFERROR(INDEX(tblNetflix[year_added],MATCH($A2158,tblNetflix[show_id],0)),"")</f>
        <v/>
      </c>
      <c r="F2158" s="19">
        <f>IF(AND(OR(YearFilter="All",$E2158=YearFilter),OR(RatingFilter="All",$D2158=RatingFilter),OR(TypeFilter="All",$C2158=TypeFilter)),1,0)</f>
        <v/>
      </c>
    </row>
    <row r="2159" ht="15" customHeight="1" s="20">
      <c r="A2159" s="19" t="inlineStr">
        <is>
          <t>s6892</t>
        </is>
      </c>
      <c r="B2159" s="19" t="inlineStr">
        <is>
          <t>Music &amp; Musicals</t>
        </is>
      </c>
      <c r="C2159" s="19">
        <f>IFERROR(INDEX(tblNetflix[type],MATCH($A2159,tblNetflix[show_id],0)),"")</f>
        <v/>
      </c>
      <c r="D2159" s="19">
        <f>IFERROR(INDEX(tblNetflix[rating],MATCH($A2159,tblNetflix[show_id],0)),"")</f>
        <v/>
      </c>
      <c r="E2159" s="19">
        <f>IFERROR(INDEX(tblNetflix[year_added],MATCH($A2159,tblNetflix[show_id],0)),"")</f>
        <v/>
      </c>
      <c r="F2159" s="19">
        <f>IF(AND(OR(YearFilter="All",$E2159=YearFilter),OR(RatingFilter="All",$D2159=RatingFilter),OR(TypeFilter="All",$C2159=TypeFilter)),1,0)</f>
        <v/>
      </c>
    </row>
    <row r="2160" ht="15" customHeight="1" s="20">
      <c r="A2160" s="19" t="inlineStr">
        <is>
          <t>s6908</t>
        </is>
      </c>
      <c r="B2160" s="19" t="inlineStr">
        <is>
          <t>Comedies</t>
        </is>
      </c>
      <c r="C2160" s="19">
        <f>IFERROR(INDEX(tblNetflix[type],MATCH($A2160,tblNetflix[show_id],0)),"")</f>
        <v/>
      </c>
      <c r="D2160" s="19">
        <f>IFERROR(INDEX(tblNetflix[rating],MATCH($A2160,tblNetflix[show_id],0)),"")</f>
        <v/>
      </c>
      <c r="E2160" s="19">
        <f>IFERROR(INDEX(tblNetflix[year_added],MATCH($A2160,tblNetflix[show_id],0)),"")</f>
        <v/>
      </c>
      <c r="F2160" s="19">
        <f>IF(AND(OR(YearFilter="All",$E2160=YearFilter),OR(RatingFilter="All",$D2160=RatingFilter),OR(TypeFilter="All",$C2160=TypeFilter)),1,0)</f>
        <v/>
      </c>
    </row>
    <row r="2161" ht="15" customHeight="1" s="20">
      <c r="A2161" s="19" t="inlineStr">
        <is>
          <t>s6908</t>
        </is>
      </c>
      <c r="B2161" s="19" t="inlineStr">
        <is>
          <t>Dramas</t>
        </is>
      </c>
      <c r="C2161" s="19">
        <f>IFERROR(INDEX(tblNetflix[type],MATCH($A2161,tblNetflix[show_id],0)),"")</f>
        <v/>
      </c>
      <c r="D2161" s="19">
        <f>IFERROR(INDEX(tblNetflix[rating],MATCH($A2161,tblNetflix[show_id],0)),"")</f>
        <v/>
      </c>
      <c r="E2161" s="19">
        <f>IFERROR(INDEX(tblNetflix[year_added],MATCH($A2161,tblNetflix[show_id],0)),"")</f>
        <v/>
      </c>
      <c r="F2161" s="19">
        <f>IF(AND(OR(YearFilter="All",$E2161=YearFilter),OR(RatingFilter="All",$D2161=RatingFilter),OR(TypeFilter="All",$C2161=TypeFilter)),1,0)</f>
        <v/>
      </c>
    </row>
    <row r="2162" ht="15" customHeight="1" s="20">
      <c r="A2162" s="19" t="inlineStr">
        <is>
          <t>s6908</t>
        </is>
      </c>
      <c r="B2162" s="19" t="inlineStr">
        <is>
          <t>International Movies</t>
        </is>
      </c>
      <c r="C2162" s="19">
        <f>IFERROR(INDEX(tblNetflix[type],MATCH($A2162,tblNetflix[show_id],0)),"")</f>
        <v/>
      </c>
      <c r="D2162" s="19">
        <f>IFERROR(INDEX(tblNetflix[rating],MATCH($A2162,tblNetflix[show_id],0)),"")</f>
        <v/>
      </c>
      <c r="E2162" s="19">
        <f>IFERROR(INDEX(tblNetflix[year_added],MATCH($A2162,tblNetflix[show_id],0)),"")</f>
        <v/>
      </c>
      <c r="F2162" s="19">
        <f>IF(AND(OR(YearFilter="All",$E2162=YearFilter),OR(RatingFilter="All",$D2162=RatingFilter),OR(TypeFilter="All",$C2162=TypeFilter)),1,0)</f>
        <v/>
      </c>
    </row>
    <row r="2163" ht="15" customHeight="1" s="20">
      <c r="A2163" s="19" t="inlineStr">
        <is>
          <t>s6913</t>
        </is>
      </c>
      <c r="B2163" s="19" t="inlineStr">
        <is>
          <t>Dramas</t>
        </is>
      </c>
      <c r="C2163" s="19">
        <f>IFERROR(INDEX(tblNetflix[type],MATCH($A2163,tblNetflix[show_id],0)),"")</f>
        <v/>
      </c>
      <c r="D2163" s="19">
        <f>IFERROR(INDEX(tblNetflix[rating],MATCH($A2163,tblNetflix[show_id],0)),"")</f>
        <v/>
      </c>
      <c r="E2163" s="19">
        <f>IFERROR(INDEX(tblNetflix[year_added],MATCH($A2163,tblNetflix[show_id],0)),"")</f>
        <v/>
      </c>
      <c r="F2163" s="19">
        <f>IF(AND(OR(YearFilter="All",$E2163=YearFilter),OR(RatingFilter="All",$D2163=RatingFilter),OR(TypeFilter="All",$C2163=TypeFilter)),1,0)</f>
        <v/>
      </c>
    </row>
    <row r="2164" ht="15" customHeight="1" s="20">
      <c r="A2164" s="19" t="inlineStr">
        <is>
          <t>s6913</t>
        </is>
      </c>
      <c r="B2164" s="19" t="inlineStr">
        <is>
          <t>International Movies</t>
        </is>
      </c>
      <c r="C2164" s="19">
        <f>IFERROR(INDEX(tblNetflix[type],MATCH($A2164,tblNetflix[show_id],0)),"")</f>
        <v/>
      </c>
      <c r="D2164" s="19">
        <f>IFERROR(INDEX(tblNetflix[rating],MATCH($A2164,tblNetflix[show_id],0)),"")</f>
        <v/>
      </c>
      <c r="E2164" s="19">
        <f>IFERROR(INDEX(tblNetflix[year_added],MATCH($A2164,tblNetflix[show_id],0)),"")</f>
        <v/>
      </c>
      <c r="F2164" s="19">
        <f>IF(AND(OR(YearFilter="All",$E2164=YearFilter),OR(RatingFilter="All",$D2164=RatingFilter),OR(TypeFilter="All",$C2164=TypeFilter)),1,0)</f>
        <v/>
      </c>
    </row>
    <row r="2165" ht="15" customHeight="1" s="20">
      <c r="A2165" s="19" t="inlineStr">
        <is>
          <t>s6913</t>
        </is>
      </c>
      <c r="B2165" s="19" t="inlineStr">
        <is>
          <t>Music &amp; Musicals</t>
        </is>
      </c>
      <c r="C2165" s="19">
        <f>IFERROR(INDEX(tblNetflix[type],MATCH($A2165,tblNetflix[show_id],0)),"")</f>
        <v/>
      </c>
      <c r="D2165" s="19">
        <f>IFERROR(INDEX(tblNetflix[rating],MATCH($A2165,tblNetflix[show_id],0)),"")</f>
        <v/>
      </c>
      <c r="E2165" s="19">
        <f>IFERROR(INDEX(tblNetflix[year_added],MATCH($A2165,tblNetflix[show_id],0)),"")</f>
        <v/>
      </c>
      <c r="F2165" s="19">
        <f>IF(AND(OR(YearFilter="All",$E2165=YearFilter),OR(RatingFilter="All",$D2165=RatingFilter),OR(TypeFilter="All",$C2165=TypeFilter)),1,0)</f>
        <v/>
      </c>
    </row>
    <row r="2166" ht="15" customHeight="1" s="20">
      <c r="A2166" s="19" t="inlineStr">
        <is>
          <t>s6937</t>
        </is>
      </c>
      <c r="B2166" s="19" t="inlineStr">
        <is>
          <t>Action &amp; Adventure</t>
        </is>
      </c>
      <c r="C2166" s="19">
        <f>IFERROR(INDEX(tblNetflix[type],MATCH($A2166,tblNetflix[show_id],0)),"")</f>
        <v/>
      </c>
      <c r="D2166" s="19">
        <f>IFERROR(INDEX(tblNetflix[rating],MATCH($A2166,tblNetflix[show_id],0)),"")</f>
        <v/>
      </c>
      <c r="E2166" s="19">
        <f>IFERROR(INDEX(tblNetflix[year_added],MATCH($A2166,tblNetflix[show_id],0)),"")</f>
        <v/>
      </c>
      <c r="F2166" s="19">
        <f>IF(AND(OR(YearFilter="All",$E2166=YearFilter),OR(RatingFilter="All",$D2166=RatingFilter),OR(TypeFilter="All",$C2166=TypeFilter)),1,0)</f>
        <v/>
      </c>
    </row>
    <row r="2167" ht="15" customHeight="1" s="20">
      <c r="A2167" s="19" t="inlineStr">
        <is>
          <t>s6937</t>
        </is>
      </c>
      <c r="B2167" s="19" t="inlineStr">
        <is>
          <t>Comedies</t>
        </is>
      </c>
      <c r="C2167" s="19">
        <f>IFERROR(INDEX(tblNetflix[type],MATCH($A2167,tblNetflix[show_id],0)),"")</f>
        <v/>
      </c>
      <c r="D2167" s="19">
        <f>IFERROR(INDEX(tblNetflix[rating],MATCH($A2167,tblNetflix[show_id],0)),"")</f>
        <v/>
      </c>
      <c r="E2167" s="19">
        <f>IFERROR(INDEX(tblNetflix[year_added],MATCH($A2167,tblNetflix[show_id],0)),"")</f>
        <v/>
      </c>
      <c r="F2167" s="19">
        <f>IF(AND(OR(YearFilter="All",$E2167=YearFilter),OR(RatingFilter="All",$D2167=RatingFilter),OR(TypeFilter="All",$C2167=TypeFilter)),1,0)</f>
        <v/>
      </c>
    </row>
    <row r="2168" ht="15" customHeight="1" s="20">
      <c r="A2168" s="19" t="inlineStr">
        <is>
          <t>s6937</t>
        </is>
      </c>
      <c r="B2168" s="19" t="inlineStr">
        <is>
          <t>Dramas</t>
        </is>
      </c>
      <c r="C2168" s="19">
        <f>IFERROR(INDEX(tblNetflix[type],MATCH($A2168,tblNetflix[show_id],0)),"")</f>
        <v/>
      </c>
      <c r="D2168" s="19">
        <f>IFERROR(INDEX(tblNetflix[rating],MATCH($A2168,tblNetflix[show_id],0)),"")</f>
        <v/>
      </c>
      <c r="E2168" s="19">
        <f>IFERROR(INDEX(tblNetflix[year_added],MATCH($A2168,tblNetflix[show_id],0)),"")</f>
        <v/>
      </c>
      <c r="F2168" s="19">
        <f>IF(AND(OR(YearFilter="All",$E2168=YearFilter),OR(RatingFilter="All",$D2168=RatingFilter),OR(TypeFilter="All",$C2168=TypeFilter)),1,0)</f>
        <v/>
      </c>
    </row>
    <row r="2169" ht="15" customHeight="1" s="20">
      <c r="A2169" s="19" t="inlineStr">
        <is>
          <t>s6961</t>
        </is>
      </c>
      <c r="B2169" s="19" t="inlineStr">
        <is>
          <t>Action &amp; Adventure</t>
        </is>
      </c>
      <c r="C2169" s="19">
        <f>IFERROR(INDEX(tblNetflix[type],MATCH($A2169,tblNetflix[show_id],0)),"")</f>
        <v/>
      </c>
      <c r="D2169" s="19">
        <f>IFERROR(INDEX(tblNetflix[rating],MATCH($A2169,tblNetflix[show_id],0)),"")</f>
        <v/>
      </c>
      <c r="E2169" s="19">
        <f>IFERROR(INDEX(tblNetflix[year_added],MATCH($A2169,tblNetflix[show_id],0)),"")</f>
        <v/>
      </c>
      <c r="F2169" s="19">
        <f>IF(AND(OR(YearFilter="All",$E2169=YearFilter),OR(RatingFilter="All",$D2169=RatingFilter),OR(TypeFilter="All",$C2169=TypeFilter)),1,0)</f>
        <v/>
      </c>
    </row>
    <row r="2170" ht="15" customHeight="1" s="20">
      <c r="A2170" s="19" t="inlineStr">
        <is>
          <t>s6961</t>
        </is>
      </c>
      <c r="B2170" s="19" t="inlineStr">
        <is>
          <t>Comedies</t>
        </is>
      </c>
      <c r="C2170" s="19">
        <f>IFERROR(INDEX(tblNetflix[type],MATCH($A2170,tblNetflix[show_id],0)),"")</f>
        <v/>
      </c>
      <c r="D2170" s="19">
        <f>IFERROR(INDEX(tblNetflix[rating],MATCH($A2170,tblNetflix[show_id],0)),"")</f>
        <v/>
      </c>
      <c r="E2170" s="19">
        <f>IFERROR(INDEX(tblNetflix[year_added],MATCH($A2170,tblNetflix[show_id],0)),"")</f>
        <v/>
      </c>
      <c r="F2170" s="19">
        <f>IF(AND(OR(YearFilter="All",$E2170=YearFilter),OR(RatingFilter="All",$D2170=RatingFilter),OR(TypeFilter="All",$C2170=TypeFilter)),1,0)</f>
        <v/>
      </c>
    </row>
    <row r="2171" ht="15" customHeight="1" s="20">
      <c r="A2171" s="19" t="inlineStr">
        <is>
          <t>s6961</t>
        </is>
      </c>
      <c r="B2171" s="19" t="inlineStr">
        <is>
          <t>Dramas</t>
        </is>
      </c>
      <c r="C2171" s="19">
        <f>IFERROR(INDEX(tblNetflix[type],MATCH($A2171,tblNetflix[show_id],0)),"")</f>
        <v/>
      </c>
      <c r="D2171" s="19">
        <f>IFERROR(INDEX(tblNetflix[rating],MATCH($A2171,tblNetflix[show_id],0)),"")</f>
        <v/>
      </c>
      <c r="E2171" s="19">
        <f>IFERROR(INDEX(tblNetflix[year_added],MATCH($A2171,tblNetflix[show_id],0)),"")</f>
        <v/>
      </c>
      <c r="F2171" s="19">
        <f>IF(AND(OR(YearFilter="All",$E2171=YearFilter),OR(RatingFilter="All",$D2171=RatingFilter),OR(TypeFilter="All",$C2171=TypeFilter)),1,0)</f>
        <v/>
      </c>
    </row>
    <row r="2172" ht="15" customHeight="1" s="20">
      <c r="A2172" s="19" t="inlineStr">
        <is>
          <t>s6967</t>
        </is>
      </c>
      <c r="B2172" s="19" t="inlineStr">
        <is>
          <t>Horror Movies</t>
        </is>
      </c>
      <c r="C2172" s="19">
        <f>IFERROR(INDEX(tblNetflix[type],MATCH($A2172,tblNetflix[show_id],0)),"")</f>
        <v/>
      </c>
      <c r="D2172" s="19">
        <f>IFERROR(INDEX(tblNetflix[rating],MATCH($A2172,tblNetflix[show_id],0)),"")</f>
        <v/>
      </c>
      <c r="E2172" s="19">
        <f>IFERROR(INDEX(tblNetflix[year_added],MATCH($A2172,tblNetflix[show_id],0)),"")</f>
        <v/>
      </c>
      <c r="F2172" s="19">
        <f>IF(AND(OR(YearFilter="All",$E2172=YearFilter),OR(RatingFilter="All",$D2172=RatingFilter),OR(TypeFilter="All",$C2172=TypeFilter)),1,0)</f>
        <v/>
      </c>
    </row>
    <row r="2173" ht="15" customHeight="1" s="20">
      <c r="A2173" s="19" t="inlineStr">
        <is>
          <t>s6967</t>
        </is>
      </c>
      <c r="B2173" s="19" t="inlineStr">
        <is>
          <t>International Movies</t>
        </is>
      </c>
      <c r="C2173" s="19">
        <f>IFERROR(INDEX(tblNetflix[type],MATCH($A2173,tblNetflix[show_id],0)),"")</f>
        <v/>
      </c>
      <c r="D2173" s="19">
        <f>IFERROR(INDEX(tblNetflix[rating],MATCH($A2173,tblNetflix[show_id],0)),"")</f>
        <v/>
      </c>
      <c r="E2173" s="19">
        <f>IFERROR(INDEX(tblNetflix[year_added],MATCH($A2173,tblNetflix[show_id],0)),"")</f>
        <v/>
      </c>
      <c r="F2173" s="19">
        <f>IF(AND(OR(YearFilter="All",$E2173=YearFilter),OR(RatingFilter="All",$D2173=RatingFilter),OR(TypeFilter="All",$C2173=TypeFilter)),1,0)</f>
        <v/>
      </c>
    </row>
    <row r="2174" ht="15" customHeight="1" s="20">
      <c r="A2174" s="19" t="inlineStr">
        <is>
          <t>s6967</t>
        </is>
      </c>
      <c r="B2174" s="19" t="inlineStr">
        <is>
          <t>Thrillers</t>
        </is>
      </c>
      <c r="C2174" s="19">
        <f>IFERROR(INDEX(tblNetflix[type],MATCH($A2174,tblNetflix[show_id],0)),"")</f>
        <v/>
      </c>
      <c r="D2174" s="19">
        <f>IFERROR(INDEX(tblNetflix[rating],MATCH($A2174,tblNetflix[show_id],0)),"")</f>
        <v/>
      </c>
      <c r="E2174" s="19">
        <f>IFERROR(INDEX(tblNetflix[year_added],MATCH($A2174,tblNetflix[show_id],0)),"")</f>
        <v/>
      </c>
      <c r="F2174" s="19">
        <f>IF(AND(OR(YearFilter="All",$E2174=YearFilter),OR(RatingFilter="All",$D2174=RatingFilter),OR(TypeFilter="All",$C2174=TypeFilter)),1,0)</f>
        <v/>
      </c>
    </row>
    <row r="2175" ht="15" customHeight="1" s="20">
      <c r="A2175" s="19" t="inlineStr">
        <is>
          <t>s6974</t>
        </is>
      </c>
      <c r="B2175" s="19" t="inlineStr">
        <is>
          <t>Horror Movies</t>
        </is>
      </c>
      <c r="C2175" s="19">
        <f>IFERROR(INDEX(tblNetflix[type],MATCH($A2175,tblNetflix[show_id],0)),"")</f>
        <v/>
      </c>
      <c r="D2175" s="19">
        <f>IFERROR(INDEX(tblNetflix[rating],MATCH($A2175,tblNetflix[show_id],0)),"")</f>
        <v/>
      </c>
      <c r="E2175" s="19">
        <f>IFERROR(INDEX(tblNetflix[year_added],MATCH($A2175,tblNetflix[show_id],0)),"")</f>
        <v/>
      </c>
      <c r="F2175" s="19">
        <f>IF(AND(OR(YearFilter="All",$E2175=YearFilter),OR(RatingFilter="All",$D2175=RatingFilter),OR(TypeFilter="All",$C2175=TypeFilter)),1,0)</f>
        <v/>
      </c>
    </row>
    <row r="2176" ht="15" customHeight="1" s="20">
      <c r="A2176" s="19" t="inlineStr">
        <is>
          <t>s6974</t>
        </is>
      </c>
      <c r="B2176" s="19" t="inlineStr">
        <is>
          <t>International Movies</t>
        </is>
      </c>
      <c r="C2176" s="19">
        <f>IFERROR(INDEX(tblNetflix[type],MATCH($A2176,tblNetflix[show_id],0)),"")</f>
        <v/>
      </c>
      <c r="D2176" s="19">
        <f>IFERROR(INDEX(tblNetflix[rating],MATCH($A2176,tblNetflix[show_id],0)),"")</f>
        <v/>
      </c>
      <c r="E2176" s="19">
        <f>IFERROR(INDEX(tblNetflix[year_added],MATCH($A2176,tblNetflix[show_id],0)),"")</f>
        <v/>
      </c>
      <c r="F2176" s="19">
        <f>IF(AND(OR(YearFilter="All",$E2176=YearFilter),OR(RatingFilter="All",$D2176=RatingFilter),OR(TypeFilter="All",$C2176=TypeFilter)),1,0)</f>
        <v/>
      </c>
    </row>
    <row r="2177" ht="15" customHeight="1" s="20">
      <c r="A2177" s="19" t="inlineStr">
        <is>
          <t>s6974</t>
        </is>
      </c>
      <c r="B2177" s="19" t="inlineStr">
        <is>
          <t>Thrillers</t>
        </is>
      </c>
      <c r="C2177" s="19">
        <f>IFERROR(INDEX(tblNetflix[type],MATCH($A2177,tblNetflix[show_id],0)),"")</f>
        <v/>
      </c>
      <c r="D2177" s="19">
        <f>IFERROR(INDEX(tblNetflix[rating],MATCH($A2177,tblNetflix[show_id],0)),"")</f>
        <v/>
      </c>
      <c r="E2177" s="19">
        <f>IFERROR(INDEX(tblNetflix[year_added],MATCH($A2177,tblNetflix[show_id],0)),"")</f>
        <v/>
      </c>
      <c r="F2177" s="19">
        <f>IF(AND(OR(YearFilter="All",$E2177=YearFilter),OR(RatingFilter="All",$D2177=RatingFilter),OR(TypeFilter="All",$C2177=TypeFilter)),1,0)</f>
        <v/>
      </c>
    </row>
    <row r="2178" ht="15" customHeight="1" s="20">
      <c r="A2178" s="19" t="inlineStr">
        <is>
          <t>s6976</t>
        </is>
      </c>
      <c r="B2178" s="19" t="inlineStr">
        <is>
          <t>Dramas</t>
        </is>
      </c>
      <c r="C2178" s="19">
        <f>IFERROR(INDEX(tblNetflix[type],MATCH($A2178,tblNetflix[show_id],0)),"")</f>
        <v/>
      </c>
      <c r="D2178" s="19">
        <f>IFERROR(INDEX(tblNetflix[rating],MATCH($A2178,tblNetflix[show_id],0)),"")</f>
        <v/>
      </c>
      <c r="E2178" s="19">
        <f>IFERROR(INDEX(tblNetflix[year_added],MATCH($A2178,tblNetflix[show_id],0)),"")</f>
        <v/>
      </c>
      <c r="F2178" s="19">
        <f>IF(AND(OR(YearFilter="All",$E2178=YearFilter),OR(RatingFilter="All",$D2178=RatingFilter),OR(TypeFilter="All",$C2178=TypeFilter)),1,0)</f>
        <v/>
      </c>
    </row>
    <row r="2179" ht="15" customHeight="1" s="20">
      <c r="A2179" s="19" t="inlineStr">
        <is>
          <t>s6976</t>
        </is>
      </c>
      <c r="B2179" s="19" t="inlineStr">
        <is>
          <t>International Movies</t>
        </is>
      </c>
      <c r="C2179" s="19">
        <f>IFERROR(INDEX(tblNetflix[type],MATCH($A2179,tblNetflix[show_id],0)),"")</f>
        <v/>
      </c>
      <c r="D2179" s="19">
        <f>IFERROR(INDEX(tblNetflix[rating],MATCH($A2179,tblNetflix[show_id],0)),"")</f>
        <v/>
      </c>
      <c r="E2179" s="19">
        <f>IFERROR(INDEX(tblNetflix[year_added],MATCH($A2179,tblNetflix[show_id],0)),"")</f>
        <v/>
      </c>
      <c r="F2179" s="19">
        <f>IF(AND(OR(YearFilter="All",$E2179=YearFilter),OR(RatingFilter="All",$D2179=RatingFilter),OR(TypeFilter="All",$C2179=TypeFilter)),1,0)</f>
        <v/>
      </c>
    </row>
    <row r="2180" ht="15" customHeight="1" s="20">
      <c r="A2180" s="19" t="inlineStr">
        <is>
          <t>s6989</t>
        </is>
      </c>
      <c r="B2180" s="19" t="inlineStr">
        <is>
          <t>Dramas</t>
        </is>
      </c>
      <c r="C2180" s="19">
        <f>IFERROR(INDEX(tblNetflix[type],MATCH($A2180,tblNetflix[show_id],0)),"")</f>
        <v/>
      </c>
      <c r="D2180" s="19">
        <f>IFERROR(INDEX(tblNetflix[rating],MATCH($A2180,tblNetflix[show_id],0)),"")</f>
        <v/>
      </c>
      <c r="E2180" s="19">
        <f>IFERROR(INDEX(tblNetflix[year_added],MATCH($A2180,tblNetflix[show_id],0)),"")</f>
        <v/>
      </c>
      <c r="F2180" s="19">
        <f>IF(AND(OR(YearFilter="All",$E2180=YearFilter),OR(RatingFilter="All",$D2180=RatingFilter),OR(TypeFilter="All",$C2180=TypeFilter)),1,0)</f>
        <v/>
      </c>
    </row>
    <row r="2181" ht="15" customHeight="1" s="20">
      <c r="A2181" s="19" t="inlineStr">
        <is>
          <t>s6989</t>
        </is>
      </c>
      <c r="B2181" s="19" t="inlineStr">
        <is>
          <t>International Movies</t>
        </is>
      </c>
      <c r="C2181" s="19">
        <f>IFERROR(INDEX(tblNetflix[type],MATCH($A2181,tblNetflix[show_id],0)),"")</f>
        <v/>
      </c>
      <c r="D2181" s="19">
        <f>IFERROR(INDEX(tblNetflix[rating],MATCH($A2181,tblNetflix[show_id],0)),"")</f>
        <v/>
      </c>
      <c r="E2181" s="19">
        <f>IFERROR(INDEX(tblNetflix[year_added],MATCH($A2181,tblNetflix[show_id],0)),"")</f>
        <v/>
      </c>
      <c r="F2181" s="19">
        <f>IF(AND(OR(YearFilter="All",$E2181=YearFilter),OR(RatingFilter="All",$D2181=RatingFilter),OR(TypeFilter="All",$C2181=TypeFilter)),1,0)</f>
        <v/>
      </c>
    </row>
    <row r="2182" ht="15" customHeight="1" s="20">
      <c r="A2182" s="19" t="inlineStr">
        <is>
          <t>s6994</t>
        </is>
      </c>
      <c r="B2182" s="19" t="inlineStr">
        <is>
          <t>Children &amp; Family Movies</t>
        </is>
      </c>
      <c r="C2182" s="19">
        <f>IFERROR(INDEX(tblNetflix[type],MATCH($A2182,tblNetflix[show_id],0)),"")</f>
        <v/>
      </c>
      <c r="D2182" s="19">
        <f>IFERROR(INDEX(tblNetflix[rating],MATCH($A2182,tblNetflix[show_id],0)),"")</f>
        <v/>
      </c>
      <c r="E2182" s="19">
        <f>IFERROR(INDEX(tblNetflix[year_added],MATCH($A2182,tblNetflix[show_id],0)),"")</f>
        <v/>
      </c>
      <c r="F2182" s="19">
        <f>IF(AND(OR(YearFilter="All",$E2182=YearFilter),OR(RatingFilter="All",$D2182=RatingFilter),OR(TypeFilter="All",$C2182=TypeFilter)),1,0)</f>
        <v/>
      </c>
    </row>
    <row r="2183" ht="15" customHeight="1" s="20">
      <c r="A2183" s="19" t="inlineStr">
        <is>
          <t>s6994</t>
        </is>
      </c>
      <c r="B2183" s="19" t="inlineStr">
        <is>
          <t>Comedies</t>
        </is>
      </c>
      <c r="C2183" s="19">
        <f>IFERROR(INDEX(tblNetflix[type],MATCH($A2183,tblNetflix[show_id],0)),"")</f>
        <v/>
      </c>
      <c r="D2183" s="19">
        <f>IFERROR(INDEX(tblNetflix[rating],MATCH($A2183,tblNetflix[show_id],0)),"")</f>
        <v/>
      </c>
      <c r="E2183" s="19">
        <f>IFERROR(INDEX(tblNetflix[year_added],MATCH($A2183,tblNetflix[show_id],0)),"")</f>
        <v/>
      </c>
      <c r="F2183" s="19">
        <f>IF(AND(OR(YearFilter="All",$E2183=YearFilter),OR(RatingFilter="All",$D2183=RatingFilter),OR(TypeFilter="All",$C2183=TypeFilter)),1,0)</f>
        <v/>
      </c>
    </row>
    <row r="2184" ht="15" customHeight="1" s="20">
      <c r="A2184" s="19" t="inlineStr">
        <is>
          <t>s6994</t>
        </is>
      </c>
      <c r="B2184" s="19" t="inlineStr">
        <is>
          <t>Dramas</t>
        </is>
      </c>
      <c r="C2184" s="19">
        <f>IFERROR(INDEX(tblNetflix[type],MATCH($A2184,tblNetflix[show_id],0)),"")</f>
        <v/>
      </c>
      <c r="D2184" s="19">
        <f>IFERROR(INDEX(tblNetflix[rating],MATCH($A2184,tblNetflix[show_id],0)),"")</f>
        <v/>
      </c>
      <c r="E2184" s="19">
        <f>IFERROR(INDEX(tblNetflix[year_added],MATCH($A2184,tblNetflix[show_id],0)),"")</f>
        <v/>
      </c>
      <c r="F2184" s="19">
        <f>IF(AND(OR(YearFilter="All",$E2184=YearFilter),OR(RatingFilter="All",$D2184=RatingFilter),OR(TypeFilter="All",$C2184=TypeFilter)),1,0)</f>
        <v/>
      </c>
    </row>
    <row r="2185" ht="15" customHeight="1" s="20">
      <c r="A2185" s="19" t="inlineStr">
        <is>
          <t>s7000</t>
        </is>
      </c>
      <c r="B2185" s="19" t="inlineStr">
        <is>
          <t>Horror Movies</t>
        </is>
      </c>
      <c r="C2185" s="19">
        <f>IFERROR(INDEX(tblNetflix[type],MATCH($A2185,tblNetflix[show_id],0)),"")</f>
        <v/>
      </c>
      <c r="D2185" s="19">
        <f>IFERROR(INDEX(tblNetflix[rating],MATCH($A2185,tblNetflix[show_id],0)),"")</f>
        <v/>
      </c>
      <c r="E2185" s="19">
        <f>IFERROR(INDEX(tblNetflix[year_added],MATCH($A2185,tblNetflix[show_id],0)),"")</f>
        <v/>
      </c>
      <c r="F2185" s="19">
        <f>IF(AND(OR(YearFilter="All",$E2185=YearFilter),OR(RatingFilter="All",$D2185=RatingFilter),OR(TypeFilter="All",$C2185=TypeFilter)),1,0)</f>
        <v/>
      </c>
    </row>
    <row r="2186" ht="15" customHeight="1" s="20">
      <c r="A2186" s="19" t="inlineStr">
        <is>
          <t>s7000</t>
        </is>
      </c>
      <c r="B2186" s="19" t="inlineStr">
        <is>
          <t>International Movies</t>
        </is>
      </c>
      <c r="C2186" s="19">
        <f>IFERROR(INDEX(tblNetflix[type],MATCH($A2186,tblNetflix[show_id],0)),"")</f>
        <v/>
      </c>
      <c r="D2186" s="19">
        <f>IFERROR(INDEX(tblNetflix[rating],MATCH($A2186,tblNetflix[show_id],0)),"")</f>
        <v/>
      </c>
      <c r="E2186" s="19">
        <f>IFERROR(INDEX(tblNetflix[year_added],MATCH($A2186,tblNetflix[show_id],0)),"")</f>
        <v/>
      </c>
      <c r="F2186" s="19">
        <f>IF(AND(OR(YearFilter="All",$E2186=YearFilter),OR(RatingFilter="All",$D2186=RatingFilter),OR(TypeFilter="All",$C2186=TypeFilter)),1,0)</f>
        <v/>
      </c>
    </row>
    <row r="2187" ht="15" customHeight="1" s="20">
      <c r="A2187" s="19" t="inlineStr">
        <is>
          <t>s7021</t>
        </is>
      </c>
      <c r="B2187" s="19" t="inlineStr">
        <is>
          <t>Dramas</t>
        </is>
      </c>
      <c r="C2187" s="19">
        <f>IFERROR(INDEX(tblNetflix[type],MATCH($A2187,tblNetflix[show_id],0)),"")</f>
        <v/>
      </c>
      <c r="D2187" s="19">
        <f>IFERROR(INDEX(tblNetflix[rating],MATCH($A2187,tblNetflix[show_id],0)),"")</f>
        <v/>
      </c>
      <c r="E2187" s="19">
        <f>IFERROR(INDEX(tblNetflix[year_added],MATCH($A2187,tblNetflix[show_id],0)),"")</f>
        <v/>
      </c>
      <c r="F2187" s="19">
        <f>IF(AND(OR(YearFilter="All",$E2187=YearFilter),OR(RatingFilter="All",$D2187=RatingFilter),OR(TypeFilter="All",$C2187=TypeFilter)),1,0)</f>
        <v/>
      </c>
    </row>
    <row r="2188" ht="15" customHeight="1" s="20">
      <c r="A2188" s="19" t="inlineStr">
        <is>
          <t>s7021</t>
        </is>
      </c>
      <c r="B2188" s="19" t="inlineStr">
        <is>
          <t>International Movies</t>
        </is>
      </c>
      <c r="C2188" s="19">
        <f>IFERROR(INDEX(tblNetflix[type],MATCH($A2188,tblNetflix[show_id],0)),"")</f>
        <v/>
      </c>
      <c r="D2188" s="19">
        <f>IFERROR(INDEX(tblNetflix[rating],MATCH($A2188,tblNetflix[show_id],0)),"")</f>
        <v/>
      </c>
      <c r="E2188" s="19">
        <f>IFERROR(INDEX(tblNetflix[year_added],MATCH($A2188,tblNetflix[show_id],0)),"")</f>
        <v/>
      </c>
      <c r="F2188" s="19">
        <f>IF(AND(OR(YearFilter="All",$E2188=YearFilter),OR(RatingFilter="All",$D2188=RatingFilter),OR(TypeFilter="All",$C2188=TypeFilter)),1,0)</f>
        <v/>
      </c>
    </row>
    <row r="2189" ht="15" customHeight="1" s="20">
      <c r="A2189" s="19" t="inlineStr">
        <is>
          <t>s7023</t>
        </is>
      </c>
      <c r="B2189" s="19" t="inlineStr">
        <is>
          <t>Dramas</t>
        </is>
      </c>
      <c r="C2189" s="19">
        <f>IFERROR(INDEX(tblNetflix[type],MATCH($A2189,tblNetflix[show_id],0)),"")</f>
        <v/>
      </c>
      <c r="D2189" s="19">
        <f>IFERROR(INDEX(tblNetflix[rating],MATCH($A2189,tblNetflix[show_id],0)),"")</f>
        <v/>
      </c>
      <c r="E2189" s="19">
        <f>IFERROR(INDEX(tblNetflix[year_added],MATCH($A2189,tblNetflix[show_id],0)),"")</f>
        <v/>
      </c>
      <c r="F2189" s="19">
        <f>IF(AND(OR(YearFilter="All",$E2189=YearFilter),OR(RatingFilter="All",$D2189=RatingFilter),OR(TypeFilter="All",$C2189=TypeFilter)),1,0)</f>
        <v/>
      </c>
    </row>
    <row r="2190" ht="15" customHeight="1" s="20">
      <c r="A2190" s="19" t="inlineStr">
        <is>
          <t>s7023</t>
        </is>
      </c>
      <c r="B2190" s="19" t="inlineStr">
        <is>
          <t>International Movies</t>
        </is>
      </c>
      <c r="C2190" s="19">
        <f>IFERROR(INDEX(tblNetflix[type],MATCH($A2190,tblNetflix[show_id],0)),"")</f>
        <v/>
      </c>
      <c r="D2190" s="19">
        <f>IFERROR(INDEX(tblNetflix[rating],MATCH($A2190,tblNetflix[show_id],0)),"")</f>
        <v/>
      </c>
      <c r="E2190" s="19">
        <f>IFERROR(INDEX(tblNetflix[year_added],MATCH($A2190,tblNetflix[show_id],0)),"")</f>
        <v/>
      </c>
      <c r="F2190" s="19">
        <f>IF(AND(OR(YearFilter="All",$E2190=YearFilter),OR(RatingFilter="All",$D2190=RatingFilter),OR(TypeFilter="All",$C2190=TypeFilter)),1,0)</f>
        <v/>
      </c>
    </row>
    <row r="2191" ht="15" customHeight="1" s="20">
      <c r="A2191" s="19" t="inlineStr">
        <is>
          <t>s7023</t>
        </is>
      </c>
      <c r="B2191" s="19" t="inlineStr">
        <is>
          <t>Music &amp; Musicals</t>
        </is>
      </c>
      <c r="C2191" s="19">
        <f>IFERROR(INDEX(tblNetflix[type],MATCH($A2191,tblNetflix[show_id],0)),"")</f>
        <v/>
      </c>
      <c r="D2191" s="19">
        <f>IFERROR(INDEX(tblNetflix[rating],MATCH($A2191,tblNetflix[show_id],0)),"")</f>
        <v/>
      </c>
      <c r="E2191" s="19">
        <f>IFERROR(INDEX(tblNetflix[year_added],MATCH($A2191,tblNetflix[show_id],0)),"")</f>
        <v/>
      </c>
      <c r="F2191" s="19">
        <f>IF(AND(OR(YearFilter="All",$E2191=YearFilter),OR(RatingFilter="All",$D2191=RatingFilter),OR(TypeFilter="All",$C2191=TypeFilter)),1,0)</f>
        <v/>
      </c>
    </row>
    <row r="2192" ht="15" customHeight="1" s="20">
      <c r="A2192" s="19" t="inlineStr">
        <is>
          <t>s7024</t>
        </is>
      </c>
      <c r="B2192" s="19" t="inlineStr">
        <is>
          <t>International Movies</t>
        </is>
      </c>
      <c r="C2192" s="19">
        <f>IFERROR(INDEX(tblNetflix[type],MATCH($A2192,tblNetflix[show_id],0)),"")</f>
        <v/>
      </c>
      <c r="D2192" s="19">
        <f>IFERROR(INDEX(tblNetflix[rating],MATCH($A2192,tblNetflix[show_id],0)),"")</f>
        <v/>
      </c>
      <c r="E2192" s="19">
        <f>IFERROR(INDEX(tblNetflix[year_added],MATCH($A2192,tblNetflix[show_id],0)),"")</f>
        <v/>
      </c>
      <c r="F2192" s="19">
        <f>IF(AND(OR(YearFilter="All",$E2192=YearFilter),OR(RatingFilter="All",$D2192=RatingFilter),OR(TypeFilter="All",$C2192=TypeFilter)),1,0)</f>
        <v/>
      </c>
    </row>
    <row r="2193" ht="15" customHeight="1" s="20">
      <c r="A2193" s="19" t="inlineStr">
        <is>
          <t>s7024</t>
        </is>
      </c>
      <c r="B2193" s="19" t="inlineStr">
        <is>
          <t>Music &amp; Musicals</t>
        </is>
      </c>
      <c r="C2193" s="19">
        <f>IFERROR(INDEX(tblNetflix[type],MATCH($A2193,tblNetflix[show_id],0)),"")</f>
        <v/>
      </c>
      <c r="D2193" s="19">
        <f>IFERROR(INDEX(tblNetflix[rating],MATCH($A2193,tblNetflix[show_id],0)),"")</f>
        <v/>
      </c>
      <c r="E2193" s="19">
        <f>IFERROR(INDEX(tblNetflix[year_added],MATCH($A2193,tblNetflix[show_id],0)),"")</f>
        <v/>
      </c>
      <c r="F2193" s="19">
        <f>IF(AND(OR(YearFilter="All",$E2193=YearFilter),OR(RatingFilter="All",$D2193=RatingFilter),OR(TypeFilter="All",$C2193=TypeFilter)),1,0)</f>
        <v/>
      </c>
    </row>
    <row r="2194" ht="15" customHeight="1" s="20">
      <c r="A2194" s="19" t="inlineStr">
        <is>
          <t>s7024</t>
        </is>
      </c>
      <c r="B2194" s="19" t="inlineStr">
        <is>
          <t>Romantic Movies</t>
        </is>
      </c>
      <c r="C2194" s="19">
        <f>IFERROR(INDEX(tblNetflix[type],MATCH($A2194,tblNetflix[show_id],0)),"")</f>
        <v/>
      </c>
      <c r="D2194" s="19">
        <f>IFERROR(INDEX(tblNetflix[rating],MATCH($A2194,tblNetflix[show_id],0)),"")</f>
        <v/>
      </c>
      <c r="E2194" s="19">
        <f>IFERROR(INDEX(tblNetflix[year_added],MATCH($A2194,tblNetflix[show_id],0)),"")</f>
        <v/>
      </c>
      <c r="F2194" s="19">
        <f>IF(AND(OR(YearFilter="All",$E2194=YearFilter),OR(RatingFilter="All",$D2194=RatingFilter),OR(TypeFilter="All",$C2194=TypeFilter)),1,0)</f>
        <v/>
      </c>
    </row>
    <row r="2195" ht="15" customHeight="1" s="20">
      <c r="A2195" s="19" t="inlineStr">
        <is>
          <t>s7036</t>
        </is>
      </c>
      <c r="B2195" s="19" t="inlineStr">
        <is>
          <t>Dramas</t>
        </is>
      </c>
      <c r="C2195" s="19">
        <f>IFERROR(INDEX(tblNetflix[type],MATCH($A2195,tblNetflix[show_id],0)),"")</f>
        <v/>
      </c>
      <c r="D2195" s="19">
        <f>IFERROR(INDEX(tblNetflix[rating],MATCH($A2195,tblNetflix[show_id],0)),"")</f>
        <v/>
      </c>
      <c r="E2195" s="19">
        <f>IFERROR(INDEX(tblNetflix[year_added],MATCH($A2195,tblNetflix[show_id],0)),"")</f>
        <v/>
      </c>
      <c r="F2195" s="19">
        <f>IF(AND(OR(YearFilter="All",$E2195=YearFilter),OR(RatingFilter="All",$D2195=RatingFilter),OR(TypeFilter="All",$C2195=TypeFilter)),1,0)</f>
        <v/>
      </c>
    </row>
    <row r="2196" ht="15" customHeight="1" s="20">
      <c r="A2196" s="19" t="inlineStr">
        <is>
          <t>s7036</t>
        </is>
      </c>
      <c r="B2196" s="19" t="inlineStr">
        <is>
          <t>Independent Movies</t>
        </is>
      </c>
      <c r="C2196" s="19">
        <f>IFERROR(INDEX(tblNetflix[type],MATCH($A2196,tblNetflix[show_id],0)),"")</f>
        <v/>
      </c>
      <c r="D2196" s="19">
        <f>IFERROR(INDEX(tblNetflix[rating],MATCH($A2196,tblNetflix[show_id],0)),"")</f>
        <v/>
      </c>
      <c r="E2196" s="19">
        <f>IFERROR(INDEX(tblNetflix[year_added],MATCH($A2196,tblNetflix[show_id],0)),"")</f>
        <v/>
      </c>
      <c r="F2196" s="19">
        <f>IF(AND(OR(YearFilter="All",$E2196=YearFilter),OR(RatingFilter="All",$D2196=RatingFilter),OR(TypeFilter="All",$C2196=TypeFilter)),1,0)</f>
        <v/>
      </c>
    </row>
    <row r="2197" ht="15" customHeight="1" s="20">
      <c r="A2197" s="19" t="inlineStr">
        <is>
          <t>s7036</t>
        </is>
      </c>
      <c r="B2197" s="19" t="inlineStr">
        <is>
          <t>International Movies</t>
        </is>
      </c>
      <c r="C2197" s="19">
        <f>IFERROR(INDEX(tblNetflix[type],MATCH($A2197,tblNetflix[show_id],0)),"")</f>
        <v/>
      </c>
      <c r="D2197" s="19">
        <f>IFERROR(INDEX(tblNetflix[rating],MATCH($A2197,tblNetflix[show_id],0)),"")</f>
        <v/>
      </c>
      <c r="E2197" s="19">
        <f>IFERROR(INDEX(tblNetflix[year_added],MATCH($A2197,tblNetflix[show_id],0)),"")</f>
        <v/>
      </c>
      <c r="F2197" s="19">
        <f>IF(AND(OR(YearFilter="All",$E2197=YearFilter),OR(RatingFilter="All",$D2197=RatingFilter),OR(TypeFilter="All",$C2197=TypeFilter)),1,0)</f>
        <v/>
      </c>
    </row>
    <row r="2198" ht="15" customHeight="1" s="20">
      <c r="A2198" s="19" t="inlineStr">
        <is>
          <t>s7054</t>
        </is>
      </c>
      <c r="B2198" s="19" t="inlineStr">
        <is>
          <t>Comedies</t>
        </is>
      </c>
      <c r="C2198" s="19">
        <f>IFERROR(INDEX(tblNetflix[type],MATCH($A2198,tblNetflix[show_id],0)),"")</f>
        <v/>
      </c>
      <c r="D2198" s="19">
        <f>IFERROR(INDEX(tblNetflix[rating],MATCH($A2198,tblNetflix[show_id],0)),"")</f>
        <v/>
      </c>
      <c r="E2198" s="19">
        <f>IFERROR(INDEX(tblNetflix[year_added],MATCH($A2198,tblNetflix[show_id],0)),"")</f>
        <v/>
      </c>
      <c r="F2198" s="19">
        <f>IF(AND(OR(YearFilter="All",$E2198=YearFilter),OR(RatingFilter="All",$D2198=RatingFilter),OR(TypeFilter="All",$C2198=TypeFilter)),1,0)</f>
        <v/>
      </c>
    </row>
    <row r="2199" ht="15" customHeight="1" s="20">
      <c r="A2199" s="19" t="inlineStr">
        <is>
          <t>s7054</t>
        </is>
      </c>
      <c r="B2199" s="19" t="inlineStr">
        <is>
          <t>International Movies</t>
        </is>
      </c>
      <c r="C2199" s="19">
        <f>IFERROR(INDEX(tblNetflix[type],MATCH($A2199,tblNetflix[show_id],0)),"")</f>
        <v/>
      </c>
      <c r="D2199" s="19">
        <f>IFERROR(INDEX(tblNetflix[rating],MATCH($A2199,tblNetflix[show_id],0)),"")</f>
        <v/>
      </c>
      <c r="E2199" s="19">
        <f>IFERROR(INDEX(tblNetflix[year_added],MATCH($A2199,tblNetflix[show_id],0)),"")</f>
        <v/>
      </c>
      <c r="F2199" s="19">
        <f>IF(AND(OR(YearFilter="All",$E2199=YearFilter),OR(RatingFilter="All",$D2199=RatingFilter),OR(TypeFilter="All",$C2199=TypeFilter)),1,0)</f>
        <v/>
      </c>
    </row>
    <row r="2200" ht="15" customHeight="1" s="20">
      <c r="A2200" s="19" t="inlineStr">
        <is>
          <t>s7054</t>
        </is>
      </c>
      <c r="B2200" s="19" t="inlineStr">
        <is>
          <t>Romantic Movies</t>
        </is>
      </c>
      <c r="C2200" s="19">
        <f>IFERROR(INDEX(tblNetflix[type],MATCH($A2200,tblNetflix[show_id],0)),"")</f>
        <v/>
      </c>
      <c r="D2200" s="19">
        <f>IFERROR(INDEX(tblNetflix[rating],MATCH($A2200,tblNetflix[show_id],0)),"")</f>
        <v/>
      </c>
      <c r="E2200" s="19">
        <f>IFERROR(INDEX(tblNetflix[year_added],MATCH($A2200,tblNetflix[show_id],0)),"")</f>
        <v/>
      </c>
      <c r="F2200" s="19">
        <f>IF(AND(OR(YearFilter="All",$E2200=YearFilter),OR(RatingFilter="All",$D2200=RatingFilter),OR(TypeFilter="All",$C2200=TypeFilter)),1,0)</f>
        <v/>
      </c>
    </row>
    <row r="2201" ht="15" customHeight="1" s="20">
      <c r="A2201" s="19" t="inlineStr">
        <is>
          <t>s7065</t>
        </is>
      </c>
      <c r="B2201" s="19" t="inlineStr">
        <is>
          <t>Dramas</t>
        </is>
      </c>
      <c r="C2201" s="19">
        <f>IFERROR(INDEX(tblNetflix[type],MATCH($A2201,tblNetflix[show_id],0)),"")</f>
        <v/>
      </c>
      <c r="D2201" s="19">
        <f>IFERROR(INDEX(tblNetflix[rating],MATCH($A2201,tblNetflix[show_id],0)),"")</f>
        <v/>
      </c>
      <c r="E2201" s="19">
        <f>IFERROR(INDEX(tblNetflix[year_added],MATCH($A2201,tblNetflix[show_id],0)),"")</f>
        <v/>
      </c>
      <c r="F2201" s="19">
        <f>IF(AND(OR(YearFilter="All",$E2201=YearFilter),OR(RatingFilter="All",$D2201=RatingFilter),OR(TypeFilter="All",$C2201=TypeFilter)),1,0)</f>
        <v/>
      </c>
    </row>
    <row r="2202" ht="15" customHeight="1" s="20">
      <c r="A2202" s="19" t="inlineStr">
        <is>
          <t>s7065</t>
        </is>
      </c>
      <c r="B2202" s="19" t="inlineStr">
        <is>
          <t>International Movies</t>
        </is>
      </c>
      <c r="C2202" s="19">
        <f>IFERROR(INDEX(tblNetflix[type],MATCH($A2202,tblNetflix[show_id],0)),"")</f>
        <v/>
      </c>
      <c r="D2202" s="19">
        <f>IFERROR(INDEX(tblNetflix[rating],MATCH($A2202,tblNetflix[show_id],0)),"")</f>
        <v/>
      </c>
      <c r="E2202" s="19">
        <f>IFERROR(INDEX(tblNetflix[year_added],MATCH($A2202,tblNetflix[show_id],0)),"")</f>
        <v/>
      </c>
      <c r="F2202" s="19">
        <f>IF(AND(OR(YearFilter="All",$E2202=YearFilter),OR(RatingFilter="All",$D2202=RatingFilter),OR(TypeFilter="All",$C2202=TypeFilter)),1,0)</f>
        <v/>
      </c>
    </row>
    <row r="2203" ht="15" customHeight="1" s="20">
      <c r="A2203" s="19" t="inlineStr">
        <is>
          <t>s7065</t>
        </is>
      </c>
      <c r="B2203" s="19" t="inlineStr">
        <is>
          <t>Romantic Movies</t>
        </is>
      </c>
      <c r="C2203" s="19">
        <f>IFERROR(INDEX(tblNetflix[type],MATCH($A2203,tblNetflix[show_id],0)),"")</f>
        <v/>
      </c>
      <c r="D2203" s="19">
        <f>IFERROR(INDEX(tblNetflix[rating],MATCH($A2203,tblNetflix[show_id],0)),"")</f>
        <v/>
      </c>
      <c r="E2203" s="19">
        <f>IFERROR(INDEX(tblNetflix[year_added],MATCH($A2203,tblNetflix[show_id],0)),"")</f>
        <v/>
      </c>
      <c r="F2203" s="19">
        <f>IF(AND(OR(YearFilter="All",$E2203=YearFilter),OR(RatingFilter="All",$D2203=RatingFilter),OR(TypeFilter="All",$C2203=TypeFilter)),1,0)</f>
        <v/>
      </c>
    </row>
    <row r="2204" ht="15" customHeight="1" s="20">
      <c r="A2204" s="19" t="inlineStr">
        <is>
          <t>s7069</t>
        </is>
      </c>
      <c r="B2204" s="19" t="inlineStr">
        <is>
          <t>Dramas</t>
        </is>
      </c>
      <c r="C2204" s="19">
        <f>IFERROR(INDEX(tblNetflix[type],MATCH($A2204,tblNetflix[show_id],0)),"")</f>
        <v/>
      </c>
      <c r="D2204" s="19">
        <f>IFERROR(INDEX(tblNetflix[rating],MATCH($A2204,tblNetflix[show_id],0)),"")</f>
        <v/>
      </c>
      <c r="E2204" s="19">
        <f>IFERROR(INDEX(tblNetflix[year_added],MATCH($A2204,tblNetflix[show_id],0)),"")</f>
        <v/>
      </c>
      <c r="F2204" s="19">
        <f>IF(AND(OR(YearFilter="All",$E2204=YearFilter),OR(RatingFilter="All",$D2204=RatingFilter),OR(TypeFilter="All",$C2204=TypeFilter)),1,0)</f>
        <v/>
      </c>
    </row>
    <row r="2205" ht="15" customHeight="1" s="20">
      <c r="A2205" s="19" t="inlineStr">
        <is>
          <t>s7069</t>
        </is>
      </c>
      <c r="B2205" s="19" t="inlineStr">
        <is>
          <t>Independent Movies</t>
        </is>
      </c>
      <c r="C2205" s="19">
        <f>IFERROR(INDEX(tblNetflix[type],MATCH($A2205,tblNetflix[show_id],0)),"")</f>
        <v/>
      </c>
      <c r="D2205" s="19">
        <f>IFERROR(INDEX(tblNetflix[rating],MATCH($A2205,tblNetflix[show_id],0)),"")</f>
        <v/>
      </c>
      <c r="E2205" s="19">
        <f>IFERROR(INDEX(tblNetflix[year_added],MATCH($A2205,tblNetflix[show_id],0)),"")</f>
        <v/>
      </c>
      <c r="F2205" s="19">
        <f>IF(AND(OR(YearFilter="All",$E2205=YearFilter),OR(RatingFilter="All",$D2205=RatingFilter),OR(TypeFilter="All",$C2205=TypeFilter)),1,0)</f>
        <v/>
      </c>
    </row>
    <row r="2206" ht="15" customHeight="1" s="20">
      <c r="A2206" s="19" t="inlineStr">
        <is>
          <t>s7069</t>
        </is>
      </c>
      <c r="B2206" s="19" t="inlineStr">
        <is>
          <t>International Movies</t>
        </is>
      </c>
      <c r="C2206" s="19">
        <f>IFERROR(INDEX(tblNetflix[type],MATCH($A2206,tblNetflix[show_id],0)),"")</f>
        <v/>
      </c>
      <c r="D2206" s="19">
        <f>IFERROR(INDEX(tblNetflix[rating],MATCH($A2206,tblNetflix[show_id],0)),"")</f>
        <v/>
      </c>
      <c r="E2206" s="19">
        <f>IFERROR(INDEX(tblNetflix[year_added],MATCH($A2206,tblNetflix[show_id],0)),"")</f>
        <v/>
      </c>
      <c r="F2206" s="19">
        <f>IF(AND(OR(YearFilter="All",$E2206=YearFilter),OR(RatingFilter="All",$D2206=RatingFilter),OR(TypeFilter="All",$C2206=TypeFilter)),1,0)</f>
        <v/>
      </c>
    </row>
    <row r="2207" ht="15" customHeight="1" s="20">
      <c r="A2207" s="19" t="inlineStr">
        <is>
          <t>s7080</t>
        </is>
      </c>
      <c r="B2207" s="19" t="inlineStr">
        <is>
          <t>Action &amp; Adventure</t>
        </is>
      </c>
      <c r="C2207" s="19">
        <f>IFERROR(INDEX(tblNetflix[type],MATCH($A2207,tblNetflix[show_id],0)),"")</f>
        <v/>
      </c>
      <c r="D2207" s="19">
        <f>IFERROR(INDEX(tblNetflix[rating],MATCH($A2207,tblNetflix[show_id],0)),"")</f>
        <v/>
      </c>
      <c r="E2207" s="19">
        <f>IFERROR(INDEX(tblNetflix[year_added],MATCH($A2207,tblNetflix[show_id],0)),"")</f>
        <v/>
      </c>
      <c r="F2207" s="19">
        <f>IF(AND(OR(YearFilter="All",$E2207=YearFilter),OR(RatingFilter="All",$D2207=RatingFilter),OR(TypeFilter="All",$C2207=TypeFilter)),1,0)</f>
        <v/>
      </c>
    </row>
    <row r="2208" ht="15" customHeight="1" s="20">
      <c r="A2208" s="19" t="inlineStr">
        <is>
          <t>s7080</t>
        </is>
      </c>
      <c r="B2208" s="19" t="inlineStr">
        <is>
          <t>Dramas</t>
        </is>
      </c>
      <c r="C2208" s="19">
        <f>IFERROR(INDEX(tblNetflix[type],MATCH($A2208,tblNetflix[show_id],0)),"")</f>
        <v/>
      </c>
      <c r="D2208" s="19">
        <f>IFERROR(INDEX(tblNetflix[rating],MATCH($A2208,tblNetflix[show_id],0)),"")</f>
        <v/>
      </c>
      <c r="E2208" s="19">
        <f>IFERROR(INDEX(tblNetflix[year_added],MATCH($A2208,tblNetflix[show_id],0)),"")</f>
        <v/>
      </c>
      <c r="F2208" s="19">
        <f>IF(AND(OR(YearFilter="All",$E2208=YearFilter),OR(RatingFilter="All",$D2208=RatingFilter),OR(TypeFilter="All",$C2208=TypeFilter)),1,0)</f>
        <v/>
      </c>
    </row>
    <row r="2209" ht="15" customHeight="1" s="20">
      <c r="A2209" s="19" t="inlineStr">
        <is>
          <t>s7080</t>
        </is>
      </c>
      <c r="B2209" s="19" t="inlineStr">
        <is>
          <t>International Movies</t>
        </is>
      </c>
      <c r="C2209" s="19">
        <f>IFERROR(INDEX(tblNetflix[type],MATCH($A2209,tblNetflix[show_id],0)),"")</f>
        <v/>
      </c>
      <c r="D2209" s="19">
        <f>IFERROR(INDEX(tblNetflix[rating],MATCH($A2209,tblNetflix[show_id],0)),"")</f>
        <v/>
      </c>
      <c r="E2209" s="19">
        <f>IFERROR(INDEX(tblNetflix[year_added],MATCH($A2209,tblNetflix[show_id],0)),"")</f>
        <v/>
      </c>
      <c r="F2209" s="19">
        <f>IF(AND(OR(YearFilter="All",$E2209=YearFilter),OR(RatingFilter="All",$D2209=RatingFilter),OR(TypeFilter="All",$C2209=TypeFilter)),1,0)</f>
        <v/>
      </c>
    </row>
    <row r="2210" ht="15" customHeight="1" s="20">
      <c r="A2210" s="19" t="inlineStr">
        <is>
          <t>s7095</t>
        </is>
      </c>
      <c r="B2210" s="19" t="inlineStr">
        <is>
          <t>Dramas</t>
        </is>
      </c>
      <c r="C2210" s="19">
        <f>IFERROR(INDEX(tblNetflix[type],MATCH($A2210,tblNetflix[show_id],0)),"")</f>
        <v/>
      </c>
      <c r="D2210" s="19">
        <f>IFERROR(INDEX(tblNetflix[rating],MATCH($A2210,tblNetflix[show_id],0)),"")</f>
        <v/>
      </c>
      <c r="E2210" s="19">
        <f>IFERROR(INDEX(tblNetflix[year_added],MATCH($A2210,tblNetflix[show_id],0)),"")</f>
        <v/>
      </c>
      <c r="F2210" s="19">
        <f>IF(AND(OR(YearFilter="All",$E2210=YearFilter),OR(RatingFilter="All",$D2210=RatingFilter),OR(TypeFilter="All",$C2210=TypeFilter)),1,0)</f>
        <v/>
      </c>
    </row>
    <row r="2211" ht="15" customHeight="1" s="20">
      <c r="A2211" s="19" t="inlineStr">
        <is>
          <t>s7095</t>
        </is>
      </c>
      <c r="B2211" s="19" t="inlineStr">
        <is>
          <t>Independent Movies</t>
        </is>
      </c>
      <c r="C2211" s="19">
        <f>IFERROR(INDEX(tblNetflix[type],MATCH($A2211,tblNetflix[show_id],0)),"")</f>
        <v/>
      </c>
      <c r="D2211" s="19">
        <f>IFERROR(INDEX(tblNetflix[rating],MATCH($A2211,tblNetflix[show_id],0)),"")</f>
        <v/>
      </c>
      <c r="E2211" s="19">
        <f>IFERROR(INDEX(tblNetflix[year_added],MATCH($A2211,tblNetflix[show_id],0)),"")</f>
        <v/>
      </c>
      <c r="F2211" s="19">
        <f>IF(AND(OR(YearFilter="All",$E2211=YearFilter),OR(RatingFilter="All",$D2211=RatingFilter),OR(TypeFilter="All",$C2211=TypeFilter)),1,0)</f>
        <v/>
      </c>
    </row>
    <row r="2212" ht="15" customHeight="1" s="20">
      <c r="A2212" s="19" t="inlineStr">
        <is>
          <t>s7095</t>
        </is>
      </c>
      <c r="B2212" s="19" t="inlineStr">
        <is>
          <t>International Movies</t>
        </is>
      </c>
      <c r="C2212" s="19">
        <f>IFERROR(INDEX(tblNetflix[type],MATCH($A2212,tblNetflix[show_id],0)),"")</f>
        <v/>
      </c>
      <c r="D2212" s="19">
        <f>IFERROR(INDEX(tblNetflix[rating],MATCH($A2212,tblNetflix[show_id],0)),"")</f>
        <v/>
      </c>
      <c r="E2212" s="19">
        <f>IFERROR(INDEX(tblNetflix[year_added],MATCH($A2212,tblNetflix[show_id],0)),"")</f>
        <v/>
      </c>
      <c r="F2212" s="19">
        <f>IF(AND(OR(YearFilter="All",$E2212=YearFilter),OR(RatingFilter="All",$D2212=RatingFilter),OR(TypeFilter="All",$C2212=TypeFilter)),1,0)</f>
        <v/>
      </c>
    </row>
    <row r="2213" ht="15" customHeight="1" s="20">
      <c r="A2213" s="19" t="inlineStr">
        <is>
          <t>s7096</t>
        </is>
      </c>
      <c r="B2213" s="19" t="inlineStr">
        <is>
          <t>Comedies</t>
        </is>
      </c>
      <c r="C2213" s="19">
        <f>IFERROR(INDEX(tblNetflix[type],MATCH($A2213,tblNetflix[show_id],0)),"")</f>
        <v/>
      </c>
      <c r="D2213" s="19">
        <f>IFERROR(INDEX(tblNetflix[rating],MATCH($A2213,tblNetflix[show_id],0)),"")</f>
        <v/>
      </c>
      <c r="E2213" s="19">
        <f>IFERROR(INDEX(tblNetflix[year_added],MATCH($A2213,tblNetflix[show_id],0)),"")</f>
        <v/>
      </c>
      <c r="F2213" s="19">
        <f>IF(AND(OR(YearFilter="All",$E2213=YearFilter),OR(RatingFilter="All",$D2213=RatingFilter),OR(TypeFilter="All",$C2213=TypeFilter)),1,0)</f>
        <v/>
      </c>
    </row>
    <row r="2214" ht="15" customHeight="1" s="20">
      <c r="A2214" s="19" t="inlineStr">
        <is>
          <t>s7096</t>
        </is>
      </c>
      <c r="B2214" s="19" t="inlineStr">
        <is>
          <t>Dramas</t>
        </is>
      </c>
      <c r="C2214" s="19">
        <f>IFERROR(INDEX(tblNetflix[type],MATCH($A2214,tblNetflix[show_id],0)),"")</f>
        <v/>
      </c>
      <c r="D2214" s="19">
        <f>IFERROR(INDEX(tblNetflix[rating],MATCH($A2214,tblNetflix[show_id],0)),"")</f>
        <v/>
      </c>
      <c r="E2214" s="19">
        <f>IFERROR(INDEX(tblNetflix[year_added],MATCH($A2214,tblNetflix[show_id],0)),"")</f>
        <v/>
      </c>
      <c r="F2214" s="19">
        <f>IF(AND(OR(YearFilter="All",$E2214=YearFilter),OR(RatingFilter="All",$D2214=RatingFilter),OR(TypeFilter="All",$C2214=TypeFilter)),1,0)</f>
        <v/>
      </c>
    </row>
    <row r="2215" ht="15" customHeight="1" s="20">
      <c r="A2215" s="19" t="inlineStr">
        <is>
          <t>s7096</t>
        </is>
      </c>
      <c r="B2215" s="19" t="inlineStr">
        <is>
          <t>International Movies</t>
        </is>
      </c>
      <c r="C2215" s="19">
        <f>IFERROR(INDEX(tblNetflix[type],MATCH($A2215,tblNetflix[show_id],0)),"")</f>
        <v/>
      </c>
      <c r="D2215" s="19">
        <f>IFERROR(INDEX(tblNetflix[rating],MATCH($A2215,tblNetflix[show_id],0)),"")</f>
        <v/>
      </c>
      <c r="E2215" s="19">
        <f>IFERROR(INDEX(tblNetflix[year_added],MATCH($A2215,tblNetflix[show_id],0)),"")</f>
        <v/>
      </c>
      <c r="F2215" s="19">
        <f>IF(AND(OR(YearFilter="All",$E2215=YearFilter),OR(RatingFilter="All",$D2215=RatingFilter),OR(TypeFilter="All",$C2215=TypeFilter)),1,0)</f>
        <v/>
      </c>
    </row>
    <row r="2216" ht="15" customHeight="1" s="20">
      <c r="A2216" s="19" t="inlineStr">
        <is>
          <t>s7100</t>
        </is>
      </c>
      <c r="B2216" s="19" t="inlineStr">
        <is>
          <t>Dramas</t>
        </is>
      </c>
      <c r="C2216" s="19">
        <f>IFERROR(INDEX(tblNetflix[type],MATCH($A2216,tblNetflix[show_id],0)),"")</f>
        <v/>
      </c>
      <c r="D2216" s="19">
        <f>IFERROR(INDEX(tblNetflix[rating],MATCH($A2216,tblNetflix[show_id],0)),"")</f>
        <v/>
      </c>
      <c r="E2216" s="19">
        <f>IFERROR(INDEX(tblNetflix[year_added],MATCH($A2216,tblNetflix[show_id],0)),"")</f>
        <v/>
      </c>
      <c r="F2216" s="19">
        <f>IF(AND(OR(YearFilter="All",$E2216=YearFilter),OR(RatingFilter="All",$D2216=RatingFilter),OR(TypeFilter="All",$C2216=TypeFilter)),1,0)</f>
        <v/>
      </c>
    </row>
    <row r="2217" ht="15" customHeight="1" s="20">
      <c r="A2217" s="19" t="inlineStr">
        <is>
          <t>s7100</t>
        </is>
      </c>
      <c r="B2217" s="19" t="inlineStr">
        <is>
          <t>International Movies</t>
        </is>
      </c>
      <c r="C2217" s="19">
        <f>IFERROR(INDEX(tblNetflix[type],MATCH($A2217,tblNetflix[show_id],0)),"")</f>
        <v/>
      </c>
      <c r="D2217" s="19">
        <f>IFERROR(INDEX(tblNetflix[rating],MATCH($A2217,tblNetflix[show_id],0)),"")</f>
        <v/>
      </c>
      <c r="E2217" s="19">
        <f>IFERROR(INDEX(tblNetflix[year_added],MATCH($A2217,tblNetflix[show_id],0)),"")</f>
        <v/>
      </c>
      <c r="F2217" s="19">
        <f>IF(AND(OR(YearFilter="All",$E2217=YearFilter),OR(RatingFilter="All",$D2217=RatingFilter),OR(TypeFilter="All",$C2217=TypeFilter)),1,0)</f>
        <v/>
      </c>
    </row>
    <row r="2218" ht="15" customHeight="1" s="20">
      <c r="A2218" s="19" t="inlineStr">
        <is>
          <t>s7100</t>
        </is>
      </c>
      <c r="B2218" s="19" t="inlineStr">
        <is>
          <t>Romantic Movies</t>
        </is>
      </c>
      <c r="C2218" s="19">
        <f>IFERROR(INDEX(tblNetflix[type],MATCH($A2218,tblNetflix[show_id],0)),"")</f>
        <v/>
      </c>
      <c r="D2218" s="19">
        <f>IFERROR(INDEX(tblNetflix[rating],MATCH($A2218,tblNetflix[show_id],0)),"")</f>
        <v/>
      </c>
      <c r="E2218" s="19">
        <f>IFERROR(INDEX(tblNetflix[year_added],MATCH($A2218,tblNetflix[show_id],0)),"")</f>
        <v/>
      </c>
      <c r="F2218" s="19">
        <f>IF(AND(OR(YearFilter="All",$E2218=YearFilter),OR(RatingFilter="All",$D2218=RatingFilter),OR(TypeFilter="All",$C2218=TypeFilter)),1,0)</f>
        <v/>
      </c>
    </row>
    <row r="2219" ht="15" customHeight="1" s="20">
      <c r="A2219" s="19" t="inlineStr">
        <is>
          <t>s7103</t>
        </is>
      </c>
      <c r="B2219" s="19" t="inlineStr">
        <is>
          <t>Dramas</t>
        </is>
      </c>
      <c r="C2219" s="19">
        <f>IFERROR(INDEX(tblNetflix[type],MATCH($A2219,tblNetflix[show_id],0)),"")</f>
        <v/>
      </c>
      <c r="D2219" s="19">
        <f>IFERROR(INDEX(tblNetflix[rating],MATCH($A2219,tblNetflix[show_id],0)),"")</f>
        <v/>
      </c>
      <c r="E2219" s="19">
        <f>IFERROR(INDEX(tblNetflix[year_added],MATCH($A2219,tblNetflix[show_id],0)),"")</f>
        <v/>
      </c>
      <c r="F2219" s="19">
        <f>IF(AND(OR(YearFilter="All",$E2219=YearFilter),OR(RatingFilter="All",$D2219=RatingFilter),OR(TypeFilter="All",$C2219=TypeFilter)),1,0)</f>
        <v/>
      </c>
    </row>
    <row r="2220" ht="15" customHeight="1" s="20">
      <c r="A2220" s="19" t="inlineStr">
        <is>
          <t>s7103</t>
        </is>
      </c>
      <c r="B2220" s="19" t="inlineStr">
        <is>
          <t>International Movies</t>
        </is>
      </c>
      <c r="C2220" s="19">
        <f>IFERROR(INDEX(tblNetflix[type],MATCH($A2220,tblNetflix[show_id],0)),"")</f>
        <v/>
      </c>
      <c r="D2220" s="19">
        <f>IFERROR(INDEX(tblNetflix[rating],MATCH($A2220,tblNetflix[show_id],0)),"")</f>
        <v/>
      </c>
      <c r="E2220" s="19">
        <f>IFERROR(INDEX(tblNetflix[year_added],MATCH($A2220,tblNetflix[show_id],0)),"")</f>
        <v/>
      </c>
      <c r="F2220" s="19">
        <f>IF(AND(OR(YearFilter="All",$E2220=YearFilter),OR(RatingFilter="All",$D2220=RatingFilter),OR(TypeFilter="All",$C2220=TypeFilter)),1,0)</f>
        <v/>
      </c>
    </row>
    <row r="2221" ht="15" customHeight="1" s="20">
      <c r="A2221" s="19" t="inlineStr">
        <is>
          <t>s7103</t>
        </is>
      </c>
      <c r="B2221" s="19" t="inlineStr">
        <is>
          <t>Music &amp; Musicals</t>
        </is>
      </c>
      <c r="C2221" s="19">
        <f>IFERROR(INDEX(tblNetflix[type],MATCH($A2221,tblNetflix[show_id],0)),"")</f>
        <v/>
      </c>
      <c r="D2221" s="19">
        <f>IFERROR(INDEX(tblNetflix[rating],MATCH($A2221,tblNetflix[show_id],0)),"")</f>
        <v/>
      </c>
      <c r="E2221" s="19">
        <f>IFERROR(INDEX(tblNetflix[year_added],MATCH($A2221,tblNetflix[show_id],0)),"")</f>
        <v/>
      </c>
      <c r="F2221" s="19">
        <f>IF(AND(OR(YearFilter="All",$E2221=YearFilter),OR(RatingFilter="All",$D2221=RatingFilter),OR(TypeFilter="All",$C2221=TypeFilter)),1,0)</f>
        <v/>
      </c>
    </row>
    <row r="2222" ht="15" customHeight="1" s="20">
      <c r="A2222" s="19" t="inlineStr">
        <is>
          <t>s7110</t>
        </is>
      </c>
      <c r="B2222" s="19" t="inlineStr">
        <is>
          <t>Dramas</t>
        </is>
      </c>
      <c r="C2222" s="19">
        <f>IFERROR(INDEX(tblNetflix[type],MATCH($A2222,tblNetflix[show_id],0)),"")</f>
        <v/>
      </c>
      <c r="D2222" s="19">
        <f>IFERROR(INDEX(tblNetflix[rating],MATCH($A2222,tblNetflix[show_id],0)),"")</f>
        <v/>
      </c>
      <c r="E2222" s="19">
        <f>IFERROR(INDEX(tblNetflix[year_added],MATCH($A2222,tblNetflix[show_id],0)),"")</f>
        <v/>
      </c>
      <c r="F2222" s="19">
        <f>IF(AND(OR(YearFilter="All",$E2222=YearFilter),OR(RatingFilter="All",$D2222=RatingFilter),OR(TypeFilter="All",$C2222=TypeFilter)),1,0)</f>
        <v/>
      </c>
    </row>
    <row r="2223" ht="15" customHeight="1" s="20">
      <c r="A2223" s="19" t="inlineStr">
        <is>
          <t>s7110</t>
        </is>
      </c>
      <c r="B2223" s="19" t="inlineStr">
        <is>
          <t>International Movies</t>
        </is>
      </c>
      <c r="C2223" s="19">
        <f>IFERROR(INDEX(tblNetflix[type],MATCH($A2223,tblNetflix[show_id],0)),"")</f>
        <v/>
      </c>
      <c r="D2223" s="19">
        <f>IFERROR(INDEX(tblNetflix[rating],MATCH($A2223,tblNetflix[show_id],0)),"")</f>
        <v/>
      </c>
      <c r="E2223" s="19">
        <f>IFERROR(INDEX(tblNetflix[year_added],MATCH($A2223,tblNetflix[show_id],0)),"")</f>
        <v/>
      </c>
      <c r="F2223" s="19">
        <f>IF(AND(OR(YearFilter="All",$E2223=YearFilter),OR(RatingFilter="All",$D2223=RatingFilter),OR(TypeFilter="All",$C2223=TypeFilter)),1,0)</f>
        <v/>
      </c>
    </row>
    <row r="2224" ht="15" customHeight="1" s="20">
      <c r="A2224" s="19" t="inlineStr">
        <is>
          <t>s7110</t>
        </is>
      </c>
      <c r="B2224" s="19" t="inlineStr">
        <is>
          <t>Romantic Movies</t>
        </is>
      </c>
      <c r="C2224" s="19">
        <f>IFERROR(INDEX(tblNetflix[type],MATCH($A2224,tblNetflix[show_id],0)),"")</f>
        <v/>
      </c>
      <c r="D2224" s="19">
        <f>IFERROR(INDEX(tblNetflix[rating],MATCH($A2224,tblNetflix[show_id],0)),"")</f>
        <v/>
      </c>
      <c r="E2224" s="19">
        <f>IFERROR(INDEX(tblNetflix[year_added],MATCH($A2224,tblNetflix[show_id],0)),"")</f>
        <v/>
      </c>
      <c r="F2224" s="19">
        <f>IF(AND(OR(YearFilter="All",$E2224=YearFilter),OR(RatingFilter="All",$D2224=RatingFilter),OR(TypeFilter="All",$C2224=TypeFilter)),1,0)</f>
        <v/>
      </c>
    </row>
    <row r="2225" ht="15" customHeight="1" s="20">
      <c r="A2225" s="19" t="inlineStr">
        <is>
          <t>s7116</t>
        </is>
      </c>
      <c r="B2225" s="19" t="inlineStr">
        <is>
          <t>Dramas</t>
        </is>
      </c>
      <c r="C2225" s="19">
        <f>IFERROR(INDEX(tblNetflix[type],MATCH($A2225,tblNetflix[show_id],0)),"")</f>
        <v/>
      </c>
      <c r="D2225" s="19">
        <f>IFERROR(INDEX(tblNetflix[rating],MATCH($A2225,tblNetflix[show_id],0)),"")</f>
        <v/>
      </c>
      <c r="E2225" s="19">
        <f>IFERROR(INDEX(tblNetflix[year_added],MATCH($A2225,tblNetflix[show_id],0)),"")</f>
        <v/>
      </c>
      <c r="F2225" s="19">
        <f>IF(AND(OR(YearFilter="All",$E2225=YearFilter),OR(RatingFilter="All",$D2225=RatingFilter),OR(TypeFilter="All",$C2225=TypeFilter)),1,0)</f>
        <v/>
      </c>
    </row>
    <row r="2226" ht="15" customHeight="1" s="20">
      <c r="A2226" s="19" t="inlineStr">
        <is>
          <t>s7116</t>
        </is>
      </c>
      <c r="B2226" s="19" t="inlineStr">
        <is>
          <t>International Movies</t>
        </is>
      </c>
      <c r="C2226" s="19">
        <f>IFERROR(INDEX(tblNetflix[type],MATCH($A2226,tblNetflix[show_id],0)),"")</f>
        <v/>
      </c>
      <c r="D2226" s="19">
        <f>IFERROR(INDEX(tblNetflix[rating],MATCH($A2226,tblNetflix[show_id],0)),"")</f>
        <v/>
      </c>
      <c r="E2226" s="19">
        <f>IFERROR(INDEX(tblNetflix[year_added],MATCH($A2226,tblNetflix[show_id],0)),"")</f>
        <v/>
      </c>
      <c r="F2226" s="19">
        <f>IF(AND(OR(YearFilter="All",$E2226=YearFilter),OR(RatingFilter="All",$D2226=RatingFilter),OR(TypeFilter="All",$C2226=TypeFilter)),1,0)</f>
        <v/>
      </c>
    </row>
    <row r="2227" ht="15" customHeight="1" s="20">
      <c r="A2227" s="19" t="inlineStr">
        <is>
          <t>s7118</t>
        </is>
      </c>
      <c r="B2227" s="19" t="inlineStr">
        <is>
          <t>Dramas</t>
        </is>
      </c>
      <c r="C2227" s="19">
        <f>IFERROR(INDEX(tblNetflix[type],MATCH($A2227,tblNetflix[show_id],0)),"")</f>
        <v/>
      </c>
      <c r="D2227" s="19">
        <f>IFERROR(INDEX(tblNetflix[rating],MATCH($A2227,tblNetflix[show_id],0)),"")</f>
        <v/>
      </c>
      <c r="E2227" s="19">
        <f>IFERROR(INDEX(tblNetflix[year_added],MATCH($A2227,tblNetflix[show_id],0)),"")</f>
        <v/>
      </c>
      <c r="F2227" s="19">
        <f>IF(AND(OR(YearFilter="All",$E2227=YearFilter),OR(RatingFilter="All",$D2227=RatingFilter),OR(TypeFilter="All",$C2227=TypeFilter)),1,0)</f>
        <v/>
      </c>
    </row>
    <row r="2228" ht="15" customHeight="1" s="20">
      <c r="A2228" s="19" t="inlineStr">
        <is>
          <t>s7118</t>
        </is>
      </c>
      <c r="B2228" s="19" t="inlineStr">
        <is>
          <t>Independent Movies</t>
        </is>
      </c>
      <c r="C2228" s="19">
        <f>IFERROR(INDEX(tblNetflix[type],MATCH($A2228,tblNetflix[show_id],0)),"")</f>
        <v/>
      </c>
      <c r="D2228" s="19">
        <f>IFERROR(INDEX(tblNetflix[rating],MATCH($A2228,tblNetflix[show_id],0)),"")</f>
        <v/>
      </c>
      <c r="E2228" s="19">
        <f>IFERROR(INDEX(tblNetflix[year_added],MATCH($A2228,tblNetflix[show_id],0)),"")</f>
        <v/>
      </c>
      <c r="F2228" s="19">
        <f>IF(AND(OR(YearFilter="All",$E2228=YearFilter),OR(RatingFilter="All",$D2228=RatingFilter),OR(TypeFilter="All",$C2228=TypeFilter)),1,0)</f>
        <v/>
      </c>
    </row>
    <row r="2229" ht="15" customHeight="1" s="20">
      <c r="A2229" s="19" t="inlineStr">
        <is>
          <t>s7118</t>
        </is>
      </c>
      <c r="B2229" s="19" t="inlineStr">
        <is>
          <t>International Movies</t>
        </is>
      </c>
      <c r="C2229" s="19">
        <f>IFERROR(INDEX(tblNetflix[type],MATCH($A2229,tblNetflix[show_id],0)),"")</f>
        <v/>
      </c>
      <c r="D2229" s="19">
        <f>IFERROR(INDEX(tblNetflix[rating],MATCH($A2229,tblNetflix[show_id],0)),"")</f>
        <v/>
      </c>
      <c r="E2229" s="19">
        <f>IFERROR(INDEX(tblNetflix[year_added],MATCH($A2229,tblNetflix[show_id],0)),"")</f>
        <v/>
      </c>
      <c r="F2229" s="19">
        <f>IF(AND(OR(YearFilter="All",$E2229=YearFilter),OR(RatingFilter="All",$D2229=RatingFilter),OR(TypeFilter="All",$C2229=TypeFilter)),1,0)</f>
        <v/>
      </c>
    </row>
    <row r="2230" ht="15" customHeight="1" s="20">
      <c r="A2230" s="19" t="inlineStr">
        <is>
          <t>s7119</t>
        </is>
      </c>
      <c r="B2230" s="19" t="inlineStr">
        <is>
          <t>Dramas</t>
        </is>
      </c>
      <c r="C2230" s="19">
        <f>IFERROR(INDEX(tblNetflix[type],MATCH($A2230,tblNetflix[show_id],0)),"")</f>
        <v/>
      </c>
      <c r="D2230" s="19">
        <f>IFERROR(INDEX(tblNetflix[rating],MATCH($A2230,tblNetflix[show_id],0)),"")</f>
        <v/>
      </c>
      <c r="E2230" s="19">
        <f>IFERROR(INDEX(tblNetflix[year_added],MATCH($A2230,tblNetflix[show_id],0)),"")</f>
        <v/>
      </c>
      <c r="F2230" s="19">
        <f>IF(AND(OR(YearFilter="All",$E2230=YearFilter),OR(RatingFilter="All",$D2230=RatingFilter),OR(TypeFilter="All",$C2230=TypeFilter)),1,0)</f>
        <v/>
      </c>
    </row>
    <row r="2231" ht="15" customHeight="1" s="20">
      <c r="A2231" s="19" t="inlineStr">
        <is>
          <t>s7119</t>
        </is>
      </c>
      <c r="B2231" s="19" t="inlineStr">
        <is>
          <t>Independent Movies</t>
        </is>
      </c>
      <c r="C2231" s="19">
        <f>IFERROR(INDEX(tblNetflix[type],MATCH($A2231,tblNetflix[show_id],0)),"")</f>
        <v/>
      </c>
      <c r="D2231" s="19">
        <f>IFERROR(INDEX(tblNetflix[rating],MATCH($A2231,tblNetflix[show_id],0)),"")</f>
        <v/>
      </c>
      <c r="E2231" s="19">
        <f>IFERROR(INDEX(tblNetflix[year_added],MATCH($A2231,tblNetflix[show_id],0)),"")</f>
        <v/>
      </c>
      <c r="F2231" s="19">
        <f>IF(AND(OR(YearFilter="All",$E2231=YearFilter),OR(RatingFilter="All",$D2231=RatingFilter),OR(TypeFilter="All",$C2231=TypeFilter)),1,0)</f>
        <v/>
      </c>
    </row>
    <row r="2232" ht="15" customHeight="1" s="20">
      <c r="A2232" s="19" t="inlineStr">
        <is>
          <t>s7119</t>
        </is>
      </c>
      <c r="B2232" s="19" t="inlineStr">
        <is>
          <t>International Movies</t>
        </is>
      </c>
      <c r="C2232" s="19">
        <f>IFERROR(INDEX(tblNetflix[type],MATCH($A2232,tblNetflix[show_id],0)),"")</f>
        <v/>
      </c>
      <c r="D2232" s="19">
        <f>IFERROR(INDEX(tblNetflix[rating],MATCH($A2232,tblNetflix[show_id],0)),"")</f>
        <v/>
      </c>
      <c r="E2232" s="19">
        <f>IFERROR(INDEX(tblNetflix[year_added],MATCH($A2232,tblNetflix[show_id],0)),"")</f>
        <v/>
      </c>
      <c r="F2232" s="19">
        <f>IF(AND(OR(YearFilter="All",$E2232=YearFilter),OR(RatingFilter="All",$D2232=RatingFilter),OR(TypeFilter="All",$C2232=TypeFilter)),1,0)</f>
        <v/>
      </c>
    </row>
    <row r="2233" ht="15" customHeight="1" s="20">
      <c r="A2233" s="19" t="inlineStr">
        <is>
          <t>s7130</t>
        </is>
      </c>
      <c r="B2233" s="19" t="inlineStr">
        <is>
          <t>International TV Shows</t>
        </is>
      </c>
      <c r="C2233" s="19">
        <f>IFERROR(INDEX(tblNetflix[type],MATCH($A2233,tblNetflix[show_id],0)),"")</f>
        <v/>
      </c>
      <c r="D2233" s="19">
        <f>IFERROR(INDEX(tblNetflix[rating],MATCH($A2233,tblNetflix[show_id],0)),"")</f>
        <v/>
      </c>
      <c r="E2233" s="19">
        <f>IFERROR(INDEX(tblNetflix[year_added],MATCH($A2233,tblNetflix[show_id],0)),"")</f>
        <v/>
      </c>
      <c r="F2233" s="19">
        <f>IF(AND(OR(YearFilter="All",$E2233=YearFilter),OR(RatingFilter="All",$D2233=RatingFilter),OR(TypeFilter="All",$C2233=TypeFilter)),1,0)</f>
        <v/>
      </c>
    </row>
    <row r="2234" ht="15" customHeight="1" s="20">
      <c r="A2234" s="19" t="inlineStr">
        <is>
          <t>s7130</t>
        </is>
      </c>
      <c r="B2234" s="19" t="inlineStr">
        <is>
          <t>TV Dramas</t>
        </is>
      </c>
      <c r="C2234" s="19">
        <f>IFERROR(INDEX(tblNetflix[type],MATCH($A2234,tblNetflix[show_id],0)),"")</f>
        <v/>
      </c>
      <c r="D2234" s="19">
        <f>IFERROR(INDEX(tblNetflix[rating],MATCH($A2234,tblNetflix[show_id],0)),"")</f>
        <v/>
      </c>
      <c r="E2234" s="19">
        <f>IFERROR(INDEX(tblNetflix[year_added],MATCH($A2234,tblNetflix[show_id],0)),"")</f>
        <v/>
      </c>
      <c r="F2234" s="19">
        <f>IF(AND(OR(YearFilter="All",$E2234=YearFilter),OR(RatingFilter="All",$D2234=RatingFilter),OR(TypeFilter="All",$C2234=TypeFilter)),1,0)</f>
        <v/>
      </c>
    </row>
    <row r="2235" ht="15" customHeight="1" s="20">
      <c r="A2235" s="19" t="inlineStr">
        <is>
          <t>s7136</t>
        </is>
      </c>
      <c r="B2235" s="19" t="inlineStr">
        <is>
          <t>Documentaries</t>
        </is>
      </c>
      <c r="C2235" s="19">
        <f>IFERROR(INDEX(tblNetflix[type],MATCH($A2235,tblNetflix[show_id],0)),"")</f>
        <v/>
      </c>
      <c r="D2235" s="19">
        <f>IFERROR(INDEX(tblNetflix[rating],MATCH($A2235,tblNetflix[show_id],0)),"")</f>
        <v/>
      </c>
      <c r="E2235" s="19">
        <f>IFERROR(INDEX(tblNetflix[year_added],MATCH($A2235,tblNetflix[show_id],0)),"")</f>
        <v/>
      </c>
      <c r="F2235" s="19">
        <f>IF(AND(OR(YearFilter="All",$E2235=YearFilter),OR(RatingFilter="All",$D2235=RatingFilter),OR(TypeFilter="All",$C2235=TypeFilter)),1,0)</f>
        <v/>
      </c>
    </row>
    <row r="2236" ht="15" customHeight="1" s="20">
      <c r="A2236" s="19" t="inlineStr">
        <is>
          <t>s7136</t>
        </is>
      </c>
      <c r="B2236" s="19" t="inlineStr">
        <is>
          <t>International Movies</t>
        </is>
      </c>
      <c r="C2236" s="19">
        <f>IFERROR(INDEX(tblNetflix[type],MATCH($A2236,tblNetflix[show_id],0)),"")</f>
        <v/>
      </c>
      <c r="D2236" s="19">
        <f>IFERROR(INDEX(tblNetflix[rating],MATCH($A2236,tblNetflix[show_id],0)),"")</f>
        <v/>
      </c>
      <c r="E2236" s="19">
        <f>IFERROR(INDEX(tblNetflix[year_added],MATCH($A2236,tblNetflix[show_id],0)),"")</f>
        <v/>
      </c>
      <c r="F2236" s="19">
        <f>IF(AND(OR(YearFilter="All",$E2236=YearFilter),OR(RatingFilter="All",$D2236=RatingFilter),OR(TypeFilter="All",$C2236=TypeFilter)),1,0)</f>
        <v/>
      </c>
    </row>
    <row r="2237" ht="15" customHeight="1" s="20">
      <c r="A2237" s="19" t="inlineStr">
        <is>
          <t>s7138</t>
        </is>
      </c>
      <c r="B2237" s="19" t="inlineStr">
        <is>
          <t>International Movies</t>
        </is>
      </c>
      <c r="C2237" s="19">
        <f>IFERROR(INDEX(tblNetflix[type],MATCH($A2237,tblNetflix[show_id],0)),"")</f>
        <v/>
      </c>
      <c r="D2237" s="19">
        <f>IFERROR(INDEX(tblNetflix[rating],MATCH($A2237,tblNetflix[show_id],0)),"")</f>
        <v/>
      </c>
      <c r="E2237" s="19">
        <f>IFERROR(INDEX(tblNetflix[year_added],MATCH($A2237,tblNetflix[show_id],0)),"")</f>
        <v/>
      </c>
      <c r="F2237" s="19">
        <f>IF(AND(OR(YearFilter="All",$E2237=YearFilter),OR(RatingFilter="All",$D2237=RatingFilter),OR(TypeFilter="All",$C2237=TypeFilter)),1,0)</f>
        <v/>
      </c>
    </row>
    <row r="2238" ht="15" customHeight="1" s="20">
      <c r="A2238" s="19" t="inlineStr">
        <is>
          <t>s7138</t>
        </is>
      </c>
      <c r="B2238" s="19" t="inlineStr">
        <is>
          <t>Thrillers</t>
        </is>
      </c>
      <c r="C2238" s="19">
        <f>IFERROR(INDEX(tblNetflix[type],MATCH($A2238,tblNetflix[show_id],0)),"")</f>
        <v/>
      </c>
      <c r="D2238" s="19">
        <f>IFERROR(INDEX(tblNetflix[rating],MATCH($A2238,tblNetflix[show_id],0)),"")</f>
        <v/>
      </c>
      <c r="E2238" s="19">
        <f>IFERROR(INDEX(tblNetflix[year_added],MATCH($A2238,tblNetflix[show_id],0)),"")</f>
        <v/>
      </c>
      <c r="F2238" s="19">
        <f>IF(AND(OR(YearFilter="All",$E2238=YearFilter),OR(RatingFilter="All",$D2238=RatingFilter),OR(TypeFilter="All",$C2238=TypeFilter)),1,0)</f>
        <v/>
      </c>
    </row>
    <row r="2239" ht="15" customHeight="1" s="20">
      <c r="A2239" s="19" t="inlineStr">
        <is>
          <t>s7142</t>
        </is>
      </c>
      <c r="B2239" s="19" t="inlineStr">
        <is>
          <t>Action &amp; Adventure</t>
        </is>
      </c>
      <c r="C2239" s="19">
        <f>IFERROR(INDEX(tblNetflix[type],MATCH($A2239,tblNetflix[show_id],0)),"")</f>
        <v/>
      </c>
      <c r="D2239" s="19">
        <f>IFERROR(INDEX(tblNetflix[rating],MATCH($A2239,tblNetflix[show_id],0)),"")</f>
        <v/>
      </c>
      <c r="E2239" s="19">
        <f>IFERROR(INDEX(tblNetflix[year_added],MATCH($A2239,tblNetflix[show_id],0)),"")</f>
        <v/>
      </c>
      <c r="F2239" s="19">
        <f>IF(AND(OR(YearFilter="All",$E2239=YearFilter),OR(RatingFilter="All",$D2239=RatingFilter),OR(TypeFilter="All",$C2239=TypeFilter)),1,0)</f>
        <v/>
      </c>
    </row>
    <row r="2240" ht="15" customHeight="1" s="20">
      <c r="A2240" s="19" t="inlineStr">
        <is>
          <t>s7142</t>
        </is>
      </c>
      <c r="B2240" s="19" t="inlineStr">
        <is>
          <t>International Movies</t>
        </is>
      </c>
      <c r="C2240" s="19">
        <f>IFERROR(INDEX(tblNetflix[type],MATCH($A2240,tblNetflix[show_id],0)),"")</f>
        <v/>
      </c>
      <c r="D2240" s="19">
        <f>IFERROR(INDEX(tblNetflix[rating],MATCH($A2240,tblNetflix[show_id],0)),"")</f>
        <v/>
      </c>
      <c r="E2240" s="19">
        <f>IFERROR(INDEX(tblNetflix[year_added],MATCH($A2240,tblNetflix[show_id],0)),"")</f>
        <v/>
      </c>
      <c r="F2240" s="19">
        <f>IF(AND(OR(YearFilter="All",$E2240=YearFilter),OR(RatingFilter="All",$D2240=RatingFilter),OR(TypeFilter="All",$C2240=TypeFilter)),1,0)</f>
        <v/>
      </c>
    </row>
    <row r="2241" ht="15" customHeight="1" s="20">
      <c r="A2241" s="19" t="inlineStr">
        <is>
          <t>s7145</t>
        </is>
      </c>
      <c r="B2241" s="19" t="inlineStr">
        <is>
          <t>Comedies</t>
        </is>
      </c>
      <c r="C2241" s="19">
        <f>IFERROR(INDEX(tblNetflix[type],MATCH($A2241,tblNetflix[show_id],0)),"")</f>
        <v/>
      </c>
      <c r="D2241" s="19">
        <f>IFERROR(INDEX(tblNetflix[rating],MATCH($A2241,tblNetflix[show_id],0)),"")</f>
        <v/>
      </c>
      <c r="E2241" s="19">
        <f>IFERROR(INDEX(tblNetflix[year_added],MATCH($A2241,tblNetflix[show_id],0)),"")</f>
        <v/>
      </c>
      <c r="F2241" s="19">
        <f>IF(AND(OR(YearFilter="All",$E2241=YearFilter),OR(RatingFilter="All",$D2241=RatingFilter),OR(TypeFilter="All",$C2241=TypeFilter)),1,0)</f>
        <v/>
      </c>
    </row>
    <row r="2242" ht="15" customHeight="1" s="20">
      <c r="A2242" s="19" t="inlineStr">
        <is>
          <t>s7145</t>
        </is>
      </c>
      <c r="B2242" s="19" t="inlineStr">
        <is>
          <t>International Movies</t>
        </is>
      </c>
      <c r="C2242" s="19">
        <f>IFERROR(INDEX(tblNetflix[type],MATCH($A2242,tblNetflix[show_id],0)),"")</f>
        <v/>
      </c>
      <c r="D2242" s="19">
        <f>IFERROR(INDEX(tblNetflix[rating],MATCH($A2242,tblNetflix[show_id],0)),"")</f>
        <v/>
      </c>
      <c r="E2242" s="19">
        <f>IFERROR(INDEX(tblNetflix[year_added],MATCH($A2242,tblNetflix[show_id],0)),"")</f>
        <v/>
      </c>
      <c r="F2242" s="19">
        <f>IF(AND(OR(YearFilter="All",$E2242=YearFilter),OR(RatingFilter="All",$D2242=RatingFilter),OR(TypeFilter="All",$C2242=TypeFilter)),1,0)</f>
        <v/>
      </c>
    </row>
    <row r="2243" ht="15" customHeight="1" s="20">
      <c r="A2243" s="19" t="inlineStr">
        <is>
          <t>s7145</t>
        </is>
      </c>
      <c r="B2243" s="19" t="inlineStr">
        <is>
          <t>Romantic Movies</t>
        </is>
      </c>
      <c r="C2243" s="19">
        <f>IFERROR(INDEX(tblNetflix[type],MATCH($A2243,tblNetflix[show_id],0)),"")</f>
        <v/>
      </c>
      <c r="D2243" s="19">
        <f>IFERROR(INDEX(tblNetflix[rating],MATCH($A2243,tblNetflix[show_id],0)),"")</f>
        <v/>
      </c>
      <c r="E2243" s="19">
        <f>IFERROR(INDEX(tblNetflix[year_added],MATCH($A2243,tblNetflix[show_id],0)),"")</f>
        <v/>
      </c>
      <c r="F2243" s="19">
        <f>IF(AND(OR(YearFilter="All",$E2243=YearFilter),OR(RatingFilter="All",$D2243=RatingFilter),OR(TypeFilter="All",$C2243=TypeFilter)),1,0)</f>
        <v/>
      </c>
    </row>
    <row r="2244" ht="15" customHeight="1" s="20">
      <c r="A2244" s="19" t="inlineStr">
        <is>
          <t>s7159</t>
        </is>
      </c>
      <c r="B2244" s="19" t="inlineStr">
        <is>
          <t>Dramas</t>
        </is>
      </c>
      <c r="C2244" s="19">
        <f>IFERROR(INDEX(tblNetflix[type],MATCH($A2244,tblNetflix[show_id],0)),"")</f>
        <v/>
      </c>
      <c r="D2244" s="19">
        <f>IFERROR(INDEX(tblNetflix[rating],MATCH($A2244,tblNetflix[show_id],0)),"")</f>
        <v/>
      </c>
      <c r="E2244" s="19">
        <f>IFERROR(INDEX(tblNetflix[year_added],MATCH($A2244,tblNetflix[show_id],0)),"")</f>
        <v/>
      </c>
      <c r="F2244" s="19">
        <f>IF(AND(OR(YearFilter="All",$E2244=YearFilter),OR(RatingFilter="All",$D2244=RatingFilter),OR(TypeFilter="All",$C2244=TypeFilter)),1,0)</f>
        <v/>
      </c>
    </row>
    <row r="2245" ht="15" customHeight="1" s="20">
      <c r="A2245" s="19" t="inlineStr">
        <is>
          <t>s7159</t>
        </is>
      </c>
      <c r="B2245" s="19" t="inlineStr">
        <is>
          <t>International Movies</t>
        </is>
      </c>
      <c r="C2245" s="19">
        <f>IFERROR(INDEX(tblNetflix[type],MATCH($A2245,tblNetflix[show_id],0)),"")</f>
        <v/>
      </c>
      <c r="D2245" s="19">
        <f>IFERROR(INDEX(tblNetflix[rating],MATCH($A2245,tblNetflix[show_id],0)),"")</f>
        <v/>
      </c>
      <c r="E2245" s="19">
        <f>IFERROR(INDEX(tblNetflix[year_added],MATCH($A2245,tblNetflix[show_id],0)),"")</f>
        <v/>
      </c>
      <c r="F2245" s="19">
        <f>IF(AND(OR(YearFilter="All",$E2245=YearFilter),OR(RatingFilter="All",$D2245=RatingFilter),OR(TypeFilter="All",$C2245=TypeFilter)),1,0)</f>
        <v/>
      </c>
    </row>
    <row r="2246" ht="15" customHeight="1" s="20">
      <c r="A2246" s="19" t="inlineStr">
        <is>
          <t>s7160</t>
        </is>
      </c>
      <c r="B2246" s="19" t="inlineStr">
        <is>
          <t>Dramas</t>
        </is>
      </c>
      <c r="C2246" s="19">
        <f>IFERROR(INDEX(tblNetflix[type],MATCH($A2246,tblNetflix[show_id],0)),"")</f>
        <v/>
      </c>
      <c r="D2246" s="19">
        <f>IFERROR(INDEX(tblNetflix[rating],MATCH($A2246,tblNetflix[show_id],0)),"")</f>
        <v/>
      </c>
      <c r="E2246" s="19">
        <f>IFERROR(INDEX(tblNetflix[year_added],MATCH($A2246,tblNetflix[show_id],0)),"")</f>
        <v/>
      </c>
      <c r="F2246" s="19">
        <f>IF(AND(OR(YearFilter="All",$E2246=YearFilter),OR(RatingFilter="All",$D2246=RatingFilter),OR(TypeFilter="All",$C2246=TypeFilter)),1,0)</f>
        <v/>
      </c>
    </row>
    <row r="2247" ht="15" customHeight="1" s="20">
      <c r="A2247" s="19" t="inlineStr">
        <is>
          <t>s7160</t>
        </is>
      </c>
      <c r="B2247" s="19" t="inlineStr">
        <is>
          <t>International Movies</t>
        </is>
      </c>
      <c r="C2247" s="19">
        <f>IFERROR(INDEX(tblNetflix[type],MATCH($A2247,tblNetflix[show_id],0)),"")</f>
        <v/>
      </c>
      <c r="D2247" s="19">
        <f>IFERROR(INDEX(tblNetflix[rating],MATCH($A2247,tblNetflix[show_id],0)),"")</f>
        <v/>
      </c>
      <c r="E2247" s="19">
        <f>IFERROR(INDEX(tblNetflix[year_added],MATCH($A2247,tblNetflix[show_id],0)),"")</f>
        <v/>
      </c>
      <c r="F2247" s="19">
        <f>IF(AND(OR(YearFilter="All",$E2247=YearFilter),OR(RatingFilter="All",$D2247=RatingFilter),OR(TypeFilter="All",$C2247=TypeFilter)),1,0)</f>
        <v/>
      </c>
    </row>
    <row r="2248" ht="15" customHeight="1" s="20">
      <c r="A2248" s="19" t="inlineStr">
        <is>
          <t>s7160</t>
        </is>
      </c>
      <c r="B2248" s="19" t="inlineStr">
        <is>
          <t>Romantic Movies</t>
        </is>
      </c>
      <c r="C2248" s="19">
        <f>IFERROR(INDEX(tblNetflix[type],MATCH($A2248,tblNetflix[show_id],0)),"")</f>
        <v/>
      </c>
      <c r="D2248" s="19">
        <f>IFERROR(INDEX(tblNetflix[rating],MATCH($A2248,tblNetflix[show_id],0)),"")</f>
        <v/>
      </c>
      <c r="E2248" s="19">
        <f>IFERROR(INDEX(tblNetflix[year_added],MATCH($A2248,tblNetflix[show_id],0)),"")</f>
        <v/>
      </c>
      <c r="F2248" s="19">
        <f>IF(AND(OR(YearFilter="All",$E2248=YearFilter),OR(RatingFilter="All",$D2248=RatingFilter),OR(TypeFilter="All",$C2248=TypeFilter)),1,0)</f>
        <v/>
      </c>
    </row>
    <row r="2249" ht="15" customHeight="1" s="20">
      <c r="A2249" s="19" t="inlineStr">
        <is>
          <t>s7161</t>
        </is>
      </c>
      <c r="B2249" s="19" t="inlineStr">
        <is>
          <t>Action &amp; Adventure</t>
        </is>
      </c>
      <c r="C2249" s="19">
        <f>IFERROR(INDEX(tblNetflix[type],MATCH($A2249,tblNetflix[show_id],0)),"")</f>
        <v/>
      </c>
      <c r="D2249" s="19">
        <f>IFERROR(INDEX(tblNetflix[rating],MATCH($A2249,tblNetflix[show_id],0)),"")</f>
        <v/>
      </c>
      <c r="E2249" s="19">
        <f>IFERROR(INDEX(tblNetflix[year_added],MATCH($A2249,tblNetflix[show_id],0)),"")</f>
        <v/>
      </c>
      <c r="F2249" s="19">
        <f>IF(AND(OR(YearFilter="All",$E2249=YearFilter),OR(RatingFilter="All",$D2249=RatingFilter),OR(TypeFilter="All",$C2249=TypeFilter)),1,0)</f>
        <v/>
      </c>
    </row>
    <row r="2250" ht="15" customHeight="1" s="20">
      <c r="A2250" s="19" t="inlineStr">
        <is>
          <t>s7161</t>
        </is>
      </c>
      <c r="B2250" s="19" t="inlineStr">
        <is>
          <t>Dramas</t>
        </is>
      </c>
      <c r="C2250" s="19">
        <f>IFERROR(INDEX(tblNetflix[type],MATCH($A2250,tblNetflix[show_id],0)),"")</f>
        <v/>
      </c>
      <c r="D2250" s="19">
        <f>IFERROR(INDEX(tblNetflix[rating],MATCH($A2250,tblNetflix[show_id],0)),"")</f>
        <v/>
      </c>
      <c r="E2250" s="19">
        <f>IFERROR(INDEX(tblNetflix[year_added],MATCH($A2250,tblNetflix[show_id],0)),"")</f>
        <v/>
      </c>
      <c r="F2250" s="19">
        <f>IF(AND(OR(YearFilter="All",$E2250=YearFilter),OR(RatingFilter="All",$D2250=RatingFilter),OR(TypeFilter="All",$C2250=TypeFilter)),1,0)</f>
        <v/>
      </c>
    </row>
    <row r="2251" ht="15" customHeight="1" s="20">
      <c r="A2251" s="19" t="inlineStr">
        <is>
          <t>s7161</t>
        </is>
      </c>
      <c r="B2251" s="19" t="inlineStr">
        <is>
          <t>International Movies</t>
        </is>
      </c>
      <c r="C2251" s="19">
        <f>IFERROR(INDEX(tblNetflix[type],MATCH($A2251,tblNetflix[show_id],0)),"")</f>
        <v/>
      </c>
      <c r="D2251" s="19">
        <f>IFERROR(INDEX(tblNetflix[rating],MATCH($A2251,tblNetflix[show_id],0)),"")</f>
        <v/>
      </c>
      <c r="E2251" s="19">
        <f>IFERROR(INDEX(tblNetflix[year_added],MATCH($A2251,tblNetflix[show_id],0)),"")</f>
        <v/>
      </c>
      <c r="F2251" s="19">
        <f>IF(AND(OR(YearFilter="All",$E2251=YearFilter),OR(RatingFilter="All",$D2251=RatingFilter),OR(TypeFilter="All",$C2251=TypeFilter)),1,0)</f>
        <v/>
      </c>
    </row>
    <row r="2252" ht="15" customHeight="1" s="20">
      <c r="A2252" s="19" t="inlineStr">
        <is>
          <t>s7162</t>
        </is>
      </c>
      <c r="B2252" s="19" t="inlineStr">
        <is>
          <t>Dramas</t>
        </is>
      </c>
      <c r="C2252" s="19">
        <f>IFERROR(INDEX(tblNetflix[type],MATCH($A2252,tblNetflix[show_id],0)),"")</f>
        <v/>
      </c>
      <c r="D2252" s="19">
        <f>IFERROR(INDEX(tblNetflix[rating],MATCH($A2252,tblNetflix[show_id],0)),"")</f>
        <v/>
      </c>
      <c r="E2252" s="19">
        <f>IFERROR(INDEX(tblNetflix[year_added],MATCH($A2252,tblNetflix[show_id],0)),"")</f>
        <v/>
      </c>
      <c r="F2252" s="19">
        <f>IF(AND(OR(YearFilter="All",$E2252=YearFilter),OR(RatingFilter="All",$D2252=RatingFilter),OR(TypeFilter="All",$C2252=TypeFilter)),1,0)</f>
        <v/>
      </c>
    </row>
    <row r="2253" ht="15" customHeight="1" s="20">
      <c r="A2253" s="19" t="inlineStr">
        <is>
          <t>s7162</t>
        </is>
      </c>
      <c r="B2253" s="19" t="inlineStr">
        <is>
          <t>International Movies</t>
        </is>
      </c>
      <c r="C2253" s="19">
        <f>IFERROR(INDEX(tblNetflix[type],MATCH($A2253,tblNetflix[show_id],0)),"")</f>
        <v/>
      </c>
      <c r="D2253" s="19">
        <f>IFERROR(INDEX(tblNetflix[rating],MATCH($A2253,tblNetflix[show_id],0)),"")</f>
        <v/>
      </c>
      <c r="E2253" s="19">
        <f>IFERROR(INDEX(tblNetflix[year_added],MATCH($A2253,tblNetflix[show_id],0)),"")</f>
        <v/>
      </c>
      <c r="F2253" s="19">
        <f>IF(AND(OR(YearFilter="All",$E2253=YearFilter),OR(RatingFilter="All",$D2253=RatingFilter),OR(TypeFilter="All",$C2253=TypeFilter)),1,0)</f>
        <v/>
      </c>
    </row>
    <row r="2254" ht="15" customHeight="1" s="20">
      <c r="A2254" s="19" t="inlineStr">
        <is>
          <t>s7163</t>
        </is>
      </c>
      <c r="B2254" s="19" t="inlineStr">
        <is>
          <t>Action &amp; Adventure</t>
        </is>
      </c>
      <c r="C2254" s="19">
        <f>IFERROR(INDEX(tblNetflix[type],MATCH($A2254,tblNetflix[show_id],0)),"")</f>
        <v/>
      </c>
      <c r="D2254" s="19">
        <f>IFERROR(INDEX(tblNetflix[rating],MATCH($A2254,tblNetflix[show_id],0)),"")</f>
        <v/>
      </c>
      <c r="E2254" s="19">
        <f>IFERROR(INDEX(tblNetflix[year_added],MATCH($A2254,tblNetflix[show_id],0)),"")</f>
        <v/>
      </c>
      <c r="F2254" s="19">
        <f>IF(AND(OR(YearFilter="All",$E2254=YearFilter),OR(RatingFilter="All",$D2254=RatingFilter),OR(TypeFilter="All",$C2254=TypeFilter)),1,0)</f>
        <v/>
      </c>
    </row>
    <row r="2255" ht="15" customHeight="1" s="20">
      <c r="A2255" s="19" t="inlineStr">
        <is>
          <t>s7163</t>
        </is>
      </c>
      <c r="B2255" s="19" t="inlineStr">
        <is>
          <t>Dramas</t>
        </is>
      </c>
      <c r="C2255" s="19">
        <f>IFERROR(INDEX(tblNetflix[type],MATCH($A2255,tblNetflix[show_id],0)),"")</f>
        <v/>
      </c>
      <c r="D2255" s="19">
        <f>IFERROR(INDEX(tblNetflix[rating],MATCH($A2255,tblNetflix[show_id],0)),"")</f>
        <v/>
      </c>
      <c r="E2255" s="19">
        <f>IFERROR(INDEX(tblNetflix[year_added],MATCH($A2255,tblNetflix[show_id],0)),"")</f>
        <v/>
      </c>
      <c r="F2255" s="19">
        <f>IF(AND(OR(YearFilter="All",$E2255=YearFilter),OR(RatingFilter="All",$D2255=RatingFilter),OR(TypeFilter="All",$C2255=TypeFilter)),1,0)</f>
        <v/>
      </c>
    </row>
    <row r="2256" ht="15" customHeight="1" s="20">
      <c r="A2256" s="19" t="inlineStr">
        <is>
          <t>s7163</t>
        </is>
      </c>
      <c r="B2256" s="19" t="inlineStr">
        <is>
          <t>International Movies</t>
        </is>
      </c>
      <c r="C2256" s="19">
        <f>IFERROR(INDEX(tblNetflix[type],MATCH($A2256,tblNetflix[show_id],0)),"")</f>
        <v/>
      </c>
      <c r="D2256" s="19">
        <f>IFERROR(INDEX(tblNetflix[rating],MATCH($A2256,tblNetflix[show_id],0)),"")</f>
        <v/>
      </c>
      <c r="E2256" s="19">
        <f>IFERROR(INDEX(tblNetflix[year_added],MATCH($A2256,tblNetflix[show_id],0)),"")</f>
        <v/>
      </c>
      <c r="F2256" s="19">
        <f>IF(AND(OR(YearFilter="All",$E2256=YearFilter),OR(RatingFilter="All",$D2256=RatingFilter),OR(TypeFilter="All",$C2256=TypeFilter)),1,0)</f>
        <v/>
      </c>
    </row>
    <row r="2257" ht="15" customHeight="1" s="20">
      <c r="A2257" s="19" t="inlineStr">
        <is>
          <t>s7164</t>
        </is>
      </c>
      <c r="B2257" s="19" t="inlineStr">
        <is>
          <t>Dramas</t>
        </is>
      </c>
      <c r="C2257" s="19">
        <f>IFERROR(INDEX(tblNetflix[type],MATCH($A2257,tblNetflix[show_id],0)),"")</f>
        <v/>
      </c>
      <c r="D2257" s="19">
        <f>IFERROR(INDEX(tblNetflix[rating],MATCH($A2257,tblNetflix[show_id],0)),"")</f>
        <v/>
      </c>
      <c r="E2257" s="19">
        <f>IFERROR(INDEX(tblNetflix[year_added],MATCH($A2257,tblNetflix[show_id],0)),"")</f>
        <v/>
      </c>
      <c r="F2257" s="19">
        <f>IF(AND(OR(YearFilter="All",$E2257=YearFilter),OR(RatingFilter="All",$D2257=RatingFilter),OR(TypeFilter="All",$C2257=TypeFilter)),1,0)</f>
        <v/>
      </c>
    </row>
    <row r="2258" ht="15" customHeight="1" s="20">
      <c r="A2258" s="19" t="inlineStr">
        <is>
          <t>s7164</t>
        </is>
      </c>
      <c r="B2258" s="19" t="inlineStr">
        <is>
          <t>International Movies</t>
        </is>
      </c>
      <c r="C2258" s="19">
        <f>IFERROR(INDEX(tblNetflix[type],MATCH($A2258,tblNetflix[show_id],0)),"")</f>
        <v/>
      </c>
      <c r="D2258" s="19">
        <f>IFERROR(INDEX(tblNetflix[rating],MATCH($A2258,tblNetflix[show_id],0)),"")</f>
        <v/>
      </c>
      <c r="E2258" s="19">
        <f>IFERROR(INDEX(tblNetflix[year_added],MATCH($A2258,tblNetflix[show_id],0)),"")</f>
        <v/>
      </c>
      <c r="F2258" s="19">
        <f>IF(AND(OR(YearFilter="All",$E2258=YearFilter),OR(RatingFilter="All",$D2258=RatingFilter),OR(TypeFilter="All",$C2258=TypeFilter)),1,0)</f>
        <v/>
      </c>
    </row>
    <row r="2259" ht="15" customHeight="1" s="20">
      <c r="A2259" s="19" t="inlineStr">
        <is>
          <t>s7164</t>
        </is>
      </c>
      <c r="B2259" s="19" t="inlineStr">
        <is>
          <t>Romantic Movies</t>
        </is>
      </c>
      <c r="C2259" s="19">
        <f>IFERROR(INDEX(tblNetflix[type],MATCH($A2259,tblNetflix[show_id],0)),"")</f>
        <v/>
      </c>
      <c r="D2259" s="19">
        <f>IFERROR(INDEX(tblNetflix[rating],MATCH($A2259,tblNetflix[show_id],0)),"")</f>
        <v/>
      </c>
      <c r="E2259" s="19">
        <f>IFERROR(INDEX(tblNetflix[year_added],MATCH($A2259,tblNetflix[show_id],0)),"")</f>
        <v/>
      </c>
      <c r="F2259" s="19">
        <f>IF(AND(OR(YearFilter="All",$E2259=YearFilter),OR(RatingFilter="All",$D2259=RatingFilter),OR(TypeFilter="All",$C2259=TypeFilter)),1,0)</f>
        <v/>
      </c>
    </row>
    <row r="2260" ht="15" customHeight="1" s="20">
      <c r="A2260" s="19" t="inlineStr">
        <is>
          <t>s7166</t>
        </is>
      </c>
      <c r="B2260" s="19" t="inlineStr">
        <is>
          <t>Dramas</t>
        </is>
      </c>
      <c r="C2260" s="19">
        <f>IFERROR(INDEX(tblNetflix[type],MATCH($A2260,tblNetflix[show_id],0)),"")</f>
        <v/>
      </c>
      <c r="D2260" s="19">
        <f>IFERROR(INDEX(tblNetflix[rating],MATCH($A2260,tblNetflix[show_id],0)),"")</f>
        <v/>
      </c>
      <c r="E2260" s="19">
        <f>IFERROR(INDEX(tblNetflix[year_added],MATCH($A2260,tblNetflix[show_id],0)),"")</f>
        <v/>
      </c>
      <c r="F2260" s="19">
        <f>IF(AND(OR(YearFilter="All",$E2260=YearFilter),OR(RatingFilter="All",$D2260=RatingFilter),OR(TypeFilter="All",$C2260=TypeFilter)),1,0)</f>
        <v/>
      </c>
    </row>
    <row r="2261" ht="15" customHeight="1" s="20">
      <c r="A2261" s="19" t="inlineStr">
        <is>
          <t>s7166</t>
        </is>
      </c>
      <c r="B2261" s="19" t="inlineStr">
        <is>
          <t>International Movies</t>
        </is>
      </c>
      <c r="C2261" s="19">
        <f>IFERROR(INDEX(tblNetflix[type],MATCH($A2261,tblNetflix[show_id],0)),"")</f>
        <v/>
      </c>
      <c r="D2261" s="19">
        <f>IFERROR(INDEX(tblNetflix[rating],MATCH($A2261,tblNetflix[show_id],0)),"")</f>
        <v/>
      </c>
      <c r="E2261" s="19">
        <f>IFERROR(INDEX(tblNetflix[year_added],MATCH($A2261,tblNetflix[show_id],0)),"")</f>
        <v/>
      </c>
      <c r="F2261" s="19">
        <f>IF(AND(OR(YearFilter="All",$E2261=YearFilter),OR(RatingFilter="All",$D2261=RatingFilter),OR(TypeFilter="All",$C2261=TypeFilter)),1,0)</f>
        <v/>
      </c>
    </row>
    <row r="2262" ht="15" customHeight="1" s="20">
      <c r="A2262" s="19" t="inlineStr">
        <is>
          <t>s7166</t>
        </is>
      </c>
      <c r="B2262" s="19" t="inlineStr">
        <is>
          <t>Music &amp; Musicals</t>
        </is>
      </c>
      <c r="C2262" s="19">
        <f>IFERROR(INDEX(tblNetflix[type],MATCH($A2262,tblNetflix[show_id],0)),"")</f>
        <v/>
      </c>
      <c r="D2262" s="19">
        <f>IFERROR(INDEX(tblNetflix[rating],MATCH($A2262,tblNetflix[show_id],0)),"")</f>
        <v/>
      </c>
      <c r="E2262" s="19">
        <f>IFERROR(INDEX(tblNetflix[year_added],MATCH($A2262,tblNetflix[show_id],0)),"")</f>
        <v/>
      </c>
      <c r="F2262" s="19">
        <f>IF(AND(OR(YearFilter="All",$E2262=YearFilter),OR(RatingFilter="All",$D2262=RatingFilter),OR(TypeFilter="All",$C2262=TypeFilter)),1,0)</f>
        <v/>
      </c>
    </row>
    <row r="2263" ht="15" customHeight="1" s="20">
      <c r="A2263" s="19" t="inlineStr">
        <is>
          <t>s7168</t>
        </is>
      </c>
      <c r="B2263" s="19" t="inlineStr">
        <is>
          <t>Dramas</t>
        </is>
      </c>
      <c r="C2263" s="19">
        <f>IFERROR(INDEX(tblNetflix[type],MATCH($A2263,tblNetflix[show_id],0)),"")</f>
        <v/>
      </c>
      <c r="D2263" s="19">
        <f>IFERROR(INDEX(tblNetflix[rating],MATCH($A2263,tblNetflix[show_id],0)),"")</f>
        <v/>
      </c>
      <c r="E2263" s="19">
        <f>IFERROR(INDEX(tblNetflix[year_added],MATCH($A2263,tblNetflix[show_id],0)),"")</f>
        <v/>
      </c>
      <c r="F2263" s="19">
        <f>IF(AND(OR(YearFilter="All",$E2263=YearFilter),OR(RatingFilter="All",$D2263=RatingFilter),OR(TypeFilter="All",$C2263=TypeFilter)),1,0)</f>
        <v/>
      </c>
    </row>
    <row r="2264" ht="15" customHeight="1" s="20">
      <c r="A2264" s="19" t="inlineStr">
        <is>
          <t>s7168</t>
        </is>
      </c>
      <c r="B2264" s="19" t="inlineStr">
        <is>
          <t>Independent Movies</t>
        </is>
      </c>
      <c r="C2264" s="19">
        <f>IFERROR(INDEX(tblNetflix[type],MATCH($A2264,tblNetflix[show_id],0)),"")</f>
        <v/>
      </c>
      <c r="D2264" s="19">
        <f>IFERROR(INDEX(tblNetflix[rating],MATCH($A2264,tblNetflix[show_id],0)),"")</f>
        <v/>
      </c>
      <c r="E2264" s="19">
        <f>IFERROR(INDEX(tblNetflix[year_added],MATCH($A2264,tblNetflix[show_id],0)),"")</f>
        <v/>
      </c>
      <c r="F2264" s="19">
        <f>IF(AND(OR(YearFilter="All",$E2264=YearFilter),OR(RatingFilter="All",$D2264=RatingFilter),OR(TypeFilter="All",$C2264=TypeFilter)),1,0)</f>
        <v/>
      </c>
    </row>
    <row r="2265" ht="15" customHeight="1" s="20">
      <c r="A2265" s="19" t="inlineStr">
        <is>
          <t>s7168</t>
        </is>
      </c>
      <c r="B2265" s="19" t="inlineStr">
        <is>
          <t>International Movies</t>
        </is>
      </c>
      <c r="C2265" s="19">
        <f>IFERROR(INDEX(tblNetflix[type],MATCH($A2265,tblNetflix[show_id],0)),"")</f>
        <v/>
      </c>
      <c r="D2265" s="19">
        <f>IFERROR(INDEX(tblNetflix[rating],MATCH($A2265,tblNetflix[show_id],0)),"")</f>
        <v/>
      </c>
      <c r="E2265" s="19">
        <f>IFERROR(INDEX(tblNetflix[year_added],MATCH($A2265,tblNetflix[show_id],0)),"")</f>
        <v/>
      </c>
      <c r="F2265" s="19">
        <f>IF(AND(OR(YearFilter="All",$E2265=YearFilter),OR(RatingFilter="All",$D2265=RatingFilter),OR(TypeFilter="All",$C2265=TypeFilter)),1,0)</f>
        <v/>
      </c>
    </row>
    <row r="2266" ht="15" customHeight="1" s="20">
      <c r="A2266" s="19" t="inlineStr">
        <is>
          <t>s7169</t>
        </is>
      </c>
      <c r="B2266" s="19" t="inlineStr">
        <is>
          <t>Horror Movies</t>
        </is>
      </c>
      <c r="C2266" s="19">
        <f>IFERROR(INDEX(tblNetflix[type],MATCH($A2266,tblNetflix[show_id],0)),"")</f>
        <v/>
      </c>
      <c r="D2266" s="19">
        <f>IFERROR(INDEX(tblNetflix[rating],MATCH($A2266,tblNetflix[show_id],0)),"")</f>
        <v/>
      </c>
      <c r="E2266" s="19">
        <f>IFERROR(INDEX(tblNetflix[year_added],MATCH($A2266,tblNetflix[show_id],0)),"")</f>
        <v/>
      </c>
      <c r="F2266" s="19">
        <f>IF(AND(OR(YearFilter="All",$E2266=YearFilter),OR(RatingFilter="All",$D2266=RatingFilter),OR(TypeFilter="All",$C2266=TypeFilter)),1,0)</f>
        <v/>
      </c>
    </row>
    <row r="2267" ht="15" customHeight="1" s="20">
      <c r="A2267" s="19" t="inlineStr">
        <is>
          <t>s7169</t>
        </is>
      </c>
      <c r="B2267" s="19" t="inlineStr">
        <is>
          <t>International Movies</t>
        </is>
      </c>
      <c r="C2267" s="19">
        <f>IFERROR(INDEX(tblNetflix[type],MATCH($A2267,tblNetflix[show_id],0)),"")</f>
        <v/>
      </c>
      <c r="D2267" s="19">
        <f>IFERROR(INDEX(tblNetflix[rating],MATCH($A2267,tblNetflix[show_id],0)),"")</f>
        <v/>
      </c>
      <c r="E2267" s="19">
        <f>IFERROR(INDEX(tblNetflix[year_added],MATCH($A2267,tblNetflix[show_id],0)),"")</f>
        <v/>
      </c>
      <c r="F2267" s="19">
        <f>IF(AND(OR(YearFilter="All",$E2267=YearFilter),OR(RatingFilter="All",$D2267=RatingFilter),OR(TypeFilter="All",$C2267=TypeFilter)),1,0)</f>
        <v/>
      </c>
    </row>
    <row r="2268" ht="15" customHeight="1" s="20">
      <c r="A2268" s="19" t="inlineStr">
        <is>
          <t>s7169</t>
        </is>
      </c>
      <c r="B2268" s="19" t="inlineStr">
        <is>
          <t>Thrillers</t>
        </is>
      </c>
      <c r="C2268" s="19">
        <f>IFERROR(INDEX(tblNetflix[type],MATCH($A2268,tblNetflix[show_id],0)),"")</f>
        <v/>
      </c>
      <c r="D2268" s="19">
        <f>IFERROR(INDEX(tblNetflix[rating],MATCH($A2268,tblNetflix[show_id],0)),"")</f>
        <v/>
      </c>
      <c r="E2268" s="19">
        <f>IFERROR(INDEX(tblNetflix[year_added],MATCH($A2268,tblNetflix[show_id],0)),"")</f>
        <v/>
      </c>
      <c r="F2268" s="19">
        <f>IF(AND(OR(YearFilter="All",$E2268=YearFilter),OR(RatingFilter="All",$D2268=RatingFilter),OR(TypeFilter="All",$C2268=TypeFilter)),1,0)</f>
        <v/>
      </c>
    </row>
    <row r="2269" ht="15" customHeight="1" s="20">
      <c r="A2269" s="19" t="inlineStr">
        <is>
          <t>s7170</t>
        </is>
      </c>
      <c r="B2269" s="19" t="inlineStr">
        <is>
          <t>International Movies</t>
        </is>
      </c>
      <c r="C2269" s="19">
        <f>IFERROR(INDEX(tblNetflix[type],MATCH($A2269,tblNetflix[show_id],0)),"")</f>
        <v/>
      </c>
      <c r="D2269" s="19">
        <f>IFERROR(INDEX(tblNetflix[rating],MATCH($A2269,tblNetflix[show_id],0)),"")</f>
        <v/>
      </c>
      <c r="E2269" s="19">
        <f>IFERROR(INDEX(tblNetflix[year_added],MATCH($A2269,tblNetflix[show_id],0)),"")</f>
        <v/>
      </c>
      <c r="F2269" s="19">
        <f>IF(AND(OR(YearFilter="All",$E2269=YearFilter),OR(RatingFilter="All",$D2269=RatingFilter),OR(TypeFilter="All",$C2269=TypeFilter)),1,0)</f>
        <v/>
      </c>
    </row>
    <row r="2270" ht="15" customHeight="1" s="20">
      <c r="A2270" s="19" t="inlineStr">
        <is>
          <t>s7170</t>
        </is>
      </c>
      <c r="B2270" s="19" t="inlineStr">
        <is>
          <t>Music &amp; Musicals</t>
        </is>
      </c>
      <c r="C2270" s="19">
        <f>IFERROR(INDEX(tblNetflix[type],MATCH($A2270,tblNetflix[show_id],0)),"")</f>
        <v/>
      </c>
      <c r="D2270" s="19">
        <f>IFERROR(INDEX(tblNetflix[rating],MATCH($A2270,tblNetflix[show_id],0)),"")</f>
        <v/>
      </c>
      <c r="E2270" s="19">
        <f>IFERROR(INDEX(tblNetflix[year_added],MATCH($A2270,tblNetflix[show_id],0)),"")</f>
        <v/>
      </c>
      <c r="F2270" s="19">
        <f>IF(AND(OR(YearFilter="All",$E2270=YearFilter),OR(RatingFilter="All",$D2270=RatingFilter),OR(TypeFilter="All",$C2270=TypeFilter)),1,0)</f>
        <v/>
      </c>
    </row>
    <row r="2271" ht="15" customHeight="1" s="20">
      <c r="A2271" s="19" t="inlineStr">
        <is>
          <t>s7170</t>
        </is>
      </c>
      <c r="B2271" s="19" t="inlineStr">
        <is>
          <t>Romantic Movies</t>
        </is>
      </c>
      <c r="C2271" s="19">
        <f>IFERROR(INDEX(tblNetflix[type],MATCH($A2271,tblNetflix[show_id],0)),"")</f>
        <v/>
      </c>
      <c r="D2271" s="19">
        <f>IFERROR(INDEX(tblNetflix[rating],MATCH($A2271,tblNetflix[show_id],0)),"")</f>
        <v/>
      </c>
      <c r="E2271" s="19">
        <f>IFERROR(INDEX(tblNetflix[year_added],MATCH($A2271,tblNetflix[show_id],0)),"")</f>
        <v/>
      </c>
      <c r="F2271" s="19">
        <f>IF(AND(OR(YearFilter="All",$E2271=YearFilter),OR(RatingFilter="All",$D2271=RatingFilter),OR(TypeFilter="All",$C2271=TypeFilter)),1,0)</f>
        <v/>
      </c>
    </row>
    <row r="2272" ht="15" customHeight="1" s="20">
      <c r="A2272" s="19" t="inlineStr">
        <is>
          <t>s7172</t>
        </is>
      </c>
      <c r="B2272" s="19" t="inlineStr">
        <is>
          <t>Comedies</t>
        </is>
      </c>
      <c r="C2272" s="19">
        <f>IFERROR(INDEX(tblNetflix[type],MATCH($A2272,tblNetflix[show_id],0)),"")</f>
        <v/>
      </c>
      <c r="D2272" s="19">
        <f>IFERROR(INDEX(tblNetflix[rating],MATCH($A2272,tblNetflix[show_id],0)),"")</f>
        <v/>
      </c>
      <c r="E2272" s="19">
        <f>IFERROR(INDEX(tblNetflix[year_added],MATCH($A2272,tblNetflix[show_id],0)),"")</f>
        <v/>
      </c>
      <c r="F2272" s="19">
        <f>IF(AND(OR(YearFilter="All",$E2272=YearFilter),OR(RatingFilter="All",$D2272=RatingFilter),OR(TypeFilter="All",$C2272=TypeFilter)),1,0)</f>
        <v/>
      </c>
    </row>
    <row r="2273" ht="15" customHeight="1" s="20">
      <c r="A2273" s="19" t="inlineStr">
        <is>
          <t>s7172</t>
        </is>
      </c>
      <c r="B2273" s="19" t="inlineStr">
        <is>
          <t>Dramas</t>
        </is>
      </c>
      <c r="C2273" s="19">
        <f>IFERROR(INDEX(tblNetflix[type],MATCH($A2273,tblNetflix[show_id],0)),"")</f>
        <v/>
      </c>
      <c r="D2273" s="19">
        <f>IFERROR(INDEX(tblNetflix[rating],MATCH($A2273,tblNetflix[show_id],0)),"")</f>
        <v/>
      </c>
      <c r="E2273" s="19">
        <f>IFERROR(INDEX(tblNetflix[year_added],MATCH($A2273,tblNetflix[show_id],0)),"")</f>
        <v/>
      </c>
      <c r="F2273" s="19">
        <f>IF(AND(OR(YearFilter="All",$E2273=YearFilter),OR(RatingFilter="All",$D2273=RatingFilter),OR(TypeFilter="All",$C2273=TypeFilter)),1,0)</f>
        <v/>
      </c>
    </row>
    <row r="2274" ht="15" customHeight="1" s="20">
      <c r="A2274" s="19" t="inlineStr">
        <is>
          <t>s7172</t>
        </is>
      </c>
      <c r="B2274" s="19" t="inlineStr">
        <is>
          <t>Independent Movies</t>
        </is>
      </c>
      <c r="C2274" s="19">
        <f>IFERROR(INDEX(tblNetflix[type],MATCH($A2274,tblNetflix[show_id],0)),"")</f>
        <v/>
      </c>
      <c r="D2274" s="19">
        <f>IFERROR(INDEX(tblNetflix[rating],MATCH($A2274,tblNetflix[show_id],0)),"")</f>
        <v/>
      </c>
      <c r="E2274" s="19">
        <f>IFERROR(INDEX(tblNetflix[year_added],MATCH($A2274,tblNetflix[show_id],0)),"")</f>
        <v/>
      </c>
      <c r="F2274" s="19">
        <f>IF(AND(OR(YearFilter="All",$E2274=YearFilter),OR(RatingFilter="All",$D2274=RatingFilter),OR(TypeFilter="All",$C2274=TypeFilter)),1,0)</f>
        <v/>
      </c>
    </row>
    <row r="2275" ht="15" customHeight="1" s="20">
      <c r="A2275" s="19" t="inlineStr">
        <is>
          <t>s7174</t>
        </is>
      </c>
      <c r="B2275" s="19" t="inlineStr">
        <is>
          <t>Dramas</t>
        </is>
      </c>
      <c r="C2275" s="19">
        <f>IFERROR(INDEX(tblNetflix[type],MATCH($A2275,tblNetflix[show_id],0)),"")</f>
        <v/>
      </c>
      <c r="D2275" s="19">
        <f>IFERROR(INDEX(tblNetflix[rating],MATCH($A2275,tblNetflix[show_id],0)),"")</f>
        <v/>
      </c>
      <c r="E2275" s="19">
        <f>IFERROR(INDEX(tblNetflix[year_added],MATCH($A2275,tblNetflix[show_id],0)),"")</f>
        <v/>
      </c>
      <c r="F2275" s="19">
        <f>IF(AND(OR(YearFilter="All",$E2275=YearFilter),OR(RatingFilter="All",$D2275=RatingFilter),OR(TypeFilter="All",$C2275=TypeFilter)),1,0)</f>
        <v/>
      </c>
    </row>
    <row r="2276" ht="15" customHeight="1" s="20">
      <c r="A2276" s="19" t="inlineStr">
        <is>
          <t>s7174</t>
        </is>
      </c>
      <c r="B2276" s="19" t="inlineStr">
        <is>
          <t>International Movies</t>
        </is>
      </c>
      <c r="C2276" s="19">
        <f>IFERROR(INDEX(tblNetflix[type],MATCH($A2276,tblNetflix[show_id],0)),"")</f>
        <v/>
      </c>
      <c r="D2276" s="19">
        <f>IFERROR(INDEX(tblNetflix[rating],MATCH($A2276,tblNetflix[show_id],0)),"")</f>
        <v/>
      </c>
      <c r="E2276" s="19">
        <f>IFERROR(INDEX(tblNetflix[year_added],MATCH($A2276,tblNetflix[show_id],0)),"")</f>
        <v/>
      </c>
      <c r="F2276" s="19">
        <f>IF(AND(OR(YearFilter="All",$E2276=YearFilter),OR(RatingFilter="All",$D2276=RatingFilter),OR(TypeFilter="All",$C2276=TypeFilter)),1,0)</f>
        <v/>
      </c>
    </row>
    <row r="2277" ht="15" customHeight="1" s="20">
      <c r="A2277" s="19" t="inlineStr">
        <is>
          <t>s7175</t>
        </is>
      </c>
      <c r="B2277" s="19" t="inlineStr">
        <is>
          <t>Comedies</t>
        </is>
      </c>
      <c r="C2277" s="19">
        <f>IFERROR(INDEX(tblNetflix[type],MATCH($A2277,tblNetflix[show_id],0)),"")</f>
        <v/>
      </c>
      <c r="D2277" s="19">
        <f>IFERROR(INDEX(tblNetflix[rating],MATCH($A2277,tblNetflix[show_id],0)),"")</f>
        <v/>
      </c>
      <c r="E2277" s="19">
        <f>IFERROR(INDEX(tblNetflix[year_added],MATCH($A2277,tblNetflix[show_id],0)),"")</f>
        <v/>
      </c>
      <c r="F2277" s="19">
        <f>IF(AND(OR(YearFilter="All",$E2277=YearFilter),OR(RatingFilter="All",$D2277=RatingFilter),OR(TypeFilter="All",$C2277=TypeFilter)),1,0)</f>
        <v/>
      </c>
    </row>
    <row r="2278" ht="15" customHeight="1" s="20">
      <c r="A2278" s="19" t="inlineStr">
        <is>
          <t>s7175</t>
        </is>
      </c>
      <c r="B2278" s="19" t="inlineStr">
        <is>
          <t>Dramas</t>
        </is>
      </c>
      <c r="C2278" s="19">
        <f>IFERROR(INDEX(tblNetflix[type],MATCH($A2278,tblNetflix[show_id],0)),"")</f>
        <v/>
      </c>
      <c r="D2278" s="19">
        <f>IFERROR(INDEX(tblNetflix[rating],MATCH($A2278,tblNetflix[show_id],0)),"")</f>
        <v/>
      </c>
      <c r="E2278" s="19">
        <f>IFERROR(INDEX(tblNetflix[year_added],MATCH($A2278,tblNetflix[show_id],0)),"")</f>
        <v/>
      </c>
      <c r="F2278" s="19">
        <f>IF(AND(OR(YearFilter="All",$E2278=YearFilter),OR(RatingFilter="All",$D2278=RatingFilter),OR(TypeFilter="All",$C2278=TypeFilter)),1,0)</f>
        <v/>
      </c>
    </row>
    <row r="2279" ht="15" customHeight="1" s="20">
      <c r="A2279" s="19" t="inlineStr">
        <is>
          <t>s7175</t>
        </is>
      </c>
      <c r="B2279" s="19" t="inlineStr">
        <is>
          <t>International Movies</t>
        </is>
      </c>
      <c r="C2279" s="19">
        <f>IFERROR(INDEX(tblNetflix[type],MATCH($A2279,tblNetflix[show_id],0)),"")</f>
        <v/>
      </c>
      <c r="D2279" s="19">
        <f>IFERROR(INDEX(tblNetflix[rating],MATCH($A2279,tblNetflix[show_id],0)),"")</f>
        <v/>
      </c>
      <c r="E2279" s="19">
        <f>IFERROR(INDEX(tblNetflix[year_added],MATCH($A2279,tblNetflix[show_id],0)),"")</f>
        <v/>
      </c>
      <c r="F2279" s="19">
        <f>IF(AND(OR(YearFilter="All",$E2279=YearFilter),OR(RatingFilter="All",$D2279=RatingFilter),OR(TypeFilter="All",$C2279=TypeFilter)),1,0)</f>
        <v/>
      </c>
    </row>
    <row r="2280" ht="15" customHeight="1" s="20">
      <c r="A2280" s="19" t="inlineStr">
        <is>
          <t>s7184</t>
        </is>
      </c>
      <c r="B2280" s="19" t="inlineStr">
        <is>
          <t>Action &amp; Adventure</t>
        </is>
      </c>
      <c r="C2280" s="19">
        <f>IFERROR(INDEX(tblNetflix[type],MATCH($A2280,tblNetflix[show_id],0)),"")</f>
        <v/>
      </c>
      <c r="D2280" s="19">
        <f>IFERROR(INDEX(tblNetflix[rating],MATCH($A2280,tblNetflix[show_id],0)),"")</f>
        <v/>
      </c>
      <c r="E2280" s="19">
        <f>IFERROR(INDEX(tblNetflix[year_added],MATCH($A2280,tblNetflix[show_id],0)),"")</f>
        <v/>
      </c>
      <c r="F2280" s="19">
        <f>IF(AND(OR(YearFilter="All",$E2280=YearFilter),OR(RatingFilter="All",$D2280=RatingFilter),OR(TypeFilter="All",$C2280=TypeFilter)),1,0)</f>
        <v/>
      </c>
    </row>
    <row r="2281" ht="15" customHeight="1" s="20">
      <c r="A2281" s="19" t="inlineStr">
        <is>
          <t>s7184</t>
        </is>
      </c>
      <c r="B2281" s="19" t="inlineStr">
        <is>
          <t>Dramas</t>
        </is>
      </c>
      <c r="C2281" s="19">
        <f>IFERROR(INDEX(tblNetflix[type],MATCH($A2281,tblNetflix[show_id],0)),"")</f>
        <v/>
      </c>
      <c r="D2281" s="19">
        <f>IFERROR(INDEX(tblNetflix[rating],MATCH($A2281,tblNetflix[show_id],0)),"")</f>
        <v/>
      </c>
      <c r="E2281" s="19">
        <f>IFERROR(INDEX(tblNetflix[year_added],MATCH($A2281,tblNetflix[show_id],0)),"")</f>
        <v/>
      </c>
      <c r="F2281" s="19">
        <f>IF(AND(OR(YearFilter="All",$E2281=YearFilter),OR(RatingFilter="All",$D2281=RatingFilter),OR(TypeFilter="All",$C2281=TypeFilter)),1,0)</f>
        <v/>
      </c>
    </row>
    <row r="2282" ht="15" customHeight="1" s="20">
      <c r="A2282" s="19" t="inlineStr">
        <is>
          <t>s7184</t>
        </is>
      </c>
      <c r="B2282" s="19" t="inlineStr">
        <is>
          <t>International Movies</t>
        </is>
      </c>
      <c r="C2282" s="19">
        <f>IFERROR(INDEX(tblNetflix[type],MATCH($A2282,tblNetflix[show_id],0)),"")</f>
        <v/>
      </c>
      <c r="D2282" s="19">
        <f>IFERROR(INDEX(tblNetflix[rating],MATCH($A2282,tblNetflix[show_id],0)),"")</f>
        <v/>
      </c>
      <c r="E2282" s="19">
        <f>IFERROR(INDEX(tblNetflix[year_added],MATCH($A2282,tblNetflix[show_id],0)),"")</f>
        <v/>
      </c>
      <c r="F2282" s="19">
        <f>IF(AND(OR(YearFilter="All",$E2282=YearFilter),OR(RatingFilter="All",$D2282=RatingFilter),OR(TypeFilter="All",$C2282=TypeFilter)),1,0)</f>
        <v/>
      </c>
    </row>
    <row r="2283" ht="15" customHeight="1" s="20">
      <c r="A2283" s="19" t="inlineStr">
        <is>
          <t>s7185</t>
        </is>
      </c>
      <c r="B2283" s="19" t="inlineStr">
        <is>
          <t>Crime TV Shows</t>
        </is>
      </c>
      <c r="C2283" s="19">
        <f>IFERROR(INDEX(tblNetflix[type],MATCH($A2283,tblNetflix[show_id],0)),"")</f>
        <v/>
      </c>
      <c r="D2283" s="19">
        <f>IFERROR(INDEX(tblNetflix[rating],MATCH($A2283,tblNetflix[show_id],0)),"")</f>
        <v/>
      </c>
      <c r="E2283" s="19">
        <f>IFERROR(INDEX(tblNetflix[year_added],MATCH($A2283,tblNetflix[show_id],0)),"")</f>
        <v/>
      </c>
      <c r="F2283" s="19">
        <f>IF(AND(OR(YearFilter="All",$E2283=YearFilter),OR(RatingFilter="All",$D2283=RatingFilter),OR(TypeFilter="All",$C2283=TypeFilter)),1,0)</f>
        <v/>
      </c>
    </row>
    <row r="2284" ht="15" customHeight="1" s="20">
      <c r="A2284" s="19" t="inlineStr">
        <is>
          <t>s7185</t>
        </is>
      </c>
      <c r="B2284" s="19" t="inlineStr">
        <is>
          <t>International TV Shows</t>
        </is>
      </c>
      <c r="C2284" s="19">
        <f>IFERROR(INDEX(tblNetflix[type],MATCH($A2284,tblNetflix[show_id],0)),"")</f>
        <v/>
      </c>
      <c r="D2284" s="19">
        <f>IFERROR(INDEX(tblNetflix[rating],MATCH($A2284,tblNetflix[show_id],0)),"")</f>
        <v/>
      </c>
      <c r="E2284" s="19">
        <f>IFERROR(INDEX(tblNetflix[year_added],MATCH($A2284,tblNetflix[show_id],0)),"")</f>
        <v/>
      </c>
      <c r="F2284" s="19">
        <f>IF(AND(OR(YearFilter="All",$E2284=YearFilter),OR(RatingFilter="All",$D2284=RatingFilter),OR(TypeFilter="All",$C2284=TypeFilter)),1,0)</f>
        <v/>
      </c>
    </row>
    <row r="2285" ht="15" customHeight="1" s="20">
      <c r="A2285" s="19" t="inlineStr">
        <is>
          <t>s7185</t>
        </is>
      </c>
      <c r="B2285" s="19" t="inlineStr">
        <is>
          <t>TV Comedies</t>
        </is>
      </c>
      <c r="C2285" s="19">
        <f>IFERROR(INDEX(tblNetflix[type],MATCH($A2285,tblNetflix[show_id],0)),"")</f>
        <v/>
      </c>
      <c r="D2285" s="19">
        <f>IFERROR(INDEX(tblNetflix[rating],MATCH($A2285,tblNetflix[show_id],0)),"")</f>
        <v/>
      </c>
      <c r="E2285" s="19">
        <f>IFERROR(INDEX(tblNetflix[year_added],MATCH($A2285,tblNetflix[show_id],0)),"")</f>
        <v/>
      </c>
      <c r="F2285" s="19">
        <f>IF(AND(OR(YearFilter="All",$E2285=YearFilter),OR(RatingFilter="All",$D2285=RatingFilter),OR(TypeFilter="All",$C2285=TypeFilter)),1,0)</f>
        <v/>
      </c>
    </row>
    <row r="2286" ht="15" customHeight="1" s="20">
      <c r="A2286" s="19" t="inlineStr">
        <is>
          <t>s7186</t>
        </is>
      </c>
      <c r="B2286" s="19" t="inlineStr">
        <is>
          <t>International TV Shows</t>
        </is>
      </c>
      <c r="C2286" s="19">
        <f>IFERROR(INDEX(tblNetflix[type],MATCH($A2286,tblNetflix[show_id],0)),"")</f>
        <v/>
      </c>
      <c r="D2286" s="19">
        <f>IFERROR(INDEX(tblNetflix[rating],MATCH($A2286,tblNetflix[show_id],0)),"")</f>
        <v/>
      </c>
      <c r="E2286" s="19">
        <f>IFERROR(INDEX(tblNetflix[year_added],MATCH($A2286,tblNetflix[show_id],0)),"")</f>
        <v/>
      </c>
      <c r="F2286" s="19">
        <f>IF(AND(OR(YearFilter="All",$E2286=YearFilter),OR(RatingFilter="All",$D2286=RatingFilter),OR(TypeFilter="All",$C2286=TypeFilter)),1,0)</f>
        <v/>
      </c>
    </row>
    <row r="2287" ht="15" customHeight="1" s="20">
      <c r="A2287" s="19" t="inlineStr">
        <is>
          <t>s7186</t>
        </is>
      </c>
      <c r="B2287" s="19" t="inlineStr">
        <is>
          <t>TV Dramas</t>
        </is>
      </c>
      <c r="C2287" s="19">
        <f>IFERROR(INDEX(tblNetflix[type],MATCH($A2287,tblNetflix[show_id],0)),"")</f>
        <v/>
      </c>
      <c r="D2287" s="19">
        <f>IFERROR(INDEX(tblNetflix[rating],MATCH($A2287,tblNetflix[show_id],0)),"")</f>
        <v/>
      </c>
      <c r="E2287" s="19">
        <f>IFERROR(INDEX(tblNetflix[year_added],MATCH($A2287,tblNetflix[show_id],0)),"")</f>
        <v/>
      </c>
      <c r="F2287" s="19">
        <f>IF(AND(OR(YearFilter="All",$E2287=YearFilter),OR(RatingFilter="All",$D2287=RatingFilter),OR(TypeFilter="All",$C2287=TypeFilter)),1,0)</f>
        <v/>
      </c>
    </row>
    <row r="2288" ht="15" customHeight="1" s="20">
      <c r="A2288" s="19" t="inlineStr">
        <is>
          <t>s7187</t>
        </is>
      </c>
      <c r="B2288" s="19" t="inlineStr">
        <is>
          <t>Comedies</t>
        </is>
      </c>
      <c r="C2288" s="19">
        <f>IFERROR(INDEX(tblNetflix[type],MATCH($A2288,tblNetflix[show_id],0)),"")</f>
        <v/>
      </c>
      <c r="D2288" s="19">
        <f>IFERROR(INDEX(tblNetflix[rating],MATCH($A2288,tblNetflix[show_id],0)),"")</f>
        <v/>
      </c>
      <c r="E2288" s="19">
        <f>IFERROR(INDEX(tblNetflix[year_added],MATCH($A2288,tblNetflix[show_id],0)),"")</f>
        <v/>
      </c>
      <c r="F2288" s="19">
        <f>IF(AND(OR(YearFilter="All",$E2288=YearFilter),OR(RatingFilter="All",$D2288=RatingFilter),OR(TypeFilter="All",$C2288=TypeFilter)),1,0)</f>
        <v/>
      </c>
    </row>
    <row r="2289" ht="15" customHeight="1" s="20">
      <c r="A2289" s="19" t="inlineStr">
        <is>
          <t>s7187</t>
        </is>
      </c>
      <c r="B2289" s="19" t="inlineStr">
        <is>
          <t>Dramas</t>
        </is>
      </c>
      <c r="C2289" s="19">
        <f>IFERROR(INDEX(tblNetflix[type],MATCH($A2289,tblNetflix[show_id],0)),"")</f>
        <v/>
      </c>
      <c r="D2289" s="19">
        <f>IFERROR(INDEX(tblNetflix[rating],MATCH($A2289,tblNetflix[show_id],0)),"")</f>
        <v/>
      </c>
      <c r="E2289" s="19">
        <f>IFERROR(INDEX(tblNetflix[year_added],MATCH($A2289,tblNetflix[show_id],0)),"")</f>
        <v/>
      </c>
      <c r="F2289" s="19">
        <f>IF(AND(OR(YearFilter="All",$E2289=YearFilter),OR(RatingFilter="All",$D2289=RatingFilter),OR(TypeFilter="All",$C2289=TypeFilter)),1,0)</f>
        <v/>
      </c>
    </row>
    <row r="2290" ht="15" customHeight="1" s="20">
      <c r="A2290" s="19" t="inlineStr">
        <is>
          <t>s7187</t>
        </is>
      </c>
      <c r="B2290" s="19" t="inlineStr">
        <is>
          <t>International Movies</t>
        </is>
      </c>
      <c r="C2290" s="19">
        <f>IFERROR(INDEX(tblNetflix[type],MATCH($A2290,tblNetflix[show_id],0)),"")</f>
        <v/>
      </c>
      <c r="D2290" s="19">
        <f>IFERROR(INDEX(tblNetflix[rating],MATCH($A2290,tblNetflix[show_id],0)),"")</f>
        <v/>
      </c>
      <c r="E2290" s="19">
        <f>IFERROR(INDEX(tblNetflix[year_added],MATCH($A2290,tblNetflix[show_id],0)),"")</f>
        <v/>
      </c>
      <c r="F2290" s="19">
        <f>IF(AND(OR(YearFilter="All",$E2290=YearFilter),OR(RatingFilter="All",$D2290=RatingFilter),OR(TypeFilter="All",$C2290=TypeFilter)),1,0)</f>
        <v/>
      </c>
    </row>
    <row r="2291" ht="15" customHeight="1" s="20">
      <c r="A2291" s="19" t="inlineStr">
        <is>
          <t>s7188</t>
        </is>
      </c>
      <c r="B2291" s="19" t="inlineStr">
        <is>
          <t>Crime TV Shows</t>
        </is>
      </c>
      <c r="C2291" s="19">
        <f>IFERROR(INDEX(tblNetflix[type],MATCH($A2291,tblNetflix[show_id],0)),"")</f>
        <v/>
      </c>
      <c r="D2291" s="19">
        <f>IFERROR(INDEX(tblNetflix[rating],MATCH($A2291,tblNetflix[show_id],0)),"")</f>
        <v/>
      </c>
      <c r="E2291" s="19">
        <f>IFERROR(INDEX(tblNetflix[year_added],MATCH($A2291,tblNetflix[show_id],0)),"")</f>
        <v/>
      </c>
      <c r="F2291" s="19">
        <f>IF(AND(OR(YearFilter="All",$E2291=YearFilter),OR(RatingFilter="All",$D2291=RatingFilter),OR(TypeFilter="All",$C2291=TypeFilter)),1,0)</f>
        <v/>
      </c>
    </row>
    <row r="2292" ht="15" customHeight="1" s="20">
      <c r="A2292" s="19" t="inlineStr">
        <is>
          <t>s7188</t>
        </is>
      </c>
      <c r="B2292" s="19" t="inlineStr">
        <is>
          <t>International TV Shows</t>
        </is>
      </c>
      <c r="C2292" s="19">
        <f>IFERROR(INDEX(tblNetflix[type],MATCH($A2292,tblNetflix[show_id],0)),"")</f>
        <v/>
      </c>
      <c r="D2292" s="19">
        <f>IFERROR(INDEX(tblNetflix[rating],MATCH($A2292,tblNetflix[show_id],0)),"")</f>
        <v/>
      </c>
      <c r="E2292" s="19">
        <f>IFERROR(INDEX(tblNetflix[year_added],MATCH($A2292,tblNetflix[show_id],0)),"")</f>
        <v/>
      </c>
      <c r="F2292" s="19">
        <f>IF(AND(OR(YearFilter="All",$E2292=YearFilter),OR(RatingFilter="All",$D2292=RatingFilter),OR(TypeFilter="All",$C2292=TypeFilter)),1,0)</f>
        <v/>
      </c>
    </row>
    <row r="2293" ht="15" customHeight="1" s="20">
      <c r="A2293" s="19" t="inlineStr">
        <is>
          <t>s7188</t>
        </is>
      </c>
      <c r="B2293" s="19" t="inlineStr">
        <is>
          <t>TV Dramas</t>
        </is>
      </c>
      <c r="C2293" s="19">
        <f>IFERROR(INDEX(tblNetflix[type],MATCH($A2293,tblNetflix[show_id],0)),"")</f>
        <v/>
      </c>
      <c r="D2293" s="19">
        <f>IFERROR(INDEX(tblNetflix[rating],MATCH($A2293,tblNetflix[show_id],0)),"")</f>
        <v/>
      </c>
      <c r="E2293" s="19">
        <f>IFERROR(INDEX(tblNetflix[year_added],MATCH($A2293,tblNetflix[show_id],0)),"")</f>
        <v/>
      </c>
      <c r="F2293" s="19">
        <f>IF(AND(OR(YearFilter="All",$E2293=YearFilter),OR(RatingFilter="All",$D2293=RatingFilter),OR(TypeFilter="All",$C2293=TypeFilter)),1,0)</f>
        <v/>
      </c>
    </row>
    <row r="2294" ht="15" customHeight="1" s="20">
      <c r="A2294" s="19" t="inlineStr">
        <is>
          <t>s7189</t>
        </is>
      </c>
      <c r="B2294" s="19" t="inlineStr">
        <is>
          <t>Classic Movies</t>
        </is>
      </c>
      <c r="C2294" s="19">
        <f>IFERROR(INDEX(tblNetflix[type],MATCH($A2294,tblNetflix[show_id],0)),"")</f>
        <v/>
      </c>
      <c r="D2294" s="19">
        <f>IFERROR(INDEX(tblNetflix[rating],MATCH($A2294,tblNetflix[show_id],0)),"")</f>
        <v/>
      </c>
      <c r="E2294" s="19">
        <f>IFERROR(INDEX(tblNetflix[year_added],MATCH($A2294,tblNetflix[show_id],0)),"")</f>
        <v/>
      </c>
      <c r="F2294" s="19">
        <f>IF(AND(OR(YearFilter="All",$E2294=YearFilter),OR(RatingFilter="All",$D2294=RatingFilter),OR(TypeFilter="All",$C2294=TypeFilter)),1,0)</f>
        <v/>
      </c>
    </row>
    <row r="2295" ht="15" customHeight="1" s="20">
      <c r="A2295" s="19" t="inlineStr">
        <is>
          <t>s7189</t>
        </is>
      </c>
      <c r="B2295" s="19" t="inlineStr">
        <is>
          <t>Comedies</t>
        </is>
      </c>
      <c r="C2295" s="19">
        <f>IFERROR(INDEX(tblNetflix[type],MATCH($A2295,tblNetflix[show_id],0)),"")</f>
        <v/>
      </c>
      <c r="D2295" s="19">
        <f>IFERROR(INDEX(tblNetflix[rating],MATCH($A2295,tblNetflix[show_id],0)),"")</f>
        <v/>
      </c>
      <c r="E2295" s="19">
        <f>IFERROR(INDEX(tblNetflix[year_added],MATCH($A2295,tblNetflix[show_id],0)),"")</f>
        <v/>
      </c>
      <c r="F2295" s="19">
        <f>IF(AND(OR(YearFilter="All",$E2295=YearFilter),OR(RatingFilter="All",$D2295=RatingFilter),OR(TypeFilter="All",$C2295=TypeFilter)),1,0)</f>
        <v/>
      </c>
    </row>
    <row r="2296" ht="15" customHeight="1" s="20">
      <c r="A2296" s="19" t="inlineStr">
        <is>
          <t>s7189</t>
        </is>
      </c>
      <c r="B2296" s="19" t="inlineStr">
        <is>
          <t>Dramas</t>
        </is>
      </c>
      <c r="C2296" s="19">
        <f>IFERROR(INDEX(tblNetflix[type],MATCH($A2296,tblNetflix[show_id],0)),"")</f>
        <v/>
      </c>
      <c r="D2296" s="19">
        <f>IFERROR(INDEX(tblNetflix[rating],MATCH($A2296,tblNetflix[show_id],0)),"")</f>
        <v/>
      </c>
      <c r="E2296" s="19">
        <f>IFERROR(INDEX(tblNetflix[year_added],MATCH($A2296,tblNetflix[show_id],0)),"")</f>
        <v/>
      </c>
      <c r="F2296" s="19">
        <f>IF(AND(OR(YearFilter="All",$E2296=YearFilter),OR(RatingFilter="All",$D2296=RatingFilter),OR(TypeFilter="All",$C2296=TypeFilter)),1,0)</f>
        <v/>
      </c>
    </row>
    <row r="2297" ht="15" customHeight="1" s="20">
      <c r="A2297" s="19" t="inlineStr">
        <is>
          <t>s7190</t>
        </is>
      </c>
      <c r="B2297" s="19" t="inlineStr">
        <is>
          <t>Comedies</t>
        </is>
      </c>
      <c r="C2297" s="19">
        <f>IFERROR(INDEX(tblNetflix[type],MATCH($A2297,tblNetflix[show_id],0)),"")</f>
        <v/>
      </c>
      <c r="D2297" s="19">
        <f>IFERROR(INDEX(tblNetflix[rating],MATCH($A2297,tblNetflix[show_id],0)),"")</f>
        <v/>
      </c>
      <c r="E2297" s="19">
        <f>IFERROR(INDEX(tblNetflix[year_added],MATCH($A2297,tblNetflix[show_id],0)),"")</f>
        <v/>
      </c>
      <c r="F2297" s="19">
        <f>IF(AND(OR(YearFilter="All",$E2297=YearFilter),OR(RatingFilter="All",$D2297=RatingFilter),OR(TypeFilter="All",$C2297=TypeFilter)),1,0)</f>
        <v/>
      </c>
    </row>
    <row r="2298" ht="15" customHeight="1" s="20">
      <c r="A2298" s="19" t="inlineStr">
        <is>
          <t>s7190</t>
        </is>
      </c>
      <c r="B2298" s="19" t="inlineStr">
        <is>
          <t>International Movies</t>
        </is>
      </c>
      <c r="C2298" s="19">
        <f>IFERROR(INDEX(tblNetflix[type],MATCH($A2298,tblNetflix[show_id],0)),"")</f>
        <v/>
      </c>
      <c r="D2298" s="19">
        <f>IFERROR(INDEX(tblNetflix[rating],MATCH($A2298,tblNetflix[show_id],0)),"")</f>
        <v/>
      </c>
      <c r="E2298" s="19">
        <f>IFERROR(INDEX(tblNetflix[year_added],MATCH($A2298,tblNetflix[show_id],0)),"")</f>
        <v/>
      </c>
      <c r="F2298" s="19">
        <f>IF(AND(OR(YearFilter="All",$E2298=YearFilter),OR(RatingFilter="All",$D2298=RatingFilter),OR(TypeFilter="All",$C2298=TypeFilter)),1,0)</f>
        <v/>
      </c>
    </row>
    <row r="2299" ht="15" customHeight="1" s="20">
      <c r="A2299" s="19" t="inlineStr">
        <is>
          <t>s7190</t>
        </is>
      </c>
      <c r="B2299" s="19" t="inlineStr">
        <is>
          <t>Music &amp; Musicals</t>
        </is>
      </c>
      <c r="C2299" s="19">
        <f>IFERROR(INDEX(tblNetflix[type],MATCH($A2299,tblNetflix[show_id],0)),"")</f>
        <v/>
      </c>
      <c r="D2299" s="19">
        <f>IFERROR(INDEX(tblNetflix[rating],MATCH($A2299,tblNetflix[show_id],0)),"")</f>
        <v/>
      </c>
      <c r="E2299" s="19">
        <f>IFERROR(INDEX(tblNetflix[year_added],MATCH($A2299,tblNetflix[show_id],0)),"")</f>
        <v/>
      </c>
      <c r="F2299" s="19">
        <f>IF(AND(OR(YearFilter="All",$E2299=YearFilter),OR(RatingFilter="All",$D2299=RatingFilter),OR(TypeFilter="All",$C2299=TypeFilter)),1,0)</f>
        <v/>
      </c>
    </row>
    <row r="2300" ht="15" customHeight="1" s="20">
      <c r="A2300" s="19" t="inlineStr">
        <is>
          <t>s7191</t>
        </is>
      </c>
      <c r="B2300" s="19" t="inlineStr">
        <is>
          <t>Dramas</t>
        </is>
      </c>
      <c r="C2300" s="19">
        <f>IFERROR(INDEX(tblNetflix[type],MATCH($A2300,tblNetflix[show_id],0)),"")</f>
        <v/>
      </c>
      <c r="D2300" s="19">
        <f>IFERROR(INDEX(tblNetflix[rating],MATCH($A2300,tblNetflix[show_id],0)),"")</f>
        <v/>
      </c>
      <c r="E2300" s="19">
        <f>IFERROR(INDEX(tblNetflix[year_added],MATCH($A2300,tblNetflix[show_id],0)),"")</f>
        <v/>
      </c>
      <c r="F2300" s="19">
        <f>IF(AND(OR(YearFilter="All",$E2300=YearFilter),OR(RatingFilter="All",$D2300=RatingFilter),OR(TypeFilter="All",$C2300=TypeFilter)),1,0)</f>
        <v/>
      </c>
    </row>
    <row r="2301" ht="15" customHeight="1" s="20">
      <c r="A2301" s="19" t="inlineStr">
        <is>
          <t>s7191</t>
        </is>
      </c>
      <c r="B2301" s="19" t="inlineStr">
        <is>
          <t>Independent Movies</t>
        </is>
      </c>
      <c r="C2301" s="19">
        <f>IFERROR(INDEX(tblNetflix[type],MATCH($A2301,tblNetflix[show_id],0)),"")</f>
        <v/>
      </c>
      <c r="D2301" s="19">
        <f>IFERROR(INDEX(tblNetflix[rating],MATCH($A2301,tblNetflix[show_id],0)),"")</f>
        <v/>
      </c>
      <c r="E2301" s="19">
        <f>IFERROR(INDEX(tblNetflix[year_added],MATCH($A2301,tblNetflix[show_id],0)),"")</f>
        <v/>
      </c>
      <c r="F2301" s="19">
        <f>IF(AND(OR(YearFilter="All",$E2301=YearFilter),OR(RatingFilter="All",$D2301=RatingFilter),OR(TypeFilter="All",$C2301=TypeFilter)),1,0)</f>
        <v/>
      </c>
    </row>
    <row r="2302" ht="15" customHeight="1" s="20">
      <c r="A2302" s="19" t="inlineStr">
        <is>
          <t>s7191</t>
        </is>
      </c>
      <c r="B2302" s="19" t="inlineStr">
        <is>
          <t>International Movies</t>
        </is>
      </c>
      <c r="C2302" s="19">
        <f>IFERROR(INDEX(tblNetflix[type],MATCH($A2302,tblNetflix[show_id],0)),"")</f>
        <v/>
      </c>
      <c r="D2302" s="19">
        <f>IFERROR(INDEX(tblNetflix[rating],MATCH($A2302,tblNetflix[show_id],0)),"")</f>
        <v/>
      </c>
      <c r="E2302" s="19">
        <f>IFERROR(INDEX(tblNetflix[year_added],MATCH($A2302,tblNetflix[show_id],0)),"")</f>
        <v/>
      </c>
      <c r="F2302" s="19">
        <f>IF(AND(OR(YearFilter="All",$E2302=YearFilter),OR(RatingFilter="All",$D2302=RatingFilter),OR(TypeFilter="All",$C2302=TypeFilter)),1,0)</f>
        <v/>
      </c>
    </row>
    <row r="2303" ht="15" customHeight="1" s="20">
      <c r="A2303" s="19" t="inlineStr">
        <is>
          <t>s7213</t>
        </is>
      </c>
      <c r="B2303" s="19" t="inlineStr">
        <is>
          <t>Comedies</t>
        </is>
      </c>
      <c r="C2303" s="19">
        <f>IFERROR(INDEX(tblNetflix[type],MATCH($A2303,tblNetflix[show_id],0)),"")</f>
        <v/>
      </c>
      <c r="D2303" s="19">
        <f>IFERROR(INDEX(tblNetflix[rating],MATCH($A2303,tblNetflix[show_id],0)),"")</f>
        <v/>
      </c>
      <c r="E2303" s="19">
        <f>IFERROR(INDEX(tblNetflix[year_added],MATCH($A2303,tblNetflix[show_id],0)),"")</f>
        <v/>
      </c>
      <c r="F2303" s="19">
        <f>IF(AND(OR(YearFilter="All",$E2303=YearFilter),OR(RatingFilter="All",$D2303=RatingFilter),OR(TypeFilter="All",$C2303=TypeFilter)),1,0)</f>
        <v/>
      </c>
    </row>
    <row r="2304" ht="15" customHeight="1" s="20">
      <c r="A2304" s="19" t="inlineStr">
        <is>
          <t>s7213</t>
        </is>
      </c>
      <c r="B2304" s="19" t="inlineStr">
        <is>
          <t>International Movies</t>
        </is>
      </c>
      <c r="C2304" s="19">
        <f>IFERROR(INDEX(tblNetflix[type],MATCH($A2304,tblNetflix[show_id],0)),"")</f>
        <v/>
      </c>
      <c r="D2304" s="19">
        <f>IFERROR(INDEX(tblNetflix[rating],MATCH($A2304,tblNetflix[show_id],0)),"")</f>
        <v/>
      </c>
      <c r="E2304" s="19">
        <f>IFERROR(INDEX(tblNetflix[year_added],MATCH($A2304,tblNetflix[show_id],0)),"")</f>
        <v/>
      </c>
      <c r="F2304" s="19">
        <f>IF(AND(OR(YearFilter="All",$E2304=YearFilter),OR(RatingFilter="All",$D2304=RatingFilter),OR(TypeFilter="All",$C2304=TypeFilter)),1,0)</f>
        <v/>
      </c>
    </row>
    <row r="2305" ht="15" customHeight="1" s="20">
      <c r="A2305" s="19" t="inlineStr">
        <is>
          <t>s7225</t>
        </is>
      </c>
      <c r="B2305" s="19" t="inlineStr">
        <is>
          <t>International Movies</t>
        </is>
      </c>
      <c r="C2305" s="19">
        <f>IFERROR(INDEX(tblNetflix[type],MATCH($A2305,tblNetflix[show_id],0)),"")</f>
        <v/>
      </c>
      <c r="D2305" s="19">
        <f>IFERROR(INDEX(tblNetflix[rating],MATCH($A2305,tblNetflix[show_id],0)),"")</f>
        <v/>
      </c>
      <c r="E2305" s="19">
        <f>IFERROR(INDEX(tblNetflix[year_added],MATCH($A2305,tblNetflix[show_id],0)),"")</f>
        <v/>
      </c>
      <c r="F2305" s="19">
        <f>IF(AND(OR(YearFilter="All",$E2305=YearFilter),OR(RatingFilter="All",$D2305=RatingFilter),OR(TypeFilter="All",$C2305=TypeFilter)),1,0)</f>
        <v/>
      </c>
    </row>
    <row r="2306" ht="15" customHeight="1" s="20">
      <c r="A2306" s="19" t="inlineStr">
        <is>
          <t>s7225</t>
        </is>
      </c>
      <c r="B2306" s="19" t="inlineStr">
        <is>
          <t>Romantic Movies</t>
        </is>
      </c>
      <c r="C2306" s="19">
        <f>IFERROR(INDEX(tblNetflix[type],MATCH($A2306,tblNetflix[show_id],0)),"")</f>
        <v/>
      </c>
      <c r="D2306" s="19">
        <f>IFERROR(INDEX(tblNetflix[rating],MATCH($A2306,tblNetflix[show_id],0)),"")</f>
        <v/>
      </c>
      <c r="E2306" s="19">
        <f>IFERROR(INDEX(tblNetflix[year_added],MATCH($A2306,tblNetflix[show_id],0)),"")</f>
        <v/>
      </c>
      <c r="F2306" s="19">
        <f>IF(AND(OR(YearFilter="All",$E2306=YearFilter),OR(RatingFilter="All",$D2306=RatingFilter),OR(TypeFilter="All",$C2306=TypeFilter)),1,0)</f>
        <v/>
      </c>
    </row>
    <row r="2307" ht="15" customHeight="1" s="20">
      <c r="A2307" s="19" t="inlineStr">
        <is>
          <t>s7231</t>
        </is>
      </c>
      <c r="B2307" s="19" t="inlineStr">
        <is>
          <t>Children &amp; Family Movies</t>
        </is>
      </c>
      <c r="C2307" s="19">
        <f>IFERROR(INDEX(tblNetflix[type],MATCH($A2307,tblNetflix[show_id],0)),"")</f>
        <v/>
      </c>
      <c r="D2307" s="19">
        <f>IFERROR(INDEX(tblNetflix[rating],MATCH($A2307,tblNetflix[show_id],0)),"")</f>
        <v/>
      </c>
      <c r="E2307" s="19">
        <f>IFERROR(INDEX(tblNetflix[year_added],MATCH($A2307,tblNetflix[show_id],0)),"")</f>
        <v/>
      </c>
      <c r="F2307" s="19">
        <f>IF(AND(OR(YearFilter="All",$E2307=YearFilter),OR(RatingFilter="All",$D2307=RatingFilter),OR(TypeFilter="All",$C2307=TypeFilter)),1,0)</f>
        <v/>
      </c>
    </row>
    <row r="2308" ht="15" customHeight="1" s="20">
      <c r="A2308" s="19" t="inlineStr">
        <is>
          <t>s7239</t>
        </is>
      </c>
      <c r="B2308" s="19" t="inlineStr">
        <is>
          <t>Dramas</t>
        </is>
      </c>
      <c r="C2308" s="19">
        <f>IFERROR(INDEX(tblNetflix[type],MATCH($A2308,tblNetflix[show_id],0)),"")</f>
        <v/>
      </c>
      <c r="D2308" s="19">
        <f>IFERROR(INDEX(tblNetflix[rating],MATCH($A2308,tblNetflix[show_id],0)),"")</f>
        <v/>
      </c>
      <c r="E2308" s="19">
        <f>IFERROR(INDEX(tblNetflix[year_added],MATCH($A2308,tblNetflix[show_id],0)),"")</f>
        <v/>
      </c>
      <c r="F2308" s="19">
        <f>IF(AND(OR(YearFilter="All",$E2308=YearFilter),OR(RatingFilter="All",$D2308=RatingFilter),OR(TypeFilter="All",$C2308=TypeFilter)),1,0)</f>
        <v/>
      </c>
    </row>
    <row r="2309" ht="15" customHeight="1" s="20">
      <c r="A2309" s="19" t="inlineStr">
        <is>
          <t>s7239</t>
        </is>
      </c>
      <c r="B2309" s="19" t="inlineStr">
        <is>
          <t>Independent Movies</t>
        </is>
      </c>
      <c r="C2309" s="19">
        <f>IFERROR(INDEX(tblNetflix[type],MATCH($A2309,tblNetflix[show_id],0)),"")</f>
        <v/>
      </c>
      <c r="D2309" s="19">
        <f>IFERROR(INDEX(tblNetflix[rating],MATCH($A2309,tblNetflix[show_id],0)),"")</f>
        <v/>
      </c>
      <c r="E2309" s="19">
        <f>IFERROR(INDEX(tblNetflix[year_added],MATCH($A2309,tblNetflix[show_id],0)),"")</f>
        <v/>
      </c>
      <c r="F2309" s="19">
        <f>IF(AND(OR(YearFilter="All",$E2309=YearFilter),OR(RatingFilter="All",$D2309=RatingFilter),OR(TypeFilter="All",$C2309=TypeFilter)),1,0)</f>
        <v/>
      </c>
    </row>
    <row r="2310" ht="15" customHeight="1" s="20">
      <c r="A2310" s="19" t="inlineStr">
        <is>
          <t>s7239</t>
        </is>
      </c>
      <c r="B2310" s="19" t="inlineStr">
        <is>
          <t>International Movies</t>
        </is>
      </c>
      <c r="C2310" s="19">
        <f>IFERROR(INDEX(tblNetflix[type],MATCH($A2310,tblNetflix[show_id],0)),"")</f>
        <v/>
      </c>
      <c r="D2310" s="19">
        <f>IFERROR(INDEX(tblNetflix[rating],MATCH($A2310,tblNetflix[show_id],0)),"")</f>
        <v/>
      </c>
      <c r="E2310" s="19">
        <f>IFERROR(INDEX(tblNetflix[year_added],MATCH($A2310,tblNetflix[show_id],0)),"")</f>
        <v/>
      </c>
      <c r="F2310" s="19">
        <f>IF(AND(OR(YearFilter="All",$E2310=YearFilter),OR(RatingFilter="All",$D2310=RatingFilter),OR(TypeFilter="All",$C2310=TypeFilter)),1,0)</f>
        <v/>
      </c>
    </row>
    <row r="2311" ht="15" customHeight="1" s="20">
      <c r="A2311" s="19" t="inlineStr">
        <is>
          <t>s7243</t>
        </is>
      </c>
      <c r="B2311" s="19" t="inlineStr">
        <is>
          <t>Action &amp; Adventure</t>
        </is>
      </c>
      <c r="C2311" s="19">
        <f>IFERROR(INDEX(tblNetflix[type],MATCH($A2311,tblNetflix[show_id],0)),"")</f>
        <v/>
      </c>
      <c r="D2311" s="19">
        <f>IFERROR(INDEX(tblNetflix[rating],MATCH($A2311,tblNetflix[show_id],0)),"")</f>
        <v/>
      </c>
      <c r="E2311" s="19">
        <f>IFERROR(INDEX(tblNetflix[year_added],MATCH($A2311,tblNetflix[show_id],0)),"")</f>
        <v/>
      </c>
      <c r="F2311" s="19">
        <f>IF(AND(OR(YearFilter="All",$E2311=YearFilter),OR(RatingFilter="All",$D2311=RatingFilter),OR(TypeFilter="All",$C2311=TypeFilter)),1,0)</f>
        <v/>
      </c>
    </row>
    <row r="2312" ht="15" customHeight="1" s="20">
      <c r="A2312" s="19" t="inlineStr">
        <is>
          <t>s7243</t>
        </is>
      </c>
      <c r="B2312" s="19" t="inlineStr">
        <is>
          <t>Comedies</t>
        </is>
      </c>
      <c r="C2312" s="19">
        <f>IFERROR(INDEX(tblNetflix[type],MATCH($A2312,tblNetflix[show_id],0)),"")</f>
        <v/>
      </c>
      <c r="D2312" s="19">
        <f>IFERROR(INDEX(tblNetflix[rating],MATCH($A2312,tblNetflix[show_id],0)),"")</f>
        <v/>
      </c>
      <c r="E2312" s="19">
        <f>IFERROR(INDEX(tblNetflix[year_added],MATCH($A2312,tblNetflix[show_id],0)),"")</f>
        <v/>
      </c>
      <c r="F2312" s="19">
        <f>IF(AND(OR(YearFilter="All",$E2312=YearFilter),OR(RatingFilter="All",$D2312=RatingFilter),OR(TypeFilter="All",$C2312=TypeFilter)),1,0)</f>
        <v/>
      </c>
    </row>
    <row r="2313" ht="15" customHeight="1" s="20">
      <c r="A2313" s="19" t="inlineStr">
        <is>
          <t>s7243</t>
        </is>
      </c>
      <c r="B2313" s="19" t="inlineStr">
        <is>
          <t>International Movies</t>
        </is>
      </c>
      <c r="C2313" s="19">
        <f>IFERROR(INDEX(tblNetflix[type],MATCH($A2313,tblNetflix[show_id],0)),"")</f>
        <v/>
      </c>
      <c r="D2313" s="19">
        <f>IFERROR(INDEX(tblNetflix[rating],MATCH($A2313,tblNetflix[show_id],0)),"")</f>
        <v/>
      </c>
      <c r="E2313" s="19">
        <f>IFERROR(INDEX(tblNetflix[year_added],MATCH($A2313,tblNetflix[show_id],0)),"")</f>
        <v/>
      </c>
      <c r="F2313" s="19">
        <f>IF(AND(OR(YearFilter="All",$E2313=YearFilter),OR(RatingFilter="All",$D2313=RatingFilter),OR(TypeFilter="All",$C2313=TypeFilter)),1,0)</f>
        <v/>
      </c>
    </row>
    <row r="2314" ht="15" customHeight="1" s="20">
      <c r="A2314" s="19" t="inlineStr">
        <is>
          <t>s7248</t>
        </is>
      </c>
      <c r="B2314" s="19" t="inlineStr">
        <is>
          <t>Dramas</t>
        </is>
      </c>
      <c r="C2314" s="19">
        <f>IFERROR(INDEX(tblNetflix[type],MATCH($A2314,tblNetflix[show_id],0)),"")</f>
        <v/>
      </c>
      <c r="D2314" s="19">
        <f>IFERROR(INDEX(tblNetflix[rating],MATCH($A2314,tblNetflix[show_id],0)),"")</f>
        <v/>
      </c>
      <c r="E2314" s="19">
        <f>IFERROR(INDEX(tblNetflix[year_added],MATCH($A2314,tblNetflix[show_id],0)),"")</f>
        <v/>
      </c>
      <c r="F2314" s="19">
        <f>IF(AND(OR(YearFilter="All",$E2314=YearFilter),OR(RatingFilter="All",$D2314=RatingFilter),OR(TypeFilter="All",$C2314=TypeFilter)),1,0)</f>
        <v/>
      </c>
    </row>
    <row r="2315" ht="15" customHeight="1" s="20">
      <c r="A2315" s="19" t="inlineStr">
        <is>
          <t>s7248</t>
        </is>
      </c>
      <c r="B2315" s="19" t="inlineStr">
        <is>
          <t>International Movies</t>
        </is>
      </c>
      <c r="C2315" s="19">
        <f>IFERROR(INDEX(tblNetflix[type],MATCH($A2315,tblNetflix[show_id],0)),"")</f>
        <v/>
      </c>
      <c r="D2315" s="19">
        <f>IFERROR(INDEX(tblNetflix[rating],MATCH($A2315,tblNetflix[show_id],0)),"")</f>
        <v/>
      </c>
      <c r="E2315" s="19">
        <f>IFERROR(INDEX(tblNetflix[year_added],MATCH($A2315,tblNetflix[show_id],0)),"")</f>
        <v/>
      </c>
      <c r="F2315" s="19">
        <f>IF(AND(OR(YearFilter="All",$E2315=YearFilter),OR(RatingFilter="All",$D2315=RatingFilter),OR(TypeFilter="All",$C2315=TypeFilter)),1,0)</f>
        <v/>
      </c>
    </row>
    <row r="2316" ht="15" customHeight="1" s="20">
      <c r="A2316" s="19" t="inlineStr">
        <is>
          <t>s7248</t>
        </is>
      </c>
      <c r="B2316" s="19" t="inlineStr">
        <is>
          <t>Romantic Movies</t>
        </is>
      </c>
      <c r="C2316" s="19">
        <f>IFERROR(INDEX(tblNetflix[type],MATCH($A2316,tblNetflix[show_id],0)),"")</f>
        <v/>
      </c>
      <c r="D2316" s="19">
        <f>IFERROR(INDEX(tblNetflix[rating],MATCH($A2316,tblNetflix[show_id],0)),"")</f>
        <v/>
      </c>
      <c r="E2316" s="19">
        <f>IFERROR(INDEX(tblNetflix[year_added],MATCH($A2316,tblNetflix[show_id],0)),"")</f>
        <v/>
      </c>
      <c r="F2316" s="19">
        <f>IF(AND(OR(YearFilter="All",$E2316=YearFilter),OR(RatingFilter="All",$D2316=RatingFilter),OR(TypeFilter="All",$C2316=TypeFilter)),1,0)</f>
        <v/>
      </c>
    </row>
    <row r="2317" ht="15" customHeight="1" s="20">
      <c r="A2317" s="19" t="inlineStr">
        <is>
          <t>s7250</t>
        </is>
      </c>
      <c r="B2317" s="19" t="inlineStr">
        <is>
          <t>International Movies</t>
        </is>
      </c>
      <c r="C2317" s="19">
        <f>IFERROR(INDEX(tblNetflix[type],MATCH($A2317,tblNetflix[show_id],0)),"")</f>
        <v/>
      </c>
      <c r="D2317" s="19">
        <f>IFERROR(INDEX(tblNetflix[rating],MATCH($A2317,tblNetflix[show_id],0)),"")</f>
        <v/>
      </c>
      <c r="E2317" s="19">
        <f>IFERROR(INDEX(tblNetflix[year_added],MATCH($A2317,tblNetflix[show_id],0)),"")</f>
        <v/>
      </c>
      <c r="F2317" s="19">
        <f>IF(AND(OR(YearFilter="All",$E2317=YearFilter),OR(RatingFilter="All",$D2317=RatingFilter),OR(TypeFilter="All",$C2317=TypeFilter)),1,0)</f>
        <v/>
      </c>
    </row>
    <row r="2318" ht="15" customHeight="1" s="20">
      <c r="A2318" s="19" t="inlineStr">
        <is>
          <t>s7250</t>
        </is>
      </c>
      <c r="B2318" s="19" t="inlineStr">
        <is>
          <t>Romantic Movies</t>
        </is>
      </c>
      <c r="C2318" s="19">
        <f>IFERROR(INDEX(tblNetflix[type],MATCH($A2318,tblNetflix[show_id],0)),"")</f>
        <v/>
      </c>
      <c r="D2318" s="19">
        <f>IFERROR(INDEX(tblNetflix[rating],MATCH($A2318,tblNetflix[show_id],0)),"")</f>
        <v/>
      </c>
      <c r="E2318" s="19">
        <f>IFERROR(INDEX(tblNetflix[year_added],MATCH($A2318,tblNetflix[show_id],0)),"")</f>
        <v/>
      </c>
      <c r="F2318" s="19">
        <f>IF(AND(OR(YearFilter="All",$E2318=YearFilter),OR(RatingFilter="All",$D2318=RatingFilter),OR(TypeFilter="All",$C2318=TypeFilter)),1,0)</f>
        <v/>
      </c>
    </row>
    <row r="2319" ht="15" customHeight="1" s="20">
      <c r="A2319" s="19" t="inlineStr">
        <is>
          <t>s7260</t>
        </is>
      </c>
      <c r="B2319" s="19" t="inlineStr">
        <is>
          <t>Dramas</t>
        </is>
      </c>
      <c r="C2319" s="19">
        <f>IFERROR(INDEX(tblNetflix[type],MATCH($A2319,tblNetflix[show_id],0)),"")</f>
        <v/>
      </c>
      <c r="D2319" s="19">
        <f>IFERROR(INDEX(tblNetflix[rating],MATCH($A2319,tblNetflix[show_id],0)),"")</f>
        <v/>
      </c>
      <c r="E2319" s="19">
        <f>IFERROR(INDEX(tblNetflix[year_added],MATCH($A2319,tblNetflix[show_id],0)),"")</f>
        <v/>
      </c>
      <c r="F2319" s="19">
        <f>IF(AND(OR(YearFilter="All",$E2319=YearFilter),OR(RatingFilter="All",$D2319=RatingFilter),OR(TypeFilter="All",$C2319=TypeFilter)),1,0)</f>
        <v/>
      </c>
    </row>
    <row r="2320" ht="15" customHeight="1" s="20">
      <c r="A2320" s="19" t="inlineStr">
        <is>
          <t>s7260</t>
        </is>
      </c>
      <c r="B2320" s="19" t="inlineStr">
        <is>
          <t>International Movies</t>
        </is>
      </c>
      <c r="C2320" s="19">
        <f>IFERROR(INDEX(tblNetflix[type],MATCH($A2320,tblNetflix[show_id],0)),"")</f>
        <v/>
      </c>
      <c r="D2320" s="19">
        <f>IFERROR(INDEX(tblNetflix[rating],MATCH($A2320,tblNetflix[show_id],0)),"")</f>
        <v/>
      </c>
      <c r="E2320" s="19">
        <f>IFERROR(INDEX(tblNetflix[year_added],MATCH($A2320,tblNetflix[show_id],0)),"")</f>
        <v/>
      </c>
      <c r="F2320" s="19">
        <f>IF(AND(OR(YearFilter="All",$E2320=YearFilter),OR(RatingFilter="All",$D2320=RatingFilter),OR(TypeFilter="All",$C2320=TypeFilter)),1,0)</f>
        <v/>
      </c>
    </row>
    <row r="2321" ht="15" customHeight="1" s="20">
      <c r="A2321" s="19" t="inlineStr">
        <is>
          <t>s7260</t>
        </is>
      </c>
      <c r="B2321" s="19" t="inlineStr">
        <is>
          <t>Thrillers</t>
        </is>
      </c>
      <c r="C2321" s="19">
        <f>IFERROR(INDEX(tblNetflix[type],MATCH($A2321,tblNetflix[show_id],0)),"")</f>
        <v/>
      </c>
      <c r="D2321" s="19">
        <f>IFERROR(INDEX(tblNetflix[rating],MATCH($A2321,tblNetflix[show_id],0)),"")</f>
        <v/>
      </c>
      <c r="E2321" s="19">
        <f>IFERROR(INDEX(tblNetflix[year_added],MATCH($A2321,tblNetflix[show_id],0)),"")</f>
        <v/>
      </c>
      <c r="F2321" s="19">
        <f>IF(AND(OR(YearFilter="All",$E2321=YearFilter),OR(RatingFilter="All",$D2321=RatingFilter),OR(TypeFilter="All",$C2321=TypeFilter)),1,0)</f>
        <v/>
      </c>
    </row>
    <row r="2322" ht="15" customHeight="1" s="20">
      <c r="A2322" s="19" t="inlineStr">
        <is>
          <t>s7266</t>
        </is>
      </c>
      <c r="B2322" s="19" t="inlineStr">
        <is>
          <t>Dramas</t>
        </is>
      </c>
      <c r="C2322" s="19">
        <f>IFERROR(INDEX(tblNetflix[type],MATCH($A2322,tblNetflix[show_id],0)),"")</f>
        <v/>
      </c>
      <c r="D2322" s="19">
        <f>IFERROR(INDEX(tblNetflix[rating],MATCH($A2322,tblNetflix[show_id],0)),"")</f>
        <v/>
      </c>
      <c r="E2322" s="19">
        <f>IFERROR(INDEX(tblNetflix[year_added],MATCH($A2322,tblNetflix[show_id],0)),"")</f>
        <v/>
      </c>
      <c r="F2322" s="19">
        <f>IF(AND(OR(YearFilter="All",$E2322=YearFilter),OR(RatingFilter="All",$D2322=RatingFilter),OR(TypeFilter="All",$C2322=TypeFilter)),1,0)</f>
        <v/>
      </c>
    </row>
    <row r="2323" ht="15" customHeight="1" s="20">
      <c r="A2323" s="19" t="inlineStr">
        <is>
          <t>s7266</t>
        </is>
      </c>
      <c r="B2323" s="19" t="inlineStr">
        <is>
          <t>International Movies</t>
        </is>
      </c>
      <c r="C2323" s="19">
        <f>IFERROR(INDEX(tblNetflix[type],MATCH($A2323,tblNetflix[show_id],0)),"")</f>
        <v/>
      </c>
      <c r="D2323" s="19">
        <f>IFERROR(INDEX(tblNetflix[rating],MATCH($A2323,tblNetflix[show_id],0)),"")</f>
        <v/>
      </c>
      <c r="E2323" s="19">
        <f>IFERROR(INDEX(tblNetflix[year_added],MATCH($A2323,tblNetflix[show_id],0)),"")</f>
        <v/>
      </c>
      <c r="F2323" s="19">
        <f>IF(AND(OR(YearFilter="All",$E2323=YearFilter),OR(RatingFilter="All",$D2323=RatingFilter),OR(TypeFilter="All",$C2323=TypeFilter)),1,0)</f>
        <v/>
      </c>
    </row>
    <row r="2324" ht="15" customHeight="1" s="20">
      <c r="A2324" s="19" t="inlineStr">
        <is>
          <t>s7281</t>
        </is>
      </c>
      <c r="B2324" s="19" t="inlineStr">
        <is>
          <t>Comedies</t>
        </is>
      </c>
      <c r="C2324" s="19">
        <f>IFERROR(INDEX(tblNetflix[type],MATCH($A2324,tblNetflix[show_id],0)),"")</f>
        <v/>
      </c>
      <c r="D2324" s="19">
        <f>IFERROR(INDEX(tblNetflix[rating],MATCH($A2324,tblNetflix[show_id],0)),"")</f>
        <v/>
      </c>
      <c r="E2324" s="19">
        <f>IFERROR(INDEX(tblNetflix[year_added],MATCH($A2324,tblNetflix[show_id],0)),"")</f>
        <v/>
      </c>
      <c r="F2324" s="19">
        <f>IF(AND(OR(YearFilter="All",$E2324=YearFilter),OR(RatingFilter="All",$D2324=RatingFilter),OR(TypeFilter="All",$C2324=TypeFilter)),1,0)</f>
        <v/>
      </c>
    </row>
    <row r="2325" ht="15" customHeight="1" s="20">
      <c r="A2325" s="19" t="inlineStr">
        <is>
          <t>s7281</t>
        </is>
      </c>
      <c r="B2325" s="19" t="inlineStr">
        <is>
          <t>Horror Movies</t>
        </is>
      </c>
      <c r="C2325" s="19">
        <f>IFERROR(INDEX(tblNetflix[type],MATCH($A2325,tblNetflix[show_id],0)),"")</f>
        <v/>
      </c>
      <c r="D2325" s="19">
        <f>IFERROR(INDEX(tblNetflix[rating],MATCH($A2325,tblNetflix[show_id],0)),"")</f>
        <v/>
      </c>
      <c r="E2325" s="19">
        <f>IFERROR(INDEX(tblNetflix[year_added],MATCH($A2325,tblNetflix[show_id],0)),"")</f>
        <v/>
      </c>
      <c r="F2325" s="19">
        <f>IF(AND(OR(YearFilter="All",$E2325=YearFilter),OR(RatingFilter="All",$D2325=RatingFilter),OR(TypeFilter="All",$C2325=TypeFilter)),1,0)</f>
        <v/>
      </c>
    </row>
    <row r="2326" ht="15" customHeight="1" s="20">
      <c r="A2326" s="19" t="inlineStr">
        <is>
          <t>s7281</t>
        </is>
      </c>
      <c r="B2326" s="19" t="inlineStr">
        <is>
          <t>International Movies</t>
        </is>
      </c>
      <c r="C2326" s="19">
        <f>IFERROR(INDEX(tblNetflix[type],MATCH($A2326,tblNetflix[show_id],0)),"")</f>
        <v/>
      </c>
      <c r="D2326" s="19">
        <f>IFERROR(INDEX(tblNetflix[rating],MATCH($A2326,tblNetflix[show_id],0)),"")</f>
        <v/>
      </c>
      <c r="E2326" s="19">
        <f>IFERROR(INDEX(tblNetflix[year_added],MATCH($A2326,tblNetflix[show_id],0)),"")</f>
        <v/>
      </c>
      <c r="F2326" s="19">
        <f>IF(AND(OR(YearFilter="All",$E2326=YearFilter),OR(RatingFilter="All",$D2326=RatingFilter),OR(TypeFilter="All",$C2326=TypeFilter)),1,0)</f>
        <v/>
      </c>
    </row>
    <row r="2327" ht="15" customHeight="1" s="20">
      <c r="A2327" s="19" t="inlineStr">
        <is>
          <t>s7309</t>
        </is>
      </c>
      <c r="B2327" s="19" t="inlineStr">
        <is>
          <t>Dramas</t>
        </is>
      </c>
      <c r="C2327" s="19">
        <f>IFERROR(INDEX(tblNetflix[type],MATCH($A2327,tblNetflix[show_id],0)),"")</f>
        <v/>
      </c>
      <c r="D2327" s="19">
        <f>IFERROR(INDEX(tblNetflix[rating],MATCH($A2327,tblNetflix[show_id],0)),"")</f>
        <v/>
      </c>
      <c r="E2327" s="19">
        <f>IFERROR(INDEX(tblNetflix[year_added],MATCH($A2327,tblNetflix[show_id],0)),"")</f>
        <v/>
      </c>
      <c r="F2327" s="19">
        <f>IF(AND(OR(YearFilter="All",$E2327=YearFilter),OR(RatingFilter="All",$D2327=RatingFilter),OR(TypeFilter="All",$C2327=TypeFilter)),1,0)</f>
        <v/>
      </c>
    </row>
    <row r="2328" ht="15" customHeight="1" s="20">
      <c r="A2328" s="19" t="inlineStr">
        <is>
          <t>s7338</t>
        </is>
      </c>
      <c r="B2328" s="19" t="inlineStr">
        <is>
          <t>Dramas</t>
        </is>
      </c>
      <c r="C2328" s="19">
        <f>IFERROR(INDEX(tblNetflix[type],MATCH($A2328,tblNetflix[show_id],0)),"")</f>
        <v/>
      </c>
      <c r="D2328" s="19">
        <f>IFERROR(INDEX(tblNetflix[rating],MATCH($A2328,tblNetflix[show_id],0)),"")</f>
        <v/>
      </c>
      <c r="E2328" s="19">
        <f>IFERROR(INDEX(tblNetflix[year_added],MATCH($A2328,tblNetflix[show_id],0)),"")</f>
        <v/>
      </c>
      <c r="F2328" s="19">
        <f>IF(AND(OR(YearFilter="All",$E2328=YearFilter),OR(RatingFilter="All",$D2328=RatingFilter),OR(TypeFilter="All",$C2328=TypeFilter)),1,0)</f>
        <v/>
      </c>
    </row>
    <row r="2329" ht="15" customHeight="1" s="20">
      <c r="A2329" s="19" t="inlineStr">
        <is>
          <t>s7338</t>
        </is>
      </c>
      <c r="B2329" s="19" t="inlineStr">
        <is>
          <t>International Movies</t>
        </is>
      </c>
      <c r="C2329" s="19">
        <f>IFERROR(INDEX(tblNetflix[type],MATCH($A2329,tblNetflix[show_id],0)),"")</f>
        <v/>
      </c>
      <c r="D2329" s="19">
        <f>IFERROR(INDEX(tblNetflix[rating],MATCH($A2329,tblNetflix[show_id],0)),"")</f>
        <v/>
      </c>
      <c r="E2329" s="19">
        <f>IFERROR(INDEX(tblNetflix[year_added],MATCH($A2329,tblNetflix[show_id],0)),"")</f>
        <v/>
      </c>
      <c r="F2329" s="19">
        <f>IF(AND(OR(YearFilter="All",$E2329=YearFilter),OR(RatingFilter="All",$D2329=RatingFilter),OR(TypeFilter="All",$C2329=TypeFilter)),1,0)</f>
        <v/>
      </c>
    </row>
    <row r="2330" ht="15" customHeight="1" s="20">
      <c r="A2330" s="19" t="inlineStr">
        <is>
          <t>s7338</t>
        </is>
      </c>
      <c r="B2330" s="19" t="inlineStr">
        <is>
          <t>Sports Movies</t>
        </is>
      </c>
      <c r="C2330" s="19">
        <f>IFERROR(INDEX(tblNetflix[type],MATCH($A2330,tblNetflix[show_id],0)),"")</f>
        <v/>
      </c>
      <c r="D2330" s="19">
        <f>IFERROR(INDEX(tblNetflix[rating],MATCH($A2330,tblNetflix[show_id],0)),"")</f>
        <v/>
      </c>
      <c r="E2330" s="19">
        <f>IFERROR(INDEX(tblNetflix[year_added],MATCH($A2330,tblNetflix[show_id],0)),"")</f>
        <v/>
      </c>
      <c r="F2330" s="19">
        <f>IF(AND(OR(YearFilter="All",$E2330=YearFilter),OR(RatingFilter="All",$D2330=RatingFilter),OR(TypeFilter="All",$C2330=TypeFilter)),1,0)</f>
        <v/>
      </c>
    </row>
    <row r="2331" ht="15" customHeight="1" s="20">
      <c r="A2331" s="19" t="inlineStr">
        <is>
          <t>s7347</t>
        </is>
      </c>
      <c r="B2331" s="19" t="inlineStr">
        <is>
          <t>Comedies</t>
        </is>
      </c>
      <c r="C2331" s="19">
        <f>IFERROR(INDEX(tblNetflix[type],MATCH($A2331,tblNetflix[show_id],0)),"")</f>
        <v/>
      </c>
      <c r="D2331" s="19">
        <f>IFERROR(INDEX(tblNetflix[rating],MATCH($A2331,tblNetflix[show_id],0)),"")</f>
        <v/>
      </c>
      <c r="E2331" s="19">
        <f>IFERROR(INDEX(tblNetflix[year_added],MATCH($A2331,tblNetflix[show_id],0)),"")</f>
        <v/>
      </c>
      <c r="F2331" s="19">
        <f>IF(AND(OR(YearFilter="All",$E2331=YearFilter),OR(RatingFilter="All",$D2331=RatingFilter),OR(TypeFilter="All",$C2331=TypeFilter)),1,0)</f>
        <v/>
      </c>
    </row>
    <row r="2332" ht="15" customHeight="1" s="20">
      <c r="A2332" s="19" t="inlineStr">
        <is>
          <t>s7347</t>
        </is>
      </c>
      <c r="B2332" s="19" t="inlineStr">
        <is>
          <t>International Movies</t>
        </is>
      </c>
      <c r="C2332" s="19">
        <f>IFERROR(INDEX(tblNetflix[type],MATCH($A2332,tblNetflix[show_id],0)),"")</f>
        <v/>
      </c>
      <c r="D2332" s="19">
        <f>IFERROR(INDEX(tblNetflix[rating],MATCH($A2332,tblNetflix[show_id],0)),"")</f>
        <v/>
      </c>
      <c r="E2332" s="19">
        <f>IFERROR(INDEX(tblNetflix[year_added],MATCH($A2332,tblNetflix[show_id],0)),"")</f>
        <v/>
      </c>
      <c r="F2332" s="19">
        <f>IF(AND(OR(YearFilter="All",$E2332=YearFilter),OR(RatingFilter="All",$D2332=RatingFilter),OR(TypeFilter="All",$C2332=TypeFilter)),1,0)</f>
        <v/>
      </c>
    </row>
    <row r="2333" ht="15" customHeight="1" s="20">
      <c r="A2333" s="19" t="inlineStr">
        <is>
          <t>s7347</t>
        </is>
      </c>
      <c r="B2333" s="19" t="inlineStr">
        <is>
          <t>Romantic Movies</t>
        </is>
      </c>
      <c r="C2333" s="19">
        <f>IFERROR(INDEX(tblNetflix[type],MATCH($A2333,tblNetflix[show_id],0)),"")</f>
        <v/>
      </c>
      <c r="D2333" s="19">
        <f>IFERROR(INDEX(tblNetflix[rating],MATCH($A2333,tblNetflix[show_id],0)),"")</f>
        <v/>
      </c>
      <c r="E2333" s="19">
        <f>IFERROR(INDEX(tblNetflix[year_added],MATCH($A2333,tblNetflix[show_id],0)),"")</f>
        <v/>
      </c>
      <c r="F2333" s="19">
        <f>IF(AND(OR(YearFilter="All",$E2333=YearFilter),OR(RatingFilter="All",$D2333=RatingFilter),OR(TypeFilter="All",$C2333=TypeFilter)),1,0)</f>
        <v/>
      </c>
    </row>
    <row r="2334" ht="15" customHeight="1" s="20">
      <c r="A2334" s="19" t="inlineStr">
        <is>
          <t>s7361</t>
        </is>
      </c>
      <c r="B2334" s="19" t="inlineStr">
        <is>
          <t>Dramas</t>
        </is>
      </c>
      <c r="C2334" s="19">
        <f>IFERROR(INDEX(tblNetflix[type],MATCH($A2334,tblNetflix[show_id],0)),"")</f>
        <v/>
      </c>
      <c r="D2334" s="19">
        <f>IFERROR(INDEX(tblNetflix[rating],MATCH($A2334,tblNetflix[show_id],0)),"")</f>
        <v/>
      </c>
      <c r="E2334" s="19">
        <f>IFERROR(INDEX(tblNetflix[year_added],MATCH($A2334,tblNetflix[show_id],0)),"")</f>
        <v/>
      </c>
      <c r="F2334" s="19">
        <f>IF(AND(OR(YearFilter="All",$E2334=YearFilter),OR(RatingFilter="All",$D2334=RatingFilter),OR(TypeFilter="All",$C2334=TypeFilter)),1,0)</f>
        <v/>
      </c>
    </row>
    <row r="2335" ht="15" customHeight="1" s="20">
      <c r="A2335" s="19" t="inlineStr">
        <is>
          <t>s7361</t>
        </is>
      </c>
      <c r="B2335" s="19" t="inlineStr">
        <is>
          <t>International Movies</t>
        </is>
      </c>
      <c r="C2335" s="19">
        <f>IFERROR(INDEX(tblNetflix[type],MATCH($A2335,tblNetflix[show_id],0)),"")</f>
        <v/>
      </c>
      <c r="D2335" s="19">
        <f>IFERROR(INDEX(tblNetflix[rating],MATCH($A2335,tblNetflix[show_id],0)),"")</f>
        <v/>
      </c>
      <c r="E2335" s="19">
        <f>IFERROR(INDEX(tblNetflix[year_added],MATCH($A2335,tblNetflix[show_id],0)),"")</f>
        <v/>
      </c>
      <c r="F2335" s="19">
        <f>IF(AND(OR(YearFilter="All",$E2335=YearFilter),OR(RatingFilter="All",$D2335=RatingFilter),OR(TypeFilter="All",$C2335=TypeFilter)),1,0)</f>
        <v/>
      </c>
    </row>
    <row r="2336" ht="15" customHeight="1" s="20">
      <c r="A2336" s="19" t="inlineStr">
        <is>
          <t>s7361</t>
        </is>
      </c>
      <c r="B2336" s="19" t="inlineStr">
        <is>
          <t>Romantic Movies</t>
        </is>
      </c>
      <c r="C2336" s="19">
        <f>IFERROR(INDEX(tblNetflix[type],MATCH($A2336,tblNetflix[show_id],0)),"")</f>
        <v/>
      </c>
      <c r="D2336" s="19">
        <f>IFERROR(INDEX(tblNetflix[rating],MATCH($A2336,tblNetflix[show_id],0)),"")</f>
        <v/>
      </c>
      <c r="E2336" s="19">
        <f>IFERROR(INDEX(tblNetflix[year_added],MATCH($A2336,tblNetflix[show_id],0)),"")</f>
        <v/>
      </c>
      <c r="F2336" s="19">
        <f>IF(AND(OR(YearFilter="All",$E2336=YearFilter),OR(RatingFilter="All",$D2336=RatingFilter),OR(TypeFilter="All",$C2336=TypeFilter)),1,0)</f>
        <v/>
      </c>
    </row>
    <row r="2337" ht="15" customHeight="1" s="20">
      <c r="A2337" s="19" t="inlineStr">
        <is>
          <t>s7362</t>
        </is>
      </c>
      <c r="B2337" s="19" t="inlineStr">
        <is>
          <t>Horror Movies</t>
        </is>
      </c>
      <c r="C2337" s="19">
        <f>IFERROR(INDEX(tblNetflix[type],MATCH($A2337,tblNetflix[show_id],0)),"")</f>
        <v/>
      </c>
      <c r="D2337" s="19">
        <f>IFERROR(INDEX(tblNetflix[rating],MATCH($A2337,tblNetflix[show_id],0)),"")</f>
        <v/>
      </c>
      <c r="E2337" s="19">
        <f>IFERROR(INDEX(tblNetflix[year_added],MATCH($A2337,tblNetflix[show_id],0)),"")</f>
        <v/>
      </c>
      <c r="F2337" s="19">
        <f>IF(AND(OR(YearFilter="All",$E2337=YearFilter),OR(RatingFilter="All",$D2337=RatingFilter),OR(TypeFilter="All",$C2337=TypeFilter)),1,0)</f>
        <v/>
      </c>
    </row>
    <row r="2338" ht="15" customHeight="1" s="20">
      <c r="A2338" s="19" t="inlineStr">
        <is>
          <t>s7362</t>
        </is>
      </c>
      <c r="B2338" s="19" t="inlineStr">
        <is>
          <t>International Movies</t>
        </is>
      </c>
      <c r="C2338" s="19">
        <f>IFERROR(INDEX(tblNetflix[type],MATCH($A2338,tblNetflix[show_id],0)),"")</f>
        <v/>
      </c>
      <c r="D2338" s="19">
        <f>IFERROR(INDEX(tblNetflix[rating],MATCH($A2338,tblNetflix[show_id],0)),"")</f>
        <v/>
      </c>
      <c r="E2338" s="19">
        <f>IFERROR(INDEX(tblNetflix[year_added],MATCH($A2338,tblNetflix[show_id],0)),"")</f>
        <v/>
      </c>
      <c r="F2338" s="19">
        <f>IF(AND(OR(YearFilter="All",$E2338=YearFilter),OR(RatingFilter="All",$D2338=RatingFilter),OR(TypeFilter="All",$C2338=TypeFilter)),1,0)</f>
        <v/>
      </c>
    </row>
    <row r="2339" ht="15" customHeight="1" s="20">
      <c r="A2339" s="19" t="inlineStr">
        <is>
          <t>s7362</t>
        </is>
      </c>
      <c r="B2339" s="19" t="inlineStr">
        <is>
          <t>Thrillers</t>
        </is>
      </c>
      <c r="C2339" s="19">
        <f>IFERROR(INDEX(tblNetflix[type],MATCH($A2339,tblNetflix[show_id],0)),"")</f>
        <v/>
      </c>
      <c r="D2339" s="19">
        <f>IFERROR(INDEX(tblNetflix[rating],MATCH($A2339,tblNetflix[show_id],0)),"")</f>
        <v/>
      </c>
      <c r="E2339" s="19">
        <f>IFERROR(INDEX(tblNetflix[year_added],MATCH($A2339,tblNetflix[show_id],0)),"")</f>
        <v/>
      </c>
      <c r="F2339" s="19">
        <f>IF(AND(OR(YearFilter="All",$E2339=YearFilter),OR(RatingFilter="All",$D2339=RatingFilter),OR(TypeFilter="All",$C2339=TypeFilter)),1,0)</f>
        <v/>
      </c>
    </row>
    <row r="2340" ht="15" customHeight="1" s="20">
      <c r="A2340" s="19" t="inlineStr">
        <is>
          <t>s7364</t>
        </is>
      </c>
      <c r="B2340" s="19" t="inlineStr">
        <is>
          <t>International Movies</t>
        </is>
      </c>
      <c r="C2340" s="19">
        <f>IFERROR(INDEX(tblNetflix[type],MATCH($A2340,tblNetflix[show_id],0)),"")</f>
        <v/>
      </c>
      <c r="D2340" s="19">
        <f>IFERROR(INDEX(tblNetflix[rating],MATCH($A2340,tblNetflix[show_id],0)),"")</f>
        <v/>
      </c>
      <c r="E2340" s="19">
        <f>IFERROR(INDEX(tblNetflix[year_added],MATCH($A2340,tblNetflix[show_id],0)),"")</f>
        <v/>
      </c>
      <c r="F2340" s="19">
        <f>IF(AND(OR(YearFilter="All",$E2340=YearFilter),OR(RatingFilter="All",$D2340=RatingFilter),OR(TypeFilter="All",$C2340=TypeFilter)),1,0)</f>
        <v/>
      </c>
    </row>
    <row r="2341" ht="15" customHeight="1" s="20">
      <c r="A2341" s="19" t="inlineStr">
        <is>
          <t>s7364</t>
        </is>
      </c>
      <c r="B2341" s="19" t="inlineStr">
        <is>
          <t>Thrillers</t>
        </is>
      </c>
      <c r="C2341" s="19">
        <f>IFERROR(INDEX(tblNetflix[type],MATCH($A2341,tblNetflix[show_id],0)),"")</f>
        <v/>
      </c>
      <c r="D2341" s="19">
        <f>IFERROR(INDEX(tblNetflix[rating],MATCH($A2341,tblNetflix[show_id],0)),"")</f>
        <v/>
      </c>
      <c r="E2341" s="19">
        <f>IFERROR(INDEX(tblNetflix[year_added],MATCH($A2341,tblNetflix[show_id],0)),"")</f>
        <v/>
      </c>
      <c r="F2341" s="19">
        <f>IF(AND(OR(YearFilter="All",$E2341=YearFilter),OR(RatingFilter="All",$D2341=RatingFilter),OR(TypeFilter="All",$C2341=TypeFilter)),1,0)</f>
        <v/>
      </c>
    </row>
    <row r="2342" ht="15" customHeight="1" s="20">
      <c r="A2342" s="19" t="inlineStr">
        <is>
          <t>s7365</t>
        </is>
      </c>
      <c r="B2342" s="19" t="inlineStr">
        <is>
          <t>Dramas</t>
        </is>
      </c>
      <c r="C2342" s="19">
        <f>IFERROR(INDEX(tblNetflix[type],MATCH($A2342,tblNetflix[show_id],0)),"")</f>
        <v/>
      </c>
      <c r="D2342" s="19">
        <f>IFERROR(INDEX(tblNetflix[rating],MATCH($A2342,tblNetflix[show_id],0)),"")</f>
        <v/>
      </c>
      <c r="E2342" s="19">
        <f>IFERROR(INDEX(tblNetflix[year_added],MATCH($A2342,tblNetflix[show_id],0)),"")</f>
        <v/>
      </c>
      <c r="F2342" s="19">
        <f>IF(AND(OR(YearFilter="All",$E2342=YearFilter),OR(RatingFilter="All",$D2342=RatingFilter),OR(TypeFilter="All",$C2342=TypeFilter)),1,0)</f>
        <v/>
      </c>
    </row>
    <row r="2343" ht="15" customHeight="1" s="20">
      <c r="A2343" s="19" t="inlineStr">
        <is>
          <t>s7365</t>
        </is>
      </c>
      <c r="B2343" s="19" t="inlineStr">
        <is>
          <t>International Movies</t>
        </is>
      </c>
      <c r="C2343" s="19">
        <f>IFERROR(INDEX(tblNetflix[type],MATCH($A2343,tblNetflix[show_id],0)),"")</f>
        <v/>
      </c>
      <c r="D2343" s="19">
        <f>IFERROR(INDEX(tblNetflix[rating],MATCH($A2343,tblNetflix[show_id],0)),"")</f>
        <v/>
      </c>
      <c r="E2343" s="19">
        <f>IFERROR(INDEX(tblNetflix[year_added],MATCH($A2343,tblNetflix[show_id],0)),"")</f>
        <v/>
      </c>
      <c r="F2343" s="19">
        <f>IF(AND(OR(YearFilter="All",$E2343=YearFilter),OR(RatingFilter="All",$D2343=RatingFilter),OR(TypeFilter="All",$C2343=TypeFilter)),1,0)</f>
        <v/>
      </c>
    </row>
    <row r="2344" ht="15" customHeight="1" s="20">
      <c r="A2344" s="19" t="inlineStr">
        <is>
          <t>s7367</t>
        </is>
      </c>
      <c r="B2344" s="19" t="inlineStr">
        <is>
          <t>Horror Movies</t>
        </is>
      </c>
      <c r="C2344" s="19">
        <f>IFERROR(INDEX(tblNetflix[type],MATCH($A2344,tblNetflix[show_id],0)),"")</f>
        <v/>
      </c>
      <c r="D2344" s="19">
        <f>IFERROR(INDEX(tblNetflix[rating],MATCH($A2344,tblNetflix[show_id],0)),"")</f>
        <v/>
      </c>
      <c r="E2344" s="19">
        <f>IFERROR(INDEX(tblNetflix[year_added],MATCH($A2344,tblNetflix[show_id],0)),"")</f>
        <v/>
      </c>
      <c r="F2344" s="19">
        <f>IF(AND(OR(YearFilter="All",$E2344=YearFilter),OR(RatingFilter="All",$D2344=RatingFilter),OR(TypeFilter="All",$C2344=TypeFilter)),1,0)</f>
        <v/>
      </c>
    </row>
    <row r="2345" ht="15" customHeight="1" s="20">
      <c r="A2345" s="19" t="inlineStr">
        <is>
          <t>s7367</t>
        </is>
      </c>
      <c r="B2345" s="19" t="inlineStr">
        <is>
          <t>International Movies</t>
        </is>
      </c>
      <c r="C2345" s="19">
        <f>IFERROR(INDEX(tblNetflix[type],MATCH($A2345,tblNetflix[show_id],0)),"")</f>
        <v/>
      </c>
      <c r="D2345" s="19">
        <f>IFERROR(INDEX(tblNetflix[rating],MATCH($A2345,tblNetflix[show_id],0)),"")</f>
        <v/>
      </c>
      <c r="E2345" s="19">
        <f>IFERROR(INDEX(tblNetflix[year_added],MATCH($A2345,tblNetflix[show_id],0)),"")</f>
        <v/>
      </c>
      <c r="F2345" s="19">
        <f>IF(AND(OR(YearFilter="All",$E2345=YearFilter),OR(RatingFilter="All",$D2345=RatingFilter),OR(TypeFilter="All",$C2345=TypeFilter)),1,0)</f>
        <v/>
      </c>
    </row>
    <row r="2346" ht="15" customHeight="1" s="20">
      <c r="A2346" s="19" t="inlineStr">
        <is>
          <t>s7373</t>
        </is>
      </c>
      <c r="B2346" s="19" t="inlineStr">
        <is>
          <t>Dramas</t>
        </is>
      </c>
      <c r="C2346" s="19">
        <f>IFERROR(INDEX(tblNetflix[type],MATCH($A2346,tblNetflix[show_id],0)),"")</f>
        <v/>
      </c>
      <c r="D2346" s="19">
        <f>IFERROR(INDEX(tblNetflix[rating],MATCH($A2346,tblNetflix[show_id],0)),"")</f>
        <v/>
      </c>
      <c r="E2346" s="19">
        <f>IFERROR(INDEX(tblNetflix[year_added],MATCH($A2346,tblNetflix[show_id],0)),"")</f>
        <v/>
      </c>
      <c r="F2346" s="19">
        <f>IF(AND(OR(YearFilter="All",$E2346=YearFilter),OR(RatingFilter="All",$D2346=RatingFilter),OR(TypeFilter="All",$C2346=TypeFilter)),1,0)</f>
        <v/>
      </c>
    </row>
    <row r="2347" ht="15" customHeight="1" s="20">
      <c r="A2347" s="19" t="inlineStr">
        <is>
          <t>s7373</t>
        </is>
      </c>
      <c r="B2347" s="19" t="inlineStr">
        <is>
          <t>Independent Movies</t>
        </is>
      </c>
      <c r="C2347" s="19">
        <f>IFERROR(INDEX(tblNetflix[type],MATCH($A2347,tblNetflix[show_id],0)),"")</f>
        <v/>
      </c>
      <c r="D2347" s="19">
        <f>IFERROR(INDEX(tblNetflix[rating],MATCH($A2347,tblNetflix[show_id],0)),"")</f>
        <v/>
      </c>
      <c r="E2347" s="19">
        <f>IFERROR(INDEX(tblNetflix[year_added],MATCH($A2347,tblNetflix[show_id],0)),"")</f>
        <v/>
      </c>
      <c r="F2347" s="19">
        <f>IF(AND(OR(YearFilter="All",$E2347=YearFilter),OR(RatingFilter="All",$D2347=RatingFilter),OR(TypeFilter="All",$C2347=TypeFilter)),1,0)</f>
        <v/>
      </c>
    </row>
    <row r="2348" ht="15" customHeight="1" s="20">
      <c r="A2348" s="19" t="inlineStr">
        <is>
          <t>s7373</t>
        </is>
      </c>
      <c r="B2348" s="19" t="inlineStr">
        <is>
          <t>International Movies</t>
        </is>
      </c>
      <c r="C2348" s="19">
        <f>IFERROR(INDEX(tblNetflix[type],MATCH($A2348,tblNetflix[show_id],0)),"")</f>
        <v/>
      </c>
      <c r="D2348" s="19">
        <f>IFERROR(INDEX(tblNetflix[rating],MATCH($A2348,tblNetflix[show_id],0)),"")</f>
        <v/>
      </c>
      <c r="E2348" s="19">
        <f>IFERROR(INDEX(tblNetflix[year_added],MATCH($A2348,tblNetflix[show_id],0)),"")</f>
        <v/>
      </c>
      <c r="F2348" s="19">
        <f>IF(AND(OR(YearFilter="All",$E2348=YearFilter),OR(RatingFilter="All",$D2348=RatingFilter),OR(TypeFilter="All",$C2348=TypeFilter)),1,0)</f>
        <v/>
      </c>
    </row>
    <row r="2349" ht="15" customHeight="1" s="20">
      <c r="A2349" s="19" t="inlineStr">
        <is>
          <t>s7381</t>
        </is>
      </c>
      <c r="B2349" s="19" t="inlineStr">
        <is>
          <t>Action &amp; Adventure</t>
        </is>
      </c>
      <c r="C2349" s="19">
        <f>IFERROR(INDEX(tblNetflix[type],MATCH($A2349,tblNetflix[show_id],0)),"")</f>
        <v/>
      </c>
      <c r="D2349" s="19">
        <f>IFERROR(INDEX(tblNetflix[rating],MATCH($A2349,tblNetflix[show_id],0)),"")</f>
        <v/>
      </c>
      <c r="E2349" s="19">
        <f>IFERROR(INDEX(tblNetflix[year_added],MATCH($A2349,tblNetflix[show_id],0)),"")</f>
        <v/>
      </c>
      <c r="F2349" s="19">
        <f>IF(AND(OR(YearFilter="All",$E2349=YearFilter),OR(RatingFilter="All",$D2349=RatingFilter),OR(TypeFilter="All",$C2349=TypeFilter)),1,0)</f>
        <v/>
      </c>
    </row>
    <row r="2350" ht="15" customHeight="1" s="20">
      <c r="A2350" s="19" t="inlineStr">
        <is>
          <t>s7381</t>
        </is>
      </c>
      <c r="B2350" s="19" t="inlineStr">
        <is>
          <t>Dramas</t>
        </is>
      </c>
      <c r="C2350" s="19">
        <f>IFERROR(INDEX(tblNetflix[type],MATCH($A2350,tblNetflix[show_id],0)),"")</f>
        <v/>
      </c>
      <c r="D2350" s="19">
        <f>IFERROR(INDEX(tblNetflix[rating],MATCH($A2350,tblNetflix[show_id],0)),"")</f>
        <v/>
      </c>
      <c r="E2350" s="19">
        <f>IFERROR(INDEX(tblNetflix[year_added],MATCH($A2350,tblNetflix[show_id],0)),"")</f>
        <v/>
      </c>
      <c r="F2350" s="19">
        <f>IF(AND(OR(YearFilter="All",$E2350=YearFilter),OR(RatingFilter="All",$D2350=RatingFilter),OR(TypeFilter="All",$C2350=TypeFilter)),1,0)</f>
        <v/>
      </c>
    </row>
    <row r="2351" ht="15" customHeight="1" s="20">
      <c r="A2351" s="19" t="inlineStr">
        <is>
          <t>s7381</t>
        </is>
      </c>
      <c r="B2351" s="19" t="inlineStr">
        <is>
          <t>International Movies</t>
        </is>
      </c>
      <c r="C2351" s="19">
        <f>IFERROR(INDEX(tblNetflix[type],MATCH($A2351,tblNetflix[show_id],0)),"")</f>
        <v/>
      </c>
      <c r="D2351" s="19">
        <f>IFERROR(INDEX(tblNetflix[rating],MATCH($A2351,tblNetflix[show_id],0)),"")</f>
        <v/>
      </c>
      <c r="E2351" s="19">
        <f>IFERROR(INDEX(tblNetflix[year_added],MATCH($A2351,tblNetflix[show_id],0)),"")</f>
        <v/>
      </c>
      <c r="F2351" s="19">
        <f>IF(AND(OR(YearFilter="All",$E2351=YearFilter),OR(RatingFilter="All",$D2351=RatingFilter),OR(TypeFilter="All",$C2351=TypeFilter)),1,0)</f>
        <v/>
      </c>
    </row>
    <row r="2352" ht="15" customHeight="1" s="20">
      <c r="A2352" s="19" t="inlineStr">
        <is>
          <t>s7382</t>
        </is>
      </c>
      <c r="B2352" s="19" t="inlineStr">
        <is>
          <t>International TV Shows</t>
        </is>
      </c>
      <c r="C2352" s="19">
        <f>IFERROR(INDEX(tblNetflix[type],MATCH($A2352,tblNetflix[show_id],0)),"")</f>
        <v/>
      </c>
      <c r="D2352" s="19">
        <f>IFERROR(INDEX(tblNetflix[rating],MATCH($A2352,tblNetflix[show_id],0)),"")</f>
        <v/>
      </c>
      <c r="E2352" s="19">
        <f>IFERROR(INDEX(tblNetflix[year_added],MATCH($A2352,tblNetflix[show_id],0)),"")</f>
        <v/>
      </c>
      <c r="F2352" s="19">
        <f>IF(AND(OR(YearFilter="All",$E2352=YearFilter),OR(RatingFilter="All",$D2352=RatingFilter),OR(TypeFilter="All",$C2352=TypeFilter)),1,0)</f>
        <v/>
      </c>
    </row>
    <row r="2353" ht="15" customHeight="1" s="20">
      <c r="A2353" s="19" t="inlineStr">
        <is>
          <t>s7382</t>
        </is>
      </c>
      <c r="B2353" s="19" t="inlineStr">
        <is>
          <t>TV Action &amp; Adventure</t>
        </is>
      </c>
      <c r="C2353" s="19">
        <f>IFERROR(INDEX(tblNetflix[type],MATCH($A2353,tblNetflix[show_id],0)),"")</f>
        <v/>
      </c>
      <c r="D2353" s="19">
        <f>IFERROR(INDEX(tblNetflix[rating],MATCH($A2353,tblNetflix[show_id],0)),"")</f>
        <v/>
      </c>
      <c r="E2353" s="19">
        <f>IFERROR(INDEX(tblNetflix[year_added],MATCH($A2353,tblNetflix[show_id],0)),"")</f>
        <v/>
      </c>
      <c r="F2353" s="19">
        <f>IF(AND(OR(YearFilter="All",$E2353=YearFilter),OR(RatingFilter="All",$D2353=RatingFilter),OR(TypeFilter="All",$C2353=TypeFilter)),1,0)</f>
        <v/>
      </c>
    </row>
    <row r="2354" ht="15" customHeight="1" s="20">
      <c r="A2354" s="19" t="inlineStr">
        <is>
          <t>s7382</t>
        </is>
      </c>
      <c r="B2354" s="19" t="inlineStr">
        <is>
          <t>TV Sci-Fi &amp; Fantasy</t>
        </is>
      </c>
      <c r="C2354" s="19">
        <f>IFERROR(INDEX(tblNetflix[type],MATCH($A2354,tblNetflix[show_id],0)),"")</f>
        <v/>
      </c>
      <c r="D2354" s="19">
        <f>IFERROR(INDEX(tblNetflix[rating],MATCH($A2354,tblNetflix[show_id],0)),"")</f>
        <v/>
      </c>
      <c r="E2354" s="19">
        <f>IFERROR(INDEX(tblNetflix[year_added],MATCH($A2354,tblNetflix[show_id],0)),"")</f>
        <v/>
      </c>
      <c r="F2354" s="19">
        <f>IF(AND(OR(YearFilter="All",$E2354=YearFilter),OR(RatingFilter="All",$D2354=RatingFilter),OR(TypeFilter="All",$C2354=TypeFilter)),1,0)</f>
        <v/>
      </c>
    </row>
    <row r="2355" ht="15" customHeight="1" s="20">
      <c r="A2355" s="19" t="inlineStr">
        <is>
          <t>s7383</t>
        </is>
      </c>
      <c r="B2355" s="19" t="inlineStr">
        <is>
          <t>International TV Shows</t>
        </is>
      </c>
      <c r="C2355" s="19">
        <f>IFERROR(INDEX(tblNetflix[type],MATCH($A2355,tblNetflix[show_id],0)),"")</f>
        <v/>
      </c>
      <c r="D2355" s="19">
        <f>IFERROR(INDEX(tblNetflix[rating],MATCH($A2355,tblNetflix[show_id],0)),"")</f>
        <v/>
      </c>
      <c r="E2355" s="19">
        <f>IFERROR(INDEX(tblNetflix[year_added],MATCH($A2355,tblNetflix[show_id],0)),"")</f>
        <v/>
      </c>
      <c r="F2355" s="19">
        <f>IF(AND(OR(YearFilter="All",$E2355=YearFilter),OR(RatingFilter="All",$D2355=RatingFilter),OR(TypeFilter="All",$C2355=TypeFilter)),1,0)</f>
        <v/>
      </c>
    </row>
    <row r="2356" ht="15" customHeight="1" s="20">
      <c r="A2356" s="19" t="inlineStr">
        <is>
          <t>s7383</t>
        </is>
      </c>
      <c r="B2356" s="19" t="inlineStr">
        <is>
          <t>TV Action &amp; Adventure</t>
        </is>
      </c>
      <c r="C2356" s="19">
        <f>IFERROR(INDEX(tblNetflix[type],MATCH($A2356,tblNetflix[show_id],0)),"")</f>
        <v/>
      </c>
      <c r="D2356" s="19">
        <f>IFERROR(INDEX(tblNetflix[rating],MATCH($A2356,tblNetflix[show_id],0)),"")</f>
        <v/>
      </c>
      <c r="E2356" s="19">
        <f>IFERROR(INDEX(tblNetflix[year_added],MATCH($A2356,tblNetflix[show_id],0)),"")</f>
        <v/>
      </c>
      <c r="F2356" s="19">
        <f>IF(AND(OR(YearFilter="All",$E2356=YearFilter),OR(RatingFilter="All",$D2356=RatingFilter),OR(TypeFilter="All",$C2356=TypeFilter)),1,0)</f>
        <v/>
      </c>
    </row>
    <row r="2357" ht="15" customHeight="1" s="20">
      <c r="A2357" s="19" t="inlineStr">
        <is>
          <t>s7383</t>
        </is>
      </c>
      <c r="B2357" s="19" t="inlineStr">
        <is>
          <t>TV Sci-Fi &amp; Fantasy</t>
        </is>
      </c>
      <c r="C2357" s="19">
        <f>IFERROR(INDEX(tblNetflix[type],MATCH($A2357,tblNetflix[show_id],0)),"")</f>
        <v/>
      </c>
      <c r="D2357" s="19">
        <f>IFERROR(INDEX(tblNetflix[rating],MATCH($A2357,tblNetflix[show_id],0)),"")</f>
        <v/>
      </c>
      <c r="E2357" s="19">
        <f>IFERROR(INDEX(tblNetflix[year_added],MATCH($A2357,tblNetflix[show_id],0)),"")</f>
        <v/>
      </c>
      <c r="F2357" s="19">
        <f>IF(AND(OR(YearFilter="All",$E2357=YearFilter),OR(RatingFilter="All",$D2357=RatingFilter),OR(TypeFilter="All",$C2357=TypeFilter)),1,0)</f>
        <v/>
      </c>
    </row>
    <row r="2358" ht="15" customHeight="1" s="20">
      <c r="A2358" s="19" t="inlineStr">
        <is>
          <t>s7384</t>
        </is>
      </c>
      <c r="B2358" s="19" t="inlineStr">
        <is>
          <t>International TV Shows</t>
        </is>
      </c>
      <c r="C2358" s="19">
        <f>IFERROR(INDEX(tblNetflix[type],MATCH($A2358,tblNetflix[show_id],0)),"")</f>
        <v/>
      </c>
      <c r="D2358" s="19">
        <f>IFERROR(INDEX(tblNetflix[rating],MATCH($A2358,tblNetflix[show_id],0)),"")</f>
        <v/>
      </c>
      <c r="E2358" s="19">
        <f>IFERROR(INDEX(tblNetflix[year_added],MATCH($A2358,tblNetflix[show_id],0)),"")</f>
        <v/>
      </c>
      <c r="F2358" s="19">
        <f>IF(AND(OR(YearFilter="All",$E2358=YearFilter),OR(RatingFilter="All",$D2358=RatingFilter),OR(TypeFilter="All",$C2358=TypeFilter)),1,0)</f>
        <v/>
      </c>
    </row>
    <row r="2359" ht="15" customHeight="1" s="20">
      <c r="A2359" s="19" t="inlineStr">
        <is>
          <t>s7384</t>
        </is>
      </c>
      <c r="B2359" s="19" t="inlineStr">
        <is>
          <t>TV Comedies</t>
        </is>
      </c>
      <c r="C2359" s="19">
        <f>IFERROR(INDEX(tblNetflix[type],MATCH($A2359,tblNetflix[show_id],0)),"")</f>
        <v/>
      </c>
      <c r="D2359" s="19">
        <f>IFERROR(INDEX(tblNetflix[rating],MATCH($A2359,tblNetflix[show_id],0)),"")</f>
        <v/>
      </c>
      <c r="E2359" s="19">
        <f>IFERROR(INDEX(tblNetflix[year_added],MATCH($A2359,tblNetflix[show_id],0)),"")</f>
        <v/>
      </c>
      <c r="F2359" s="19">
        <f>IF(AND(OR(YearFilter="All",$E2359=YearFilter),OR(RatingFilter="All",$D2359=RatingFilter),OR(TypeFilter="All",$C2359=TypeFilter)),1,0)</f>
        <v/>
      </c>
    </row>
    <row r="2360" ht="15" customHeight="1" s="20">
      <c r="A2360" s="19" t="inlineStr">
        <is>
          <t>s7387</t>
        </is>
      </c>
      <c r="B2360" s="19" t="inlineStr">
        <is>
          <t>Comedies</t>
        </is>
      </c>
      <c r="C2360" s="19">
        <f>IFERROR(INDEX(tblNetflix[type],MATCH($A2360,tblNetflix[show_id],0)),"")</f>
        <v/>
      </c>
      <c r="D2360" s="19">
        <f>IFERROR(INDEX(tblNetflix[rating],MATCH($A2360,tblNetflix[show_id],0)),"")</f>
        <v/>
      </c>
      <c r="E2360" s="19">
        <f>IFERROR(INDEX(tblNetflix[year_added],MATCH($A2360,tblNetflix[show_id],0)),"")</f>
        <v/>
      </c>
      <c r="F2360" s="19">
        <f>IF(AND(OR(YearFilter="All",$E2360=YearFilter),OR(RatingFilter="All",$D2360=RatingFilter),OR(TypeFilter="All",$C2360=TypeFilter)),1,0)</f>
        <v/>
      </c>
    </row>
    <row r="2361" ht="15" customHeight="1" s="20">
      <c r="A2361" s="19" t="inlineStr">
        <is>
          <t>s7387</t>
        </is>
      </c>
      <c r="B2361" s="19" t="inlineStr">
        <is>
          <t>International Movies</t>
        </is>
      </c>
      <c r="C2361" s="19">
        <f>IFERROR(INDEX(tblNetflix[type],MATCH($A2361,tblNetflix[show_id],0)),"")</f>
        <v/>
      </c>
      <c r="D2361" s="19">
        <f>IFERROR(INDEX(tblNetflix[rating],MATCH($A2361,tblNetflix[show_id],0)),"")</f>
        <v/>
      </c>
      <c r="E2361" s="19">
        <f>IFERROR(INDEX(tblNetflix[year_added],MATCH($A2361,tblNetflix[show_id],0)),"")</f>
        <v/>
      </c>
      <c r="F2361" s="19">
        <f>IF(AND(OR(YearFilter="All",$E2361=YearFilter),OR(RatingFilter="All",$D2361=RatingFilter),OR(TypeFilter="All",$C2361=TypeFilter)),1,0)</f>
        <v/>
      </c>
    </row>
    <row r="2362" ht="15" customHeight="1" s="20">
      <c r="A2362" s="19" t="inlineStr">
        <is>
          <t>s7387</t>
        </is>
      </c>
      <c r="B2362" s="19" t="inlineStr">
        <is>
          <t>Music &amp; Musicals</t>
        </is>
      </c>
      <c r="C2362" s="19">
        <f>IFERROR(INDEX(tblNetflix[type],MATCH($A2362,tblNetflix[show_id],0)),"")</f>
        <v/>
      </c>
      <c r="D2362" s="19">
        <f>IFERROR(INDEX(tblNetflix[rating],MATCH($A2362,tblNetflix[show_id],0)),"")</f>
        <v/>
      </c>
      <c r="E2362" s="19">
        <f>IFERROR(INDEX(tblNetflix[year_added],MATCH($A2362,tblNetflix[show_id],0)),"")</f>
        <v/>
      </c>
      <c r="F2362" s="19">
        <f>IF(AND(OR(YearFilter="All",$E2362=YearFilter),OR(RatingFilter="All",$D2362=RatingFilter),OR(TypeFilter="All",$C2362=TypeFilter)),1,0)</f>
        <v/>
      </c>
    </row>
    <row r="2363" ht="15" customHeight="1" s="20">
      <c r="A2363" s="19" t="inlineStr">
        <is>
          <t>s7388</t>
        </is>
      </c>
      <c r="B2363" s="19" t="inlineStr">
        <is>
          <t>Dramas</t>
        </is>
      </c>
      <c r="C2363" s="19">
        <f>IFERROR(INDEX(tblNetflix[type],MATCH($A2363,tblNetflix[show_id],0)),"")</f>
        <v/>
      </c>
      <c r="D2363" s="19">
        <f>IFERROR(INDEX(tblNetflix[rating],MATCH($A2363,tblNetflix[show_id],0)),"")</f>
        <v/>
      </c>
      <c r="E2363" s="19">
        <f>IFERROR(INDEX(tblNetflix[year_added],MATCH($A2363,tblNetflix[show_id],0)),"")</f>
        <v/>
      </c>
      <c r="F2363" s="19">
        <f>IF(AND(OR(YearFilter="All",$E2363=YearFilter),OR(RatingFilter="All",$D2363=RatingFilter),OR(TypeFilter="All",$C2363=TypeFilter)),1,0)</f>
        <v/>
      </c>
    </row>
    <row r="2364" ht="15" customHeight="1" s="20">
      <c r="A2364" s="19" t="inlineStr">
        <is>
          <t>s7388</t>
        </is>
      </c>
      <c r="B2364" s="19" t="inlineStr">
        <is>
          <t>International Movies</t>
        </is>
      </c>
      <c r="C2364" s="19">
        <f>IFERROR(INDEX(tblNetflix[type],MATCH($A2364,tblNetflix[show_id],0)),"")</f>
        <v/>
      </c>
      <c r="D2364" s="19">
        <f>IFERROR(INDEX(tblNetflix[rating],MATCH($A2364,tblNetflix[show_id],0)),"")</f>
        <v/>
      </c>
      <c r="E2364" s="19">
        <f>IFERROR(INDEX(tblNetflix[year_added],MATCH($A2364,tblNetflix[show_id],0)),"")</f>
        <v/>
      </c>
      <c r="F2364" s="19">
        <f>IF(AND(OR(YearFilter="All",$E2364=YearFilter),OR(RatingFilter="All",$D2364=RatingFilter),OR(TypeFilter="All",$C2364=TypeFilter)),1,0)</f>
        <v/>
      </c>
    </row>
    <row r="2365" ht="15" customHeight="1" s="20">
      <c r="A2365" s="19" t="inlineStr">
        <is>
          <t>s7388</t>
        </is>
      </c>
      <c r="B2365" s="19" t="inlineStr">
        <is>
          <t>Music &amp; Musicals</t>
        </is>
      </c>
      <c r="C2365" s="19">
        <f>IFERROR(INDEX(tblNetflix[type],MATCH($A2365,tblNetflix[show_id],0)),"")</f>
        <v/>
      </c>
      <c r="D2365" s="19">
        <f>IFERROR(INDEX(tblNetflix[rating],MATCH($A2365,tblNetflix[show_id],0)),"")</f>
        <v/>
      </c>
      <c r="E2365" s="19">
        <f>IFERROR(INDEX(tblNetflix[year_added],MATCH($A2365,tblNetflix[show_id],0)),"")</f>
        <v/>
      </c>
      <c r="F2365" s="19">
        <f>IF(AND(OR(YearFilter="All",$E2365=YearFilter),OR(RatingFilter="All",$D2365=RatingFilter),OR(TypeFilter="All",$C2365=TypeFilter)),1,0)</f>
        <v/>
      </c>
    </row>
    <row r="2366" ht="15" customHeight="1" s="20">
      <c r="A2366" s="19" t="inlineStr">
        <is>
          <t>s7389</t>
        </is>
      </c>
      <c r="B2366" s="19" t="inlineStr">
        <is>
          <t>Dramas</t>
        </is>
      </c>
      <c r="C2366" s="19">
        <f>IFERROR(INDEX(tblNetflix[type],MATCH($A2366,tblNetflix[show_id],0)),"")</f>
        <v/>
      </c>
      <c r="D2366" s="19">
        <f>IFERROR(INDEX(tblNetflix[rating],MATCH($A2366,tblNetflix[show_id],0)),"")</f>
        <v/>
      </c>
      <c r="E2366" s="19">
        <f>IFERROR(INDEX(tblNetflix[year_added],MATCH($A2366,tblNetflix[show_id],0)),"")</f>
        <v/>
      </c>
      <c r="F2366" s="19">
        <f>IF(AND(OR(YearFilter="All",$E2366=YearFilter),OR(RatingFilter="All",$D2366=RatingFilter),OR(TypeFilter="All",$C2366=TypeFilter)),1,0)</f>
        <v/>
      </c>
    </row>
    <row r="2367" ht="15" customHeight="1" s="20">
      <c r="A2367" s="19" t="inlineStr">
        <is>
          <t>s7389</t>
        </is>
      </c>
      <c r="B2367" s="19" t="inlineStr">
        <is>
          <t>International Movies</t>
        </is>
      </c>
      <c r="C2367" s="19">
        <f>IFERROR(INDEX(tblNetflix[type],MATCH($A2367,tblNetflix[show_id],0)),"")</f>
        <v/>
      </c>
      <c r="D2367" s="19">
        <f>IFERROR(INDEX(tblNetflix[rating],MATCH($A2367,tblNetflix[show_id],0)),"")</f>
        <v/>
      </c>
      <c r="E2367" s="19">
        <f>IFERROR(INDEX(tblNetflix[year_added],MATCH($A2367,tblNetflix[show_id],0)),"")</f>
        <v/>
      </c>
      <c r="F2367" s="19">
        <f>IF(AND(OR(YearFilter="All",$E2367=YearFilter),OR(RatingFilter="All",$D2367=RatingFilter),OR(TypeFilter="All",$C2367=TypeFilter)),1,0)</f>
        <v/>
      </c>
    </row>
    <row r="2368" ht="15" customHeight="1" s="20">
      <c r="A2368" s="19" t="inlineStr">
        <is>
          <t>s7394</t>
        </is>
      </c>
      <c r="B2368" s="19" t="inlineStr">
        <is>
          <t>Dramas</t>
        </is>
      </c>
      <c r="C2368" s="19">
        <f>IFERROR(INDEX(tblNetflix[type],MATCH($A2368,tblNetflix[show_id],0)),"")</f>
        <v/>
      </c>
      <c r="D2368" s="19">
        <f>IFERROR(INDEX(tblNetflix[rating],MATCH($A2368,tblNetflix[show_id],0)),"")</f>
        <v/>
      </c>
      <c r="E2368" s="19">
        <f>IFERROR(INDEX(tblNetflix[year_added],MATCH($A2368,tblNetflix[show_id],0)),"")</f>
        <v/>
      </c>
      <c r="F2368" s="19">
        <f>IF(AND(OR(YearFilter="All",$E2368=YearFilter),OR(RatingFilter="All",$D2368=RatingFilter),OR(TypeFilter="All",$C2368=TypeFilter)),1,0)</f>
        <v/>
      </c>
    </row>
    <row r="2369" ht="15" customHeight="1" s="20">
      <c r="A2369" s="19" t="inlineStr">
        <is>
          <t>s7394</t>
        </is>
      </c>
      <c r="B2369" s="19" t="inlineStr">
        <is>
          <t>Independent Movies</t>
        </is>
      </c>
      <c r="C2369" s="19">
        <f>IFERROR(INDEX(tblNetflix[type],MATCH($A2369,tblNetflix[show_id],0)),"")</f>
        <v/>
      </c>
      <c r="D2369" s="19">
        <f>IFERROR(INDEX(tblNetflix[rating],MATCH($A2369,tblNetflix[show_id],0)),"")</f>
        <v/>
      </c>
      <c r="E2369" s="19">
        <f>IFERROR(INDEX(tblNetflix[year_added],MATCH($A2369,tblNetflix[show_id],0)),"")</f>
        <v/>
      </c>
      <c r="F2369" s="19">
        <f>IF(AND(OR(YearFilter="All",$E2369=YearFilter),OR(RatingFilter="All",$D2369=RatingFilter),OR(TypeFilter="All",$C2369=TypeFilter)),1,0)</f>
        <v/>
      </c>
    </row>
    <row r="2370" ht="15" customHeight="1" s="20">
      <c r="A2370" s="19" t="inlineStr">
        <is>
          <t>s7394</t>
        </is>
      </c>
      <c r="B2370" s="19" t="inlineStr">
        <is>
          <t>International Movies</t>
        </is>
      </c>
      <c r="C2370" s="19">
        <f>IFERROR(INDEX(tblNetflix[type],MATCH($A2370,tblNetflix[show_id],0)),"")</f>
        <v/>
      </c>
      <c r="D2370" s="19">
        <f>IFERROR(INDEX(tblNetflix[rating],MATCH($A2370,tblNetflix[show_id],0)),"")</f>
        <v/>
      </c>
      <c r="E2370" s="19">
        <f>IFERROR(INDEX(tblNetflix[year_added],MATCH($A2370,tblNetflix[show_id],0)),"")</f>
        <v/>
      </c>
      <c r="F2370" s="19">
        <f>IF(AND(OR(YearFilter="All",$E2370=YearFilter),OR(RatingFilter="All",$D2370=RatingFilter),OR(TypeFilter="All",$C2370=TypeFilter)),1,0)</f>
        <v/>
      </c>
    </row>
    <row r="2371" ht="15" customHeight="1" s="20">
      <c r="A2371" s="19" t="inlineStr">
        <is>
          <t>s7395</t>
        </is>
      </c>
      <c r="B2371" s="19" t="inlineStr">
        <is>
          <t>Dramas</t>
        </is>
      </c>
      <c r="C2371" s="19">
        <f>IFERROR(INDEX(tblNetflix[type],MATCH($A2371,tblNetflix[show_id],0)),"")</f>
        <v/>
      </c>
      <c r="D2371" s="19">
        <f>IFERROR(INDEX(tblNetflix[rating],MATCH($A2371,tblNetflix[show_id],0)),"")</f>
        <v/>
      </c>
      <c r="E2371" s="19">
        <f>IFERROR(INDEX(tblNetflix[year_added],MATCH($A2371,tblNetflix[show_id],0)),"")</f>
        <v/>
      </c>
      <c r="F2371" s="19">
        <f>IF(AND(OR(YearFilter="All",$E2371=YearFilter),OR(RatingFilter="All",$D2371=RatingFilter),OR(TypeFilter="All",$C2371=TypeFilter)),1,0)</f>
        <v/>
      </c>
    </row>
    <row r="2372" ht="15" customHeight="1" s="20">
      <c r="A2372" s="19" t="inlineStr">
        <is>
          <t>s7395</t>
        </is>
      </c>
      <c r="B2372" s="19" t="inlineStr">
        <is>
          <t>International Movies</t>
        </is>
      </c>
      <c r="C2372" s="19">
        <f>IFERROR(INDEX(tblNetflix[type],MATCH($A2372,tblNetflix[show_id],0)),"")</f>
        <v/>
      </c>
      <c r="D2372" s="19">
        <f>IFERROR(INDEX(tblNetflix[rating],MATCH($A2372,tblNetflix[show_id],0)),"")</f>
        <v/>
      </c>
      <c r="E2372" s="19">
        <f>IFERROR(INDEX(tblNetflix[year_added],MATCH($A2372,tblNetflix[show_id],0)),"")</f>
        <v/>
      </c>
      <c r="F2372" s="19">
        <f>IF(AND(OR(YearFilter="All",$E2372=YearFilter),OR(RatingFilter="All",$D2372=RatingFilter),OR(TypeFilter="All",$C2372=TypeFilter)),1,0)</f>
        <v/>
      </c>
    </row>
    <row r="2373" ht="15" customHeight="1" s="20">
      <c r="A2373" s="19" t="inlineStr">
        <is>
          <t>s7395</t>
        </is>
      </c>
      <c r="B2373" s="19" t="inlineStr">
        <is>
          <t>Romantic Movies</t>
        </is>
      </c>
      <c r="C2373" s="19">
        <f>IFERROR(INDEX(tblNetflix[type],MATCH($A2373,tblNetflix[show_id],0)),"")</f>
        <v/>
      </c>
      <c r="D2373" s="19">
        <f>IFERROR(INDEX(tblNetflix[rating],MATCH($A2373,tblNetflix[show_id],0)),"")</f>
        <v/>
      </c>
      <c r="E2373" s="19">
        <f>IFERROR(INDEX(tblNetflix[year_added],MATCH($A2373,tblNetflix[show_id],0)),"")</f>
        <v/>
      </c>
      <c r="F2373" s="19">
        <f>IF(AND(OR(YearFilter="All",$E2373=YearFilter),OR(RatingFilter="All",$D2373=RatingFilter),OR(TypeFilter="All",$C2373=TypeFilter)),1,0)</f>
        <v/>
      </c>
    </row>
    <row r="2374" ht="15" customHeight="1" s="20">
      <c r="A2374" s="19" t="inlineStr">
        <is>
          <t>s7401</t>
        </is>
      </c>
      <c r="B2374" s="19" t="inlineStr">
        <is>
          <t>Dramas</t>
        </is>
      </c>
      <c r="C2374" s="19">
        <f>IFERROR(INDEX(tblNetflix[type],MATCH($A2374,tblNetflix[show_id],0)),"")</f>
        <v/>
      </c>
      <c r="D2374" s="19">
        <f>IFERROR(INDEX(tblNetflix[rating],MATCH($A2374,tblNetflix[show_id],0)),"")</f>
        <v/>
      </c>
      <c r="E2374" s="19">
        <f>IFERROR(INDEX(tblNetflix[year_added],MATCH($A2374,tblNetflix[show_id],0)),"")</f>
        <v/>
      </c>
      <c r="F2374" s="19">
        <f>IF(AND(OR(YearFilter="All",$E2374=YearFilter),OR(RatingFilter="All",$D2374=RatingFilter),OR(TypeFilter="All",$C2374=TypeFilter)),1,0)</f>
        <v/>
      </c>
    </row>
    <row r="2375" ht="15" customHeight="1" s="20">
      <c r="A2375" s="19" t="inlineStr">
        <is>
          <t>s7401</t>
        </is>
      </c>
      <c r="B2375" s="19" t="inlineStr">
        <is>
          <t>Independent Movies</t>
        </is>
      </c>
      <c r="C2375" s="19">
        <f>IFERROR(INDEX(tblNetflix[type],MATCH($A2375,tblNetflix[show_id],0)),"")</f>
        <v/>
      </c>
      <c r="D2375" s="19">
        <f>IFERROR(INDEX(tblNetflix[rating],MATCH($A2375,tblNetflix[show_id],0)),"")</f>
        <v/>
      </c>
      <c r="E2375" s="19">
        <f>IFERROR(INDEX(tblNetflix[year_added],MATCH($A2375,tblNetflix[show_id],0)),"")</f>
        <v/>
      </c>
      <c r="F2375" s="19">
        <f>IF(AND(OR(YearFilter="All",$E2375=YearFilter),OR(RatingFilter="All",$D2375=RatingFilter),OR(TypeFilter="All",$C2375=TypeFilter)),1,0)</f>
        <v/>
      </c>
    </row>
    <row r="2376" ht="15" customHeight="1" s="20">
      <c r="A2376" s="19" t="inlineStr">
        <is>
          <t>s7401</t>
        </is>
      </c>
      <c r="B2376" s="19" t="inlineStr">
        <is>
          <t>International Movies</t>
        </is>
      </c>
      <c r="C2376" s="19">
        <f>IFERROR(INDEX(tblNetflix[type],MATCH($A2376,tblNetflix[show_id],0)),"")</f>
        <v/>
      </c>
      <c r="D2376" s="19">
        <f>IFERROR(INDEX(tblNetflix[rating],MATCH($A2376,tblNetflix[show_id],0)),"")</f>
        <v/>
      </c>
      <c r="E2376" s="19">
        <f>IFERROR(INDEX(tblNetflix[year_added],MATCH($A2376,tblNetflix[show_id],0)),"")</f>
        <v/>
      </c>
      <c r="F2376" s="19">
        <f>IF(AND(OR(YearFilter="All",$E2376=YearFilter),OR(RatingFilter="All",$D2376=RatingFilter),OR(TypeFilter="All",$C2376=TypeFilter)),1,0)</f>
        <v/>
      </c>
    </row>
    <row r="2377" ht="15" customHeight="1" s="20">
      <c r="A2377" s="19" t="inlineStr">
        <is>
          <t>s7402</t>
        </is>
      </c>
      <c r="B2377" s="19" t="inlineStr">
        <is>
          <t>Dramas</t>
        </is>
      </c>
      <c r="C2377" s="19">
        <f>IFERROR(INDEX(tblNetflix[type],MATCH($A2377,tblNetflix[show_id],0)),"")</f>
        <v/>
      </c>
      <c r="D2377" s="19">
        <f>IFERROR(INDEX(tblNetflix[rating],MATCH($A2377,tblNetflix[show_id],0)),"")</f>
        <v/>
      </c>
      <c r="E2377" s="19">
        <f>IFERROR(INDEX(tblNetflix[year_added],MATCH($A2377,tblNetflix[show_id],0)),"")</f>
        <v/>
      </c>
      <c r="F2377" s="19">
        <f>IF(AND(OR(YearFilter="All",$E2377=YearFilter),OR(RatingFilter="All",$D2377=RatingFilter),OR(TypeFilter="All",$C2377=TypeFilter)),1,0)</f>
        <v/>
      </c>
    </row>
    <row r="2378" ht="15" customHeight="1" s="20">
      <c r="A2378" s="19" t="inlineStr">
        <is>
          <t>s7402</t>
        </is>
      </c>
      <c r="B2378" s="19" t="inlineStr">
        <is>
          <t>Independent Movies</t>
        </is>
      </c>
      <c r="C2378" s="19">
        <f>IFERROR(INDEX(tblNetflix[type],MATCH($A2378,tblNetflix[show_id],0)),"")</f>
        <v/>
      </c>
      <c r="D2378" s="19">
        <f>IFERROR(INDEX(tblNetflix[rating],MATCH($A2378,tblNetflix[show_id],0)),"")</f>
        <v/>
      </c>
      <c r="E2378" s="19">
        <f>IFERROR(INDEX(tblNetflix[year_added],MATCH($A2378,tblNetflix[show_id],0)),"")</f>
        <v/>
      </c>
      <c r="F2378" s="19">
        <f>IF(AND(OR(YearFilter="All",$E2378=YearFilter),OR(RatingFilter="All",$D2378=RatingFilter),OR(TypeFilter="All",$C2378=TypeFilter)),1,0)</f>
        <v/>
      </c>
    </row>
    <row r="2379" ht="15" customHeight="1" s="20">
      <c r="A2379" s="19" t="inlineStr">
        <is>
          <t>s7402</t>
        </is>
      </c>
      <c r="B2379" s="19" t="inlineStr">
        <is>
          <t>International Movies</t>
        </is>
      </c>
      <c r="C2379" s="19">
        <f>IFERROR(INDEX(tblNetflix[type],MATCH($A2379,tblNetflix[show_id],0)),"")</f>
        <v/>
      </c>
      <c r="D2379" s="19">
        <f>IFERROR(INDEX(tblNetflix[rating],MATCH($A2379,tblNetflix[show_id],0)),"")</f>
        <v/>
      </c>
      <c r="E2379" s="19">
        <f>IFERROR(INDEX(tblNetflix[year_added],MATCH($A2379,tblNetflix[show_id],0)),"")</f>
        <v/>
      </c>
      <c r="F2379" s="19">
        <f>IF(AND(OR(YearFilter="All",$E2379=YearFilter),OR(RatingFilter="All",$D2379=RatingFilter),OR(TypeFilter="All",$C2379=TypeFilter)),1,0)</f>
        <v/>
      </c>
    </row>
    <row r="2380" ht="15" customHeight="1" s="20">
      <c r="A2380" s="19" t="inlineStr">
        <is>
          <t>s7408</t>
        </is>
      </c>
      <c r="B2380" s="19" t="inlineStr">
        <is>
          <t>Dramas</t>
        </is>
      </c>
      <c r="C2380" s="19">
        <f>IFERROR(INDEX(tblNetflix[type],MATCH($A2380,tblNetflix[show_id],0)),"")</f>
        <v/>
      </c>
      <c r="D2380" s="19">
        <f>IFERROR(INDEX(tblNetflix[rating],MATCH($A2380,tblNetflix[show_id],0)),"")</f>
        <v/>
      </c>
      <c r="E2380" s="19">
        <f>IFERROR(INDEX(tblNetflix[year_added],MATCH($A2380,tblNetflix[show_id],0)),"")</f>
        <v/>
      </c>
      <c r="F2380" s="19">
        <f>IF(AND(OR(YearFilter="All",$E2380=YearFilter),OR(RatingFilter="All",$D2380=RatingFilter),OR(TypeFilter="All",$C2380=TypeFilter)),1,0)</f>
        <v/>
      </c>
    </row>
    <row r="2381" ht="15" customHeight="1" s="20">
      <c r="A2381" s="19" t="inlineStr">
        <is>
          <t>s7408</t>
        </is>
      </c>
      <c r="B2381" s="19" t="inlineStr">
        <is>
          <t>Independent Movies</t>
        </is>
      </c>
      <c r="C2381" s="19">
        <f>IFERROR(INDEX(tblNetflix[type],MATCH($A2381,tblNetflix[show_id],0)),"")</f>
        <v/>
      </c>
      <c r="D2381" s="19">
        <f>IFERROR(INDEX(tblNetflix[rating],MATCH($A2381,tblNetflix[show_id],0)),"")</f>
        <v/>
      </c>
      <c r="E2381" s="19">
        <f>IFERROR(INDEX(tblNetflix[year_added],MATCH($A2381,tblNetflix[show_id],0)),"")</f>
        <v/>
      </c>
      <c r="F2381" s="19">
        <f>IF(AND(OR(YearFilter="All",$E2381=YearFilter),OR(RatingFilter="All",$D2381=RatingFilter),OR(TypeFilter="All",$C2381=TypeFilter)),1,0)</f>
        <v/>
      </c>
    </row>
    <row r="2382" ht="15" customHeight="1" s="20">
      <c r="A2382" s="19" t="inlineStr">
        <is>
          <t>s7408</t>
        </is>
      </c>
      <c r="B2382" s="19" t="inlineStr">
        <is>
          <t>International Movies</t>
        </is>
      </c>
      <c r="C2382" s="19">
        <f>IFERROR(INDEX(tblNetflix[type],MATCH($A2382,tblNetflix[show_id],0)),"")</f>
        <v/>
      </c>
      <c r="D2382" s="19">
        <f>IFERROR(INDEX(tblNetflix[rating],MATCH($A2382,tblNetflix[show_id],0)),"")</f>
        <v/>
      </c>
      <c r="E2382" s="19">
        <f>IFERROR(INDEX(tblNetflix[year_added],MATCH($A2382,tblNetflix[show_id],0)),"")</f>
        <v/>
      </c>
      <c r="F2382" s="19">
        <f>IF(AND(OR(YearFilter="All",$E2382=YearFilter),OR(RatingFilter="All",$D2382=RatingFilter),OR(TypeFilter="All",$C2382=TypeFilter)),1,0)</f>
        <v/>
      </c>
    </row>
    <row r="2383" ht="15" customHeight="1" s="20">
      <c r="A2383" s="19" t="inlineStr">
        <is>
          <t>s7414</t>
        </is>
      </c>
      <c r="B2383" s="19" t="inlineStr">
        <is>
          <t>Documentaries</t>
        </is>
      </c>
      <c r="C2383" s="19">
        <f>IFERROR(INDEX(tblNetflix[type],MATCH($A2383,tblNetflix[show_id],0)),"")</f>
        <v/>
      </c>
      <c r="D2383" s="19">
        <f>IFERROR(INDEX(tblNetflix[rating],MATCH($A2383,tblNetflix[show_id],0)),"")</f>
        <v/>
      </c>
      <c r="E2383" s="19">
        <f>IFERROR(INDEX(tblNetflix[year_added],MATCH($A2383,tblNetflix[show_id],0)),"")</f>
        <v/>
      </c>
      <c r="F2383" s="19">
        <f>IF(AND(OR(YearFilter="All",$E2383=YearFilter),OR(RatingFilter="All",$D2383=RatingFilter),OR(TypeFilter="All",$C2383=TypeFilter)),1,0)</f>
        <v/>
      </c>
    </row>
    <row r="2384" ht="15" customHeight="1" s="20">
      <c r="A2384" s="19" t="inlineStr">
        <is>
          <t>s7414</t>
        </is>
      </c>
      <c r="B2384" s="19" t="inlineStr">
        <is>
          <t>International Movies</t>
        </is>
      </c>
      <c r="C2384" s="19">
        <f>IFERROR(INDEX(tblNetflix[type],MATCH($A2384,tblNetflix[show_id],0)),"")</f>
        <v/>
      </c>
      <c r="D2384" s="19">
        <f>IFERROR(INDEX(tblNetflix[rating],MATCH($A2384,tblNetflix[show_id],0)),"")</f>
        <v/>
      </c>
      <c r="E2384" s="19">
        <f>IFERROR(INDEX(tblNetflix[year_added],MATCH($A2384,tblNetflix[show_id],0)),"")</f>
        <v/>
      </c>
      <c r="F2384" s="19">
        <f>IF(AND(OR(YearFilter="All",$E2384=YearFilter),OR(RatingFilter="All",$D2384=RatingFilter),OR(TypeFilter="All",$C2384=TypeFilter)),1,0)</f>
        <v/>
      </c>
    </row>
    <row r="2385" ht="15" customHeight="1" s="20">
      <c r="A2385" s="19" t="inlineStr">
        <is>
          <t>s7420</t>
        </is>
      </c>
      <c r="B2385" s="19" t="inlineStr">
        <is>
          <t>Dramas</t>
        </is>
      </c>
      <c r="C2385" s="19">
        <f>IFERROR(INDEX(tblNetflix[type],MATCH($A2385,tblNetflix[show_id],0)),"")</f>
        <v/>
      </c>
      <c r="D2385" s="19">
        <f>IFERROR(INDEX(tblNetflix[rating],MATCH($A2385,tblNetflix[show_id],0)),"")</f>
        <v/>
      </c>
      <c r="E2385" s="19">
        <f>IFERROR(INDEX(tblNetflix[year_added],MATCH($A2385,tblNetflix[show_id],0)),"")</f>
        <v/>
      </c>
      <c r="F2385" s="19">
        <f>IF(AND(OR(YearFilter="All",$E2385=YearFilter),OR(RatingFilter="All",$D2385=RatingFilter),OR(TypeFilter="All",$C2385=TypeFilter)),1,0)</f>
        <v/>
      </c>
    </row>
    <row r="2386" ht="15" customHeight="1" s="20">
      <c r="A2386" s="19" t="inlineStr">
        <is>
          <t>s7420</t>
        </is>
      </c>
      <c r="B2386" s="19" t="inlineStr">
        <is>
          <t>Independent Movies</t>
        </is>
      </c>
      <c r="C2386" s="19">
        <f>IFERROR(INDEX(tblNetflix[type],MATCH($A2386,tblNetflix[show_id],0)),"")</f>
        <v/>
      </c>
      <c r="D2386" s="19">
        <f>IFERROR(INDEX(tblNetflix[rating],MATCH($A2386,tblNetflix[show_id],0)),"")</f>
        <v/>
      </c>
      <c r="E2386" s="19">
        <f>IFERROR(INDEX(tblNetflix[year_added],MATCH($A2386,tblNetflix[show_id],0)),"")</f>
        <v/>
      </c>
      <c r="F2386" s="19">
        <f>IF(AND(OR(YearFilter="All",$E2386=YearFilter),OR(RatingFilter="All",$D2386=RatingFilter),OR(TypeFilter="All",$C2386=TypeFilter)),1,0)</f>
        <v/>
      </c>
    </row>
    <row r="2387" ht="15" customHeight="1" s="20">
      <c r="A2387" s="19" t="inlineStr">
        <is>
          <t>s7420</t>
        </is>
      </c>
      <c r="B2387" s="19" t="inlineStr">
        <is>
          <t>International Movies</t>
        </is>
      </c>
      <c r="C2387" s="19">
        <f>IFERROR(INDEX(tblNetflix[type],MATCH($A2387,tblNetflix[show_id],0)),"")</f>
        <v/>
      </c>
      <c r="D2387" s="19">
        <f>IFERROR(INDEX(tblNetflix[rating],MATCH($A2387,tblNetflix[show_id],0)),"")</f>
        <v/>
      </c>
      <c r="E2387" s="19">
        <f>IFERROR(INDEX(tblNetflix[year_added],MATCH($A2387,tblNetflix[show_id],0)),"")</f>
        <v/>
      </c>
      <c r="F2387" s="19">
        <f>IF(AND(OR(YearFilter="All",$E2387=YearFilter),OR(RatingFilter="All",$D2387=RatingFilter),OR(TypeFilter="All",$C2387=TypeFilter)),1,0)</f>
        <v/>
      </c>
    </row>
    <row r="2388" ht="15" customHeight="1" s="20">
      <c r="A2388" s="19" t="inlineStr">
        <is>
          <t>s7423</t>
        </is>
      </c>
      <c r="B2388" s="19" t="inlineStr">
        <is>
          <t>Comedies</t>
        </is>
      </c>
      <c r="C2388" s="19">
        <f>IFERROR(INDEX(tblNetflix[type],MATCH($A2388,tblNetflix[show_id],0)),"")</f>
        <v/>
      </c>
      <c r="D2388" s="19">
        <f>IFERROR(INDEX(tblNetflix[rating],MATCH($A2388,tblNetflix[show_id],0)),"")</f>
        <v/>
      </c>
      <c r="E2388" s="19">
        <f>IFERROR(INDEX(tblNetflix[year_added],MATCH($A2388,tblNetflix[show_id],0)),"")</f>
        <v/>
      </c>
      <c r="F2388" s="19">
        <f>IF(AND(OR(YearFilter="All",$E2388=YearFilter),OR(RatingFilter="All",$D2388=RatingFilter),OR(TypeFilter="All",$C2388=TypeFilter)),1,0)</f>
        <v/>
      </c>
    </row>
    <row r="2389" ht="15" customHeight="1" s="20">
      <c r="A2389" s="19" t="inlineStr">
        <is>
          <t>s7423</t>
        </is>
      </c>
      <c r="B2389" s="19" t="inlineStr">
        <is>
          <t>Dramas</t>
        </is>
      </c>
      <c r="C2389" s="19">
        <f>IFERROR(INDEX(tblNetflix[type],MATCH($A2389,tblNetflix[show_id],0)),"")</f>
        <v/>
      </c>
      <c r="D2389" s="19">
        <f>IFERROR(INDEX(tblNetflix[rating],MATCH($A2389,tblNetflix[show_id],0)),"")</f>
        <v/>
      </c>
      <c r="E2389" s="19">
        <f>IFERROR(INDEX(tblNetflix[year_added],MATCH($A2389,tblNetflix[show_id],0)),"")</f>
        <v/>
      </c>
      <c r="F2389" s="19">
        <f>IF(AND(OR(YearFilter="All",$E2389=YearFilter),OR(RatingFilter="All",$D2389=RatingFilter),OR(TypeFilter="All",$C2389=TypeFilter)),1,0)</f>
        <v/>
      </c>
    </row>
    <row r="2390" ht="15" customHeight="1" s="20">
      <c r="A2390" s="19" t="inlineStr">
        <is>
          <t>s7423</t>
        </is>
      </c>
      <c r="B2390" s="19" t="inlineStr">
        <is>
          <t>International Movies</t>
        </is>
      </c>
      <c r="C2390" s="19">
        <f>IFERROR(INDEX(tblNetflix[type],MATCH($A2390,tblNetflix[show_id],0)),"")</f>
        <v/>
      </c>
      <c r="D2390" s="19">
        <f>IFERROR(INDEX(tblNetflix[rating],MATCH($A2390,tblNetflix[show_id],0)),"")</f>
        <v/>
      </c>
      <c r="E2390" s="19">
        <f>IFERROR(INDEX(tblNetflix[year_added],MATCH($A2390,tblNetflix[show_id],0)),"")</f>
        <v/>
      </c>
      <c r="F2390" s="19">
        <f>IF(AND(OR(YearFilter="All",$E2390=YearFilter),OR(RatingFilter="All",$D2390=RatingFilter),OR(TypeFilter="All",$C2390=TypeFilter)),1,0)</f>
        <v/>
      </c>
    </row>
    <row r="2391" ht="15" customHeight="1" s="20">
      <c r="A2391" s="19" t="inlineStr">
        <is>
          <t>s7429</t>
        </is>
      </c>
      <c r="B2391" s="19" t="inlineStr">
        <is>
          <t>Comedies</t>
        </is>
      </c>
      <c r="C2391" s="19">
        <f>IFERROR(INDEX(tblNetflix[type],MATCH($A2391,tblNetflix[show_id],0)),"")</f>
        <v/>
      </c>
      <c r="D2391" s="19">
        <f>IFERROR(INDEX(tblNetflix[rating],MATCH($A2391,tblNetflix[show_id],0)),"")</f>
        <v/>
      </c>
      <c r="E2391" s="19">
        <f>IFERROR(INDEX(tblNetflix[year_added],MATCH($A2391,tblNetflix[show_id],0)),"")</f>
        <v/>
      </c>
      <c r="F2391" s="19">
        <f>IF(AND(OR(YearFilter="All",$E2391=YearFilter),OR(RatingFilter="All",$D2391=RatingFilter),OR(TypeFilter="All",$C2391=TypeFilter)),1,0)</f>
        <v/>
      </c>
    </row>
    <row r="2392" ht="15" customHeight="1" s="20">
      <c r="A2392" s="19" t="inlineStr">
        <is>
          <t>s7429</t>
        </is>
      </c>
      <c r="B2392" s="19" t="inlineStr">
        <is>
          <t>International Movies</t>
        </is>
      </c>
      <c r="C2392" s="19">
        <f>IFERROR(INDEX(tblNetflix[type],MATCH($A2392,tblNetflix[show_id],0)),"")</f>
        <v/>
      </c>
      <c r="D2392" s="19">
        <f>IFERROR(INDEX(tblNetflix[rating],MATCH($A2392,tblNetflix[show_id],0)),"")</f>
        <v/>
      </c>
      <c r="E2392" s="19">
        <f>IFERROR(INDEX(tblNetflix[year_added],MATCH($A2392,tblNetflix[show_id],0)),"")</f>
        <v/>
      </c>
      <c r="F2392" s="19">
        <f>IF(AND(OR(YearFilter="All",$E2392=YearFilter),OR(RatingFilter="All",$D2392=RatingFilter),OR(TypeFilter="All",$C2392=TypeFilter)),1,0)</f>
        <v/>
      </c>
    </row>
    <row r="2393" ht="15" customHeight="1" s="20">
      <c r="A2393" s="19" t="inlineStr">
        <is>
          <t>s7429</t>
        </is>
      </c>
      <c r="B2393" s="19" t="inlineStr">
        <is>
          <t>Romantic Movies</t>
        </is>
      </c>
      <c r="C2393" s="19">
        <f>IFERROR(INDEX(tblNetflix[type],MATCH($A2393,tblNetflix[show_id],0)),"")</f>
        <v/>
      </c>
      <c r="D2393" s="19">
        <f>IFERROR(INDEX(tblNetflix[rating],MATCH($A2393,tblNetflix[show_id],0)),"")</f>
        <v/>
      </c>
      <c r="E2393" s="19">
        <f>IFERROR(INDEX(tblNetflix[year_added],MATCH($A2393,tblNetflix[show_id],0)),"")</f>
        <v/>
      </c>
      <c r="F2393" s="19">
        <f>IF(AND(OR(YearFilter="All",$E2393=YearFilter),OR(RatingFilter="All",$D2393=RatingFilter),OR(TypeFilter="All",$C2393=TypeFilter)),1,0)</f>
        <v/>
      </c>
    </row>
    <row r="2394" ht="15" customHeight="1" s="20">
      <c r="A2394" s="19" t="inlineStr">
        <is>
          <t>s7438</t>
        </is>
      </c>
      <c r="B2394" s="19" t="inlineStr">
        <is>
          <t>Dramas</t>
        </is>
      </c>
      <c r="C2394" s="19">
        <f>IFERROR(INDEX(tblNetflix[type],MATCH($A2394,tblNetflix[show_id],0)),"")</f>
        <v/>
      </c>
      <c r="D2394" s="19">
        <f>IFERROR(INDEX(tblNetflix[rating],MATCH($A2394,tblNetflix[show_id],0)),"")</f>
        <v/>
      </c>
      <c r="E2394" s="19">
        <f>IFERROR(INDEX(tblNetflix[year_added],MATCH($A2394,tblNetflix[show_id],0)),"")</f>
        <v/>
      </c>
      <c r="F2394" s="19">
        <f>IF(AND(OR(YearFilter="All",$E2394=YearFilter),OR(RatingFilter="All",$D2394=RatingFilter),OR(TypeFilter="All",$C2394=TypeFilter)),1,0)</f>
        <v/>
      </c>
    </row>
    <row r="2395" ht="15" customHeight="1" s="20">
      <c r="A2395" s="19" t="inlineStr">
        <is>
          <t>s7438</t>
        </is>
      </c>
      <c r="B2395" s="19" t="inlineStr">
        <is>
          <t>International Movies</t>
        </is>
      </c>
      <c r="C2395" s="19">
        <f>IFERROR(INDEX(tblNetflix[type],MATCH($A2395,tblNetflix[show_id],0)),"")</f>
        <v/>
      </c>
      <c r="D2395" s="19">
        <f>IFERROR(INDEX(tblNetflix[rating],MATCH($A2395,tblNetflix[show_id],0)),"")</f>
        <v/>
      </c>
      <c r="E2395" s="19">
        <f>IFERROR(INDEX(tblNetflix[year_added],MATCH($A2395,tblNetflix[show_id],0)),"")</f>
        <v/>
      </c>
      <c r="F2395" s="19">
        <f>IF(AND(OR(YearFilter="All",$E2395=YearFilter),OR(RatingFilter="All",$D2395=RatingFilter),OR(TypeFilter="All",$C2395=TypeFilter)),1,0)</f>
        <v/>
      </c>
    </row>
    <row r="2396" ht="15" customHeight="1" s="20">
      <c r="A2396" s="19" t="inlineStr">
        <is>
          <t>s7438</t>
        </is>
      </c>
      <c r="B2396" s="19" t="inlineStr">
        <is>
          <t>Romantic Movies</t>
        </is>
      </c>
      <c r="C2396" s="19">
        <f>IFERROR(INDEX(tblNetflix[type],MATCH($A2396,tblNetflix[show_id],0)),"")</f>
        <v/>
      </c>
      <c r="D2396" s="19">
        <f>IFERROR(INDEX(tblNetflix[rating],MATCH($A2396,tblNetflix[show_id],0)),"")</f>
        <v/>
      </c>
      <c r="E2396" s="19">
        <f>IFERROR(INDEX(tblNetflix[year_added],MATCH($A2396,tblNetflix[show_id],0)),"")</f>
        <v/>
      </c>
      <c r="F2396" s="19">
        <f>IF(AND(OR(YearFilter="All",$E2396=YearFilter),OR(RatingFilter="All",$D2396=RatingFilter),OR(TypeFilter="All",$C2396=TypeFilter)),1,0)</f>
        <v/>
      </c>
    </row>
    <row r="2397" ht="15" customHeight="1" s="20">
      <c r="A2397" s="19" t="inlineStr">
        <is>
          <t>s7451</t>
        </is>
      </c>
      <c r="B2397" s="19" t="inlineStr">
        <is>
          <t>Comedies</t>
        </is>
      </c>
      <c r="C2397" s="19">
        <f>IFERROR(INDEX(tblNetflix[type],MATCH($A2397,tblNetflix[show_id],0)),"")</f>
        <v/>
      </c>
      <c r="D2397" s="19">
        <f>IFERROR(INDEX(tblNetflix[rating],MATCH($A2397,tblNetflix[show_id],0)),"")</f>
        <v/>
      </c>
      <c r="E2397" s="19">
        <f>IFERROR(INDEX(tblNetflix[year_added],MATCH($A2397,tblNetflix[show_id],0)),"")</f>
        <v/>
      </c>
      <c r="F2397" s="19">
        <f>IF(AND(OR(YearFilter="All",$E2397=YearFilter),OR(RatingFilter="All",$D2397=RatingFilter),OR(TypeFilter="All",$C2397=TypeFilter)),1,0)</f>
        <v/>
      </c>
    </row>
    <row r="2398" ht="15" customHeight="1" s="20">
      <c r="A2398" s="19" t="inlineStr">
        <is>
          <t>s7451</t>
        </is>
      </c>
      <c r="B2398" s="19" t="inlineStr">
        <is>
          <t>International Movies</t>
        </is>
      </c>
      <c r="C2398" s="19">
        <f>IFERROR(INDEX(tblNetflix[type],MATCH($A2398,tblNetflix[show_id],0)),"")</f>
        <v/>
      </c>
      <c r="D2398" s="19">
        <f>IFERROR(INDEX(tblNetflix[rating],MATCH($A2398,tblNetflix[show_id],0)),"")</f>
        <v/>
      </c>
      <c r="E2398" s="19">
        <f>IFERROR(INDEX(tblNetflix[year_added],MATCH($A2398,tblNetflix[show_id],0)),"")</f>
        <v/>
      </c>
      <c r="F2398" s="19">
        <f>IF(AND(OR(YearFilter="All",$E2398=YearFilter),OR(RatingFilter="All",$D2398=RatingFilter),OR(TypeFilter="All",$C2398=TypeFilter)),1,0)</f>
        <v/>
      </c>
    </row>
    <row r="2399" ht="15" customHeight="1" s="20">
      <c r="A2399" s="19" t="inlineStr">
        <is>
          <t>s7451</t>
        </is>
      </c>
      <c r="B2399" s="19" t="inlineStr">
        <is>
          <t>Sci-Fi &amp; Fantasy</t>
        </is>
      </c>
      <c r="C2399" s="19">
        <f>IFERROR(INDEX(tblNetflix[type],MATCH($A2399,tblNetflix[show_id],0)),"")</f>
        <v/>
      </c>
      <c r="D2399" s="19">
        <f>IFERROR(INDEX(tblNetflix[rating],MATCH($A2399,tblNetflix[show_id],0)),"")</f>
        <v/>
      </c>
      <c r="E2399" s="19">
        <f>IFERROR(INDEX(tblNetflix[year_added],MATCH($A2399,tblNetflix[show_id],0)),"")</f>
        <v/>
      </c>
      <c r="F2399" s="19">
        <f>IF(AND(OR(YearFilter="All",$E2399=YearFilter),OR(RatingFilter="All",$D2399=RatingFilter),OR(TypeFilter="All",$C2399=TypeFilter)),1,0)</f>
        <v/>
      </c>
    </row>
    <row r="2400" ht="15" customHeight="1" s="20">
      <c r="A2400" s="19" t="inlineStr">
        <is>
          <t>s7454</t>
        </is>
      </c>
      <c r="B2400" s="19" t="inlineStr">
        <is>
          <t>International TV Shows</t>
        </is>
      </c>
      <c r="C2400" s="19">
        <f>IFERROR(INDEX(tblNetflix[type],MATCH($A2400,tblNetflix[show_id],0)),"")</f>
        <v/>
      </c>
      <c r="D2400" s="19">
        <f>IFERROR(INDEX(tblNetflix[rating],MATCH($A2400,tblNetflix[show_id],0)),"")</f>
        <v/>
      </c>
      <c r="E2400" s="19">
        <f>IFERROR(INDEX(tblNetflix[year_added],MATCH($A2400,tblNetflix[show_id],0)),"")</f>
        <v/>
      </c>
      <c r="F2400" s="19">
        <f>IF(AND(OR(YearFilter="All",$E2400=YearFilter),OR(RatingFilter="All",$D2400=RatingFilter),OR(TypeFilter="All",$C2400=TypeFilter)),1,0)</f>
        <v/>
      </c>
    </row>
    <row r="2401" ht="15" customHeight="1" s="20">
      <c r="A2401" s="19" t="inlineStr">
        <is>
          <t>s7454</t>
        </is>
      </c>
      <c r="B2401" s="19" t="inlineStr">
        <is>
          <t>Stand-Up Comedy &amp; Talk Shows</t>
        </is>
      </c>
      <c r="C2401" s="19">
        <f>IFERROR(INDEX(tblNetflix[type],MATCH($A2401,tblNetflix[show_id],0)),"")</f>
        <v/>
      </c>
      <c r="D2401" s="19">
        <f>IFERROR(INDEX(tblNetflix[rating],MATCH($A2401,tblNetflix[show_id],0)),"")</f>
        <v/>
      </c>
      <c r="E2401" s="19">
        <f>IFERROR(INDEX(tblNetflix[year_added],MATCH($A2401,tblNetflix[show_id],0)),"")</f>
        <v/>
      </c>
      <c r="F2401" s="19">
        <f>IF(AND(OR(YearFilter="All",$E2401=YearFilter),OR(RatingFilter="All",$D2401=RatingFilter),OR(TypeFilter="All",$C2401=TypeFilter)),1,0)</f>
        <v/>
      </c>
    </row>
    <row r="2402" ht="15" customHeight="1" s="20">
      <c r="A2402" s="19" t="inlineStr">
        <is>
          <t>s7454</t>
        </is>
      </c>
      <c r="B2402" s="19" t="inlineStr">
        <is>
          <t>TV Comedies</t>
        </is>
      </c>
      <c r="C2402" s="19">
        <f>IFERROR(INDEX(tblNetflix[type],MATCH($A2402,tblNetflix[show_id],0)),"")</f>
        <v/>
      </c>
      <c r="D2402" s="19">
        <f>IFERROR(INDEX(tblNetflix[rating],MATCH($A2402,tblNetflix[show_id],0)),"")</f>
        <v/>
      </c>
      <c r="E2402" s="19">
        <f>IFERROR(INDEX(tblNetflix[year_added],MATCH($A2402,tblNetflix[show_id],0)),"")</f>
        <v/>
      </c>
      <c r="F2402" s="19">
        <f>IF(AND(OR(YearFilter="All",$E2402=YearFilter),OR(RatingFilter="All",$D2402=RatingFilter),OR(TypeFilter="All",$C2402=TypeFilter)),1,0)</f>
        <v/>
      </c>
    </row>
    <row r="2403" ht="15" customHeight="1" s="20">
      <c r="A2403" s="19" t="inlineStr">
        <is>
          <t>s7459</t>
        </is>
      </c>
      <c r="B2403" s="19" t="inlineStr">
        <is>
          <t>Dramas</t>
        </is>
      </c>
      <c r="C2403" s="19">
        <f>IFERROR(INDEX(tblNetflix[type],MATCH($A2403,tblNetflix[show_id],0)),"")</f>
        <v/>
      </c>
      <c r="D2403" s="19">
        <f>IFERROR(INDEX(tblNetflix[rating],MATCH($A2403,tblNetflix[show_id],0)),"")</f>
        <v/>
      </c>
      <c r="E2403" s="19">
        <f>IFERROR(INDEX(tblNetflix[year_added],MATCH($A2403,tblNetflix[show_id],0)),"")</f>
        <v/>
      </c>
      <c r="F2403" s="19">
        <f>IF(AND(OR(YearFilter="All",$E2403=YearFilter),OR(RatingFilter="All",$D2403=RatingFilter),OR(TypeFilter="All",$C2403=TypeFilter)),1,0)</f>
        <v/>
      </c>
    </row>
    <row r="2404" ht="15" customHeight="1" s="20">
      <c r="A2404" s="19" t="inlineStr">
        <is>
          <t>s7459</t>
        </is>
      </c>
      <c r="B2404" s="19" t="inlineStr">
        <is>
          <t>International Movies</t>
        </is>
      </c>
      <c r="C2404" s="19">
        <f>IFERROR(INDEX(tblNetflix[type],MATCH($A2404,tblNetflix[show_id],0)),"")</f>
        <v/>
      </c>
      <c r="D2404" s="19">
        <f>IFERROR(INDEX(tblNetflix[rating],MATCH($A2404,tblNetflix[show_id],0)),"")</f>
        <v/>
      </c>
      <c r="E2404" s="19">
        <f>IFERROR(INDEX(tblNetflix[year_added],MATCH($A2404,tblNetflix[show_id],0)),"")</f>
        <v/>
      </c>
      <c r="F2404" s="19">
        <f>IF(AND(OR(YearFilter="All",$E2404=YearFilter),OR(RatingFilter="All",$D2404=RatingFilter),OR(TypeFilter="All",$C2404=TypeFilter)),1,0)</f>
        <v/>
      </c>
    </row>
    <row r="2405" ht="15" customHeight="1" s="20">
      <c r="A2405" s="19" t="inlineStr">
        <is>
          <t>s7463</t>
        </is>
      </c>
      <c r="B2405" s="19" t="inlineStr">
        <is>
          <t>Dramas</t>
        </is>
      </c>
      <c r="C2405" s="19">
        <f>IFERROR(INDEX(tblNetflix[type],MATCH($A2405,tblNetflix[show_id],0)),"")</f>
        <v/>
      </c>
      <c r="D2405" s="19">
        <f>IFERROR(INDEX(tblNetflix[rating],MATCH($A2405,tblNetflix[show_id],0)),"")</f>
        <v/>
      </c>
      <c r="E2405" s="19">
        <f>IFERROR(INDEX(tblNetflix[year_added],MATCH($A2405,tblNetflix[show_id],0)),"")</f>
        <v/>
      </c>
      <c r="F2405" s="19">
        <f>IF(AND(OR(YearFilter="All",$E2405=YearFilter),OR(RatingFilter="All",$D2405=RatingFilter),OR(TypeFilter="All",$C2405=TypeFilter)),1,0)</f>
        <v/>
      </c>
    </row>
    <row r="2406" ht="15" customHeight="1" s="20">
      <c r="A2406" s="19" t="inlineStr">
        <is>
          <t>s7463</t>
        </is>
      </c>
      <c r="B2406" s="19" t="inlineStr">
        <is>
          <t>International Movies</t>
        </is>
      </c>
      <c r="C2406" s="19">
        <f>IFERROR(INDEX(tblNetflix[type],MATCH($A2406,tblNetflix[show_id],0)),"")</f>
        <v/>
      </c>
      <c r="D2406" s="19">
        <f>IFERROR(INDEX(tblNetflix[rating],MATCH($A2406,tblNetflix[show_id],0)),"")</f>
        <v/>
      </c>
      <c r="E2406" s="19">
        <f>IFERROR(INDEX(tblNetflix[year_added],MATCH($A2406,tblNetflix[show_id],0)),"")</f>
        <v/>
      </c>
      <c r="F2406" s="19">
        <f>IF(AND(OR(YearFilter="All",$E2406=YearFilter),OR(RatingFilter="All",$D2406=RatingFilter),OR(TypeFilter="All",$C2406=TypeFilter)),1,0)</f>
        <v/>
      </c>
    </row>
    <row r="2407" ht="15" customHeight="1" s="20">
      <c r="A2407" s="19" t="inlineStr">
        <is>
          <t>s7463</t>
        </is>
      </c>
      <c r="B2407" s="19" t="inlineStr">
        <is>
          <t>Music &amp; Musicals</t>
        </is>
      </c>
      <c r="C2407" s="19">
        <f>IFERROR(INDEX(tblNetflix[type],MATCH($A2407,tblNetflix[show_id],0)),"")</f>
        <v/>
      </c>
      <c r="D2407" s="19">
        <f>IFERROR(INDEX(tblNetflix[rating],MATCH($A2407,tblNetflix[show_id],0)),"")</f>
        <v/>
      </c>
      <c r="E2407" s="19">
        <f>IFERROR(INDEX(tblNetflix[year_added],MATCH($A2407,tblNetflix[show_id],0)),"")</f>
        <v/>
      </c>
      <c r="F2407" s="19">
        <f>IF(AND(OR(YearFilter="All",$E2407=YearFilter),OR(RatingFilter="All",$D2407=RatingFilter),OR(TypeFilter="All",$C2407=TypeFilter)),1,0)</f>
        <v/>
      </c>
    </row>
    <row r="2408" ht="15" customHeight="1" s="20">
      <c r="A2408" s="19" t="inlineStr">
        <is>
          <t>s7476</t>
        </is>
      </c>
      <c r="B2408" s="19" t="inlineStr">
        <is>
          <t>Dramas</t>
        </is>
      </c>
      <c r="C2408" s="19">
        <f>IFERROR(INDEX(tblNetflix[type],MATCH($A2408,tblNetflix[show_id],0)),"")</f>
        <v/>
      </c>
      <c r="D2408" s="19">
        <f>IFERROR(INDEX(tblNetflix[rating],MATCH($A2408,tblNetflix[show_id],0)),"")</f>
        <v/>
      </c>
      <c r="E2408" s="19">
        <f>IFERROR(INDEX(tblNetflix[year_added],MATCH($A2408,tblNetflix[show_id],0)),"")</f>
        <v/>
      </c>
      <c r="F2408" s="19">
        <f>IF(AND(OR(YearFilter="All",$E2408=YearFilter),OR(RatingFilter="All",$D2408=RatingFilter),OR(TypeFilter="All",$C2408=TypeFilter)),1,0)</f>
        <v/>
      </c>
    </row>
    <row r="2409" ht="15" customHeight="1" s="20">
      <c r="A2409" s="19" t="inlineStr">
        <is>
          <t>s7476</t>
        </is>
      </c>
      <c r="B2409" s="19" t="inlineStr">
        <is>
          <t>Independent Movies</t>
        </is>
      </c>
      <c r="C2409" s="19">
        <f>IFERROR(INDEX(tblNetflix[type],MATCH($A2409,tblNetflix[show_id],0)),"")</f>
        <v/>
      </c>
      <c r="D2409" s="19">
        <f>IFERROR(INDEX(tblNetflix[rating],MATCH($A2409,tblNetflix[show_id],0)),"")</f>
        <v/>
      </c>
      <c r="E2409" s="19">
        <f>IFERROR(INDEX(tblNetflix[year_added],MATCH($A2409,tblNetflix[show_id],0)),"")</f>
        <v/>
      </c>
      <c r="F2409" s="19">
        <f>IF(AND(OR(YearFilter="All",$E2409=YearFilter),OR(RatingFilter="All",$D2409=RatingFilter),OR(TypeFilter="All",$C2409=TypeFilter)),1,0)</f>
        <v/>
      </c>
    </row>
    <row r="2410" ht="15" customHeight="1" s="20">
      <c r="A2410" s="19" t="inlineStr">
        <is>
          <t>s7476</t>
        </is>
      </c>
      <c r="B2410" s="19" t="inlineStr">
        <is>
          <t>International Movies</t>
        </is>
      </c>
      <c r="C2410" s="19">
        <f>IFERROR(INDEX(tblNetflix[type],MATCH($A2410,tblNetflix[show_id],0)),"")</f>
        <v/>
      </c>
      <c r="D2410" s="19">
        <f>IFERROR(INDEX(tblNetflix[rating],MATCH($A2410,tblNetflix[show_id],0)),"")</f>
        <v/>
      </c>
      <c r="E2410" s="19">
        <f>IFERROR(INDEX(tblNetflix[year_added],MATCH($A2410,tblNetflix[show_id],0)),"")</f>
        <v/>
      </c>
      <c r="F2410" s="19">
        <f>IF(AND(OR(YearFilter="All",$E2410=YearFilter),OR(RatingFilter="All",$D2410=RatingFilter),OR(TypeFilter="All",$C2410=TypeFilter)),1,0)</f>
        <v/>
      </c>
    </row>
    <row r="2411" ht="15" customHeight="1" s="20">
      <c r="A2411" s="19" t="inlineStr">
        <is>
          <t>s7513</t>
        </is>
      </c>
      <c r="B2411" s="19" t="inlineStr">
        <is>
          <t>Dramas</t>
        </is>
      </c>
      <c r="C2411" s="19">
        <f>IFERROR(INDEX(tblNetflix[type],MATCH($A2411,tblNetflix[show_id],0)),"")</f>
        <v/>
      </c>
      <c r="D2411" s="19">
        <f>IFERROR(INDEX(tblNetflix[rating],MATCH($A2411,tblNetflix[show_id],0)),"")</f>
        <v/>
      </c>
      <c r="E2411" s="19">
        <f>IFERROR(INDEX(tblNetflix[year_added],MATCH($A2411,tblNetflix[show_id],0)),"")</f>
        <v/>
      </c>
      <c r="F2411" s="19">
        <f>IF(AND(OR(YearFilter="All",$E2411=YearFilter),OR(RatingFilter="All",$D2411=RatingFilter),OR(TypeFilter="All",$C2411=TypeFilter)),1,0)</f>
        <v/>
      </c>
    </row>
    <row r="2412" ht="15" customHeight="1" s="20">
      <c r="A2412" s="19" t="inlineStr">
        <is>
          <t>s7513</t>
        </is>
      </c>
      <c r="B2412" s="19" t="inlineStr">
        <is>
          <t>International Movies</t>
        </is>
      </c>
      <c r="C2412" s="19">
        <f>IFERROR(INDEX(tblNetflix[type],MATCH($A2412,tblNetflix[show_id],0)),"")</f>
        <v/>
      </c>
      <c r="D2412" s="19">
        <f>IFERROR(INDEX(tblNetflix[rating],MATCH($A2412,tblNetflix[show_id],0)),"")</f>
        <v/>
      </c>
      <c r="E2412" s="19">
        <f>IFERROR(INDEX(tblNetflix[year_added],MATCH($A2412,tblNetflix[show_id],0)),"")</f>
        <v/>
      </c>
      <c r="F2412" s="19">
        <f>IF(AND(OR(YearFilter="All",$E2412=YearFilter),OR(RatingFilter="All",$D2412=RatingFilter),OR(TypeFilter="All",$C2412=TypeFilter)),1,0)</f>
        <v/>
      </c>
    </row>
    <row r="2413" ht="15" customHeight="1" s="20">
      <c r="A2413" s="19" t="inlineStr">
        <is>
          <t>s7514</t>
        </is>
      </c>
      <c r="B2413" s="19" t="inlineStr">
        <is>
          <t>Children &amp; Family Movies</t>
        </is>
      </c>
      <c r="C2413" s="19">
        <f>IFERROR(INDEX(tblNetflix[type],MATCH($A2413,tblNetflix[show_id],0)),"")</f>
        <v/>
      </c>
      <c r="D2413" s="19">
        <f>IFERROR(INDEX(tblNetflix[rating],MATCH($A2413,tblNetflix[show_id],0)),"")</f>
        <v/>
      </c>
      <c r="E2413" s="19">
        <f>IFERROR(INDEX(tblNetflix[year_added],MATCH($A2413,tblNetflix[show_id],0)),"")</f>
        <v/>
      </c>
      <c r="F2413" s="19">
        <f>IF(AND(OR(YearFilter="All",$E2413=YearFilter),OR(RatingFilter="All",$D2413=RatingFilter),OR(TypeFilter="All",$C2413=TypeFilter)),1,0)</f>
        <v/>
      </c>
    </row>
    <row r="2414" ht="15" customHeight="1" s="20">
      <c r="A2414" s="19" t="inlineStr">
        <is>
          <t>s7514</t>
        </is>
      </c>
      <c r="B2414" s="19" t="inlineStr">
        <is>
          <t>Comedies</t>
        </is>
      </c>
      <c r="C2414" s="19">
        <f>IFERROR(INDEX(tblNetflix[type],MATCH($A2414,tblNetflix[show_id],0)),"")</f>
        <v/>
      </c>
      <c r="D2414" s="19">
        <f>IFERROR(INDEX(tblNetflix[rating],MATCH($A2414,tblNetflix[show_id],0)),"")</f>
        <v/>
      </c>
      <c r="E2414" s="19">
        <f>IFERROR(INDEX(tblNetflix[year_added],MATCH($A2414,tblNetflix[show_id],0)),"")</f>
        <v/>
      </c>
      <c r="F2414" s="19">
        <f>IF(AND(OR(YearFilter="All",$E2414=YearFilter),OR(RatingFilter="All",$D2414=RatingFilter),OR(TypeFilter="All",$C2414=TypeFilter)),1,0)</f>
        <v/>
      </c>
    </row>
    <row r="2415" ht="15" customHeight="1" s="20">
      <c r="A2415" s="19" t="inlineStr">
        <is>
          <t>s7525</t>
        </is>
      </c>
      <c r="B2415" s="19" t="inlineStr">
        <is>
          <t>Comedies</t>
        </is>
      </c>
      <c r="C2415" s="19">
        <f>IFERROR(INDEX(tblNetflix[type],MATCH($A2415,tblNetflix[show_id],0)),"")</f>
        <v/>
      </c>
      <c r="D2415" s="19">
        <f>IFERROR(INDEX(tblNetflix[rating],MATCH($A2415,tblNetflix[show_id],0)),"")</f>
        <v/>
      </c>
      <c r="E2415" s="19">
        <f>IFERROR(INDEX(tblNetflix[year_added],MATCH($A2415,tblNetflix[show_id],0)),"")</f>
        <v/>
      </c>
      <c r="F2415" s="19">
        <f>IF(AND(OR(YearFilter="All",$E2415=YearFilter),OR(RatingFilter="All",$D2415=RatingFilter),OR(TypeFilter="All",$C2415=TypeFilter)),1,0)</f>
        <v/>
      </c>
    </row>
    <row r="2416" ht="15" customHeight="1" s="20">
      <c r="A2416" s="19" t="inlineStr">
        <is>
          <t>s7525</t>
        </is>
      </c>
      <c r="B2416" s="19" t="inlineStr">
        <is>
          <t>International Movies</t>
        </is>
      </c>
      <c r="C2416" s="19">
        <f>IFERROR(INDEX(tblNetflix[type],MATCH($A2416,tblNetflix[show_id],0)),"")</f>
        <v/>
      </c>
      <c r="D2416" s="19">
        <f>IFERROR(INDEX(tblNetflix[rating],MATCH($A2416,tblNetflix[show_id],0)),"")</f>
        <v/>
      </c>
      <c r="E2416" s="19">
        <f>IFERROR(INDEX(tblNetflix[year_added],MATCH($A2416,tblNetflix[show_id],0)),"")</f>
        <v/>
      </c>
      <c r="F2416" s="19">
        <f>IF(AND(OR(YearFilter="All",$E2416=YearFilter),OR(RatingFilter="All",$D2416=RatingFilter),OR(TypeFilter="All",$C2416=TypeFilter)),1,0)</f>
        <v/>
      </c>
    </row>
    <row r="2417" ht="15" customHeight="1" s="20">
      <c r="A2417" s="19" t="inlineStr">
        <is>
          <t>s7525</t>
        </is>
      </c>
      <c r="B2417" s="19" t="inlineStr">
        <is>
          <t>Romantic Movies</t>
        </is>
      </c>
      <c r="C2417" s="19">
        <f>IFERROR(INDEX(tblNetflix[type],MATCH($A2417,tblNetflix[show_id],0)),"")</f>
        <v/>
      </c>
      <c r="D2417" s="19">
        <f>IFERROR(INDEX(tblNetflix[rating],MATCH($A2417,tblNetflix[show_id],0)),"")</f>
        <v/>
      </c>
      <c r="E2417" s="19">
        <f>IFERROR(INDEX(tblNetflix[year_added],MATCH($A2417,tblNetflix[show_id],0)),"")</f>
        <v/>
      </c>
      <c r="F2417" s="19">
        <f>IF(AND(OR(YearFilter="All",$E2417=YearFilter),OR(RatingFilter="All",$D2417=RatingFilter),OR(TypeFilter="All",$C2417=TypeFilter)),1,0)</f>
        <v/>
      </c>
    </row>
    <row r="2418" ht="15" customHeight="1" s="20">
      <c r="A2418" s="19" t="inlineStr">
        <is>
          <t>s7533</t>
        </is>
      </c>
      <c r="B2418" s="19" t="inlineStr">
        <is>
          <t>Dramas</t>
        </is>
      </c>
      <c r="C2418" s="19">
        <f>IFERROR(INDEX(tblNetflix[type],MATCH($A2418,tblNetflix[show_id],0)),"")</f>
        <v/>
      </c>
      <c r="D2418" s="19">
        <f>IFERROR(INDEX(tblNetflix[rating],MATCH($A2418,tblNetflix[show_id],0)),"")</f>
        <v/>
      </c>
      <c r="E2418" s="19">
        <f>IFERROR(INDEX(tblNetflix[year_added],MATCH($A2418,tblNetflix[show_id],0)),"")</f>
        <v/>
      </c>
      <c r="F2418" s="19">
        <f>IF(AND(OR(YearFilter="All",$E2418=YearFilter),OR(RatingFilter="All",$D2418=RatingFilter),OR(TypeFilter="All",$C2418=TypeFilter)),1,0)</f>
        <v/>
      </c>
    </row>
    <row r="2419" ht="15" customHeight="1" s="20">
      <c r="A2419" s="19" t="inlineStr">
        <is>
          <t>s7533</t>
        </is>
      </c>
      <c r="B2419" s="19" t="inlineStr">
        <is>
          <t>Independent Movies</t>
        </is>
      </c>
      <c r="C2419" s="19">
        <f>IFERROR(INDEX(tblNetflix[type],MATCH($A2419,tblNetflix[show_id],0)),"")</f>
        <v/>
      </c>
      <c r="D2419" s="19">
        <f>IFERROR(INDEX(tblNetflix[rating],MATCH($A2419,tblNetflix[show_id],0)),"")</f>
        <v/>
      </c>
      <c r="E2419" s="19">
        <f>IFERROR(INDEX(tblNetflix[year_added],MATCH($A2419,tblNetflix[show_id],0)),"")</f>
        <v/>
      </c>
      <c r="F2419" s="19">
        <f>IF(AND(OR(YearFilter="All",$E2419=YearFilter),OR(RatingFilter="All",$D2419=RatingFilter),OR(TypeFilter="All",$C2419=TypeFilter)),1,0)</f>
        <v/>
      </c>
    </row>
    <row r="2420" ht="15" customHeight="1" s="20">
      <c r="A2420" s="19" t="inlineStr">
        <is>
          <t>s7533</t>
        </is>
      </c>
      <c r="B2420" s="19" t="inlineStr">
        <is>
          <t>International Movies</t>
        </is>
      </c>
      <c r="C2420" s="19">
        <f>IFERROR(INDEX(tblNetflix[type],MATCH($A2420,tblNetflix[show_id],0)),"")</f>
        <v/>
      </c>
      <c r="D2420" s="19">
        <f>IFERROR(INDEX(tblNetflix[rating],MATCH($A2420,tblNetflix[show_id],0)),"")</f>
        <v/>
      </c>
      <c r="E2420" s="19">
        <f>IFERROR(INDEX(tblNetflix[year_added],MATCH($A2420,tblNetflix[show_id],0)),"")</f>
        <v/>
      </c>
      <c r="F2420" s="19">
        <f>IF(AND(OR(YearFilter="All",$E2420=YearFilter),OR(RatingFilter="All",$D2420=RatingFilter),OR(TypeFilter="All",$C2420=TypeFilter)),1,0)</f>
        <v/>
      </c>
    </row>
    <row r="2421" ht="15" customHeight="1" s="20">
      <c r="A2421" s="19" t="inlineStr">
        <is>
          <t>s7553</t>
        </is>
      </c>
      <c r="B2421" s="19" t="inlineStr">
        <is>
          <t>Horror Movies</t>
        </is>
      </c>
      <c r="C2421" s="19">
        <f>IFERROR(INDEX(tblNetflix[type],MATCH($A2421,tblNetflix[show_id],0)),"")</f>
        <v/>
      </c>
      <c r="D2421" s="19">
        <f>IFERROR(INDEX(tblNetflix[rating],MATCH($A2421,tblNetflix[show_id],0)),"")</f>
        <v/>
      </c>
      <c r="E2421" s="19">
        <f>IFERROR(INDEX(tblNetflix[year_added],MATCH($A2421,tblNetflix[show_id],0)),"")</f>
        <v/>
      </c>
      <c r="F2421" s="19">
        <f>IF(AND(OR(YearFilter="All",$E2421=YearFilter),OR(RatingFilter="All",$D2421=RatingFilter),OR(TypeFilter="All",$C2421=TypeFilter)),1,0)</f>
        <v/>
      </c>
    </row>
    <row r="2422" ht="15" customHeight="1" s="20">
      <c r="A2422" s="19" t="inlineStr">
        <is>
          <t>s7553</t>
        </is>
      </c>
      <c r="B2422" s="19" t="inlineStr">
        <is>
          <t>International Movies</t>
        </is>
      </c>
      <c r="C2422" s="19">
        <f>IFERROR(INDEX(tblNetflix[type],MATCH($A2422,tblNetflix[show_id],0)),"")</f>
        <v/>
      </c>
      <c r="D2422" s="19">
        <f>IFERROR(INDEX(tblNetflix[rating],MATCH($A2422,tblNetflix[show_id],0)),"")</f>
        <v/>
      </c>
      <c r="E2422" s="19">
        <f>IFERROR(INDEX(tblNetflix[year_added],MATCH($A2422,tblNetflix[show_id],0)),"")</f>
        <v/>
      </c>
      <c r="F2422" s="19">
        <f>IF(AND(OR(YearFilter="All",$E2422=YearFilter),OR(RatingFilter="All",$D2422=RatingFilter),OR(TypeFilter="All",$C2422=TypeFilter)),1,0)</f>
        <v/>
      </c>
    </row>
    <row r="2423" ht="15" customHeight="1" s="20">
      <c r="A2423" s="19" t="inlineStr">
        <is>
          <t>s7555</t>
        </is>
      </c>
      <c r="B2423" s="19" t="inlineStr">
        <is>
          <t>Documentaries</t>
        </is>
      </c>
      <c r="C2423" s="19">
        <f>IFERROR(INDEX(tblNetflix[type],MATCH($A2423,tblNetflix[show_id],0)),"")</f>
        <v/>
      </c>
      <c r="D2423" s="19">
        <f>IFERROR(INDEX(tblNetflix[rating],MATCH($A2423,tblNetflix[show_id],0)),"")</f>
        <v/>
      </c>
      <c r="E2423" s="19">
        <f>IFERROR(INDEX(tblNetflix[year_added],MATCH($A2423,tblNetflix[show_id],0)),"")</f>
        <v/>
      </c>
      <c r="F2423" s="19">
        <f>IF(AND(OR(YearFilter="All",$E2423=YearFilter),OR(RatingFilter="All",$D2423=RatingFilter),OR(TypeFilter="All",$C2423=TypeFilter)),1,0)</f>
        <v/>
      </c>
    </row>
    <row r="2424" ht="15" customHeight="1" s="20">
      <c r="A2424" s="19" t="inlineStr">
        <is>
          <t>s7555</t>
        </is>
      </c>
      <c r="B2424" s="19" t="inlineStr">
        <is>
          <t>International Movies</t>
        </is>
      </c>
      <c r="C2424" s="19">
        <f>IFERROR(INDEX(tblNetflix[type],MATCH($A2424,tblNetflix[show_id],0)),"")</f>
        <v/>
      </c>
      <c r="D2424" s="19">
        <f>IFERROR(INDEX(tblNetflix[rating],MATCH($A2424,tblNetflix[show_id],0)),"")</f>
        <v/>
      </c>
      <c r="E2424" s="19">
        <f>IFERROR(INDEX(tblNetflix[year_added],MATCH($A2424,tblNetflix[show_id],0)),"")</f>
        <v/>
      </c>
      <c r="F2424" s="19">
        <f>IF(AND(OR(YearFilter="All",$E2424=YearFilter),OR(RatingFilter="All",$D2424=RatingFilter),OR(TypeFilter="All",$C2424=TypeFilter)),1,0)</f>
        <v/>
      </c>
    </row>
    <row r="2425" ht="15" customHeight="1" s="20">
      <c r="A2425" s="19" t="inlineStr">
        <is>
          <t>s7558</t>
        </is>
      </c>
      <c r="B2425" s="19" t="inlineStr">
        <is>
          <t>Action &amp; Adventure</t>
        </is>
      </c>
      <c r="C2425" s="19">
        <f>IFERROR(INDEX(tblNetflix[type],MATCH($A2425,tblNetflix[show_id],0)),"")</f>
        <v/>
      </c>
      <c r="D2425" s="19">
        <f>IFERROR(INDEX(tblNetflix[rating],MATCH($A2425,tblNetflix[show_id],0)),"")</f>
        <v/>
      </c>
      <c r="E2425" s="19">
        <f>IFERROR(INDEX(tblNetflix[year_added],MATCH($A2425,tblNetflix[show_id],0)),"")</f>
        <v/>
      </c>
      <c r="F2425" s="19">
        <f>IF(AND(OR(YearFilter="All",$E2425=YearFilter),OR(RatingFilter="All",$D2425=RatingFilter),OR(TypeFilter="All",$C2425=TypeFilter)),1,0)</f>
        <v/>
      </c>
    </row>
    <row r="2426" ht="15" customHeight="1" s="20">
      <c r="A2426" s="19" t="inlineStr">
        <is>
          <t>s7558</t>
        </is>
      </c>
      <c r="B2426" s="19" t="inlineStr">
        <is>
          <t>Comedies</t>
        </is>
      </c>
      <c r="C2426" s="19">
        <f>IFERROR(INDEX(tblNetflix[type],MATCH($A2426,tblNetflix[show_id],0)),"")</f>
        <v/>
      </c>
      <c r="D2426" s="19">
        <f>IFERROR(INDEX(tblNetflix[rating],MATCH($A2426,tblNetflix[show_id],0)),"")</f>
        <v/>
      </c>
      <c r="E2426" s="19">
        <f>IFERROR(INDEX(tblNetflix[year_added],MATCH($A2426,tblNetflix[show_id],0)),"")</f>
        <v/>
      </c>
      <c r="F2426" s="19">
        <f>IF(AND(OR(YearFilter="All",$E2426=YearFilter),OR(RatingFilter="All",$D2426=RatingFilter),OR(TypeFilter="All",$C2426=TypeFilter)),1,0)</f>
        <v/>
      </c>
    </row>
    <row r="2427" ht="15" customHeight="1" s="20">
      <c r="A2427" s="19" t="inlineStr">
        <is>
          <t>s7558</t>
        </is>
      </c>
      <c r="B2427" s="19" t="inlineStr">
        <is>
          <t>International Movies</t>
        </is>
      </c>
      <c r="C2427" s="19">
        <f>IFERROR(INDEX(tblNetflix[type],MATCH($A2427,tblNetflix[show_id],0)),"")</f>
        <v/>
      </c>
      <c r="D2427" s="19">
        <f>IFERROR(INDEX(tblNetflix[rating],MATCH($A2427,tblNetflix[show_id],0)),"")</f>
        <v/>
      </c>
      <c r="E2427" s="19">
        <f>IFERROR(INDEX(tblNetflix[year_added],MATCH($A2427,tblNetflix[show_id],0)),"")</f>
        <v/>
      </c>
      <c r="F2427" s="19">
        <f>IF(AND(OR(YearFilter="All",$E2427=YearFilter),OR(RatingFilter="All",$D2427=RatingFilter),OR(TypeFilter="All",$C2427=TypeFilter)),1,0)</f>
        <v/>
      </c>
    </row>
    <row r="2428" ht="15" customHeight="1" s="20">
      <c r="A2428" s="19" t="inlineStr">
        <is>
          <t>s7566</t>
        </is>
      </c>
      <c r="B2428" s="19" t="inlineStr">
        <is>
          <t>Dramas</t>
        </is>
      </c>
      <c r="C2428" s="19">
        <f>IFERROR(INDEX(tblNetflix[type],MATCH($A2428,tblNetflix[show_id],0)),"")</f>
        <v/>
      </c>
      <c r="D2428" s="19">
        <f>IFERROR(INDEX(tblNetflix[rating],MATCH($A2428,tblNetflix[show_id],0)),"")</f>
        <v/>
      </c>
      <c r="E2428" s="19">
        <f>IFERROR(INDEX(tblNetflix[year_added],MATCH($A2428,tblNetflix[show_id],0)),"")</f>
        <v/>
      </c>
      <c r="F2428" s="19">
        <f>IF(AND(OR(YearFilter="All",$E2428=YearFilter),OR(RatingFilter="All",$D2428=RatingFilter),OR(TypeFilter="All",$C2428=TypeFilter)),1,0)</f>
        <v/>
      </c>
    </row>
    <row r="2429" ht="15" customHeight="1" s="20">
      <c r="A2429" s="19" t="inlineStr">
        <is>
          <t>s7566</t>
        </is>
      </c>
      <c r="B2429" s="19" t="inlineStr">
        <is>
          <t>International Movies</t>
        </is>
      </c>
      <c r="C2429" s="19">
        <f>IFERROR(INDEX(tblNetflix[type],MATCH($A2429,tblNetflix[show_id],0)),"")</f>
        <v/>
      </c>
      <c r="D2429" s="19">
        <f>IFERROR(INDEX(tblNetflix[rating],MATCH($A2429,tblNetflix[show_id],0)),"")</f>
        <v/>
      </c>
      <c r="E2429" s="19">
        <f>IFERROR(INDEX(tblNetflix[year_added],MATCH($A2429,tblNetflix[show_id],0)),"")</f>
        <v/>
      </c>
      <c r="F2429" s="19">
        <f>IF(AND(OR(YearFilter="All",$E2429=YearFilter),OR(RatingFilter="All",$D2429=RatingFilter),OR(TypeFilter="All",$C2429=TypeFilter)),1,0)</f>
        <v/>
      </c>
    </row>
    <row r="2430" ht="15" customHeight="1" s="20">
      <c r="A2430" s="19" t="inlineStr">
        <is>
          <t>s7583</t>
        </is>
      </c>
      <c r="B2430" s="19" t="inlineStr">
        <is>
          <t>Action &amp; Adventure</t>
        </is>
      </c>
      <c r="C2430" s="19">
        <f>IFERROR(INDEX(tblNetflix[type],MATCH($A2430,tblNetflix[show_id],0)),"")</f>
        <v/>
      </c>
      <c r="D2430" s="19">
        <f>IFERROR(INDEX(tblNetflix[rating],MATCH($A2430,tblNetflix[show_id],0)),"")</f>
        <v/>
      </c>
      <c r="E2430" s="19">
        <f>IFERROR(INDEX(tblNetflix[year_added],MATCH($A2430,tblNetflix[show_id],0)),"")</f>
        <v/>
      </c>
      <c r="F2430" s="19">
        <f>IF(AND(OR(YearFilter="All",$E2430=YearFilter),OR(RatingFilter="All",$D2430=RatingFilter),OR(TypeFilter="All",$C2430=TypeFilter)),1,0)</f>
        <v/>
      </c>
    </row>
    <row r="2431" ht="15" customHeight="1" s="20">
      <c r="A2431" s="19" t="inlineStr">
        <is>
          <t>s7583</t>
        </is>
      </c>
      <c r="B2431" s="19" t="inlineStr">
        <is>
          <t>Dramas</t>
        </is>
      </c>
      <c r="C2431" s="19">
        <f>IFERROR(INDEX(tblNetflix[type],MATCH($A2431,tblNetflix[show_id],0)),"")</f>
        <v/>
      </c>
      <c r="D2431" s="19">
        <f>IFERROR(INDEX(tblNetflix[rating],MATCH($A2431,tblNetflix[show_id],0)),"")</f>
        <v/>
      </c>
      <c r="E2431" s="19">
        <f>IFERROR(INDEX(tblNetflix[year_added],MATCH($A2431,tblNetflix[show_id],0)),"")</f>
        <v/>
      </c>
      <c r="F2431" s="19">
        <f>IF(AND(OR(YearFilter="All",$E2431=YearFilter),OR(RatingFilter="All",$D2431=RatingFilter),OR(TypeFilter="All",$C2431=TypeFilter)),1,0)</f>
        <v/>
      </c>
    </row>
    <row r="2432" ht="15" customHeight="1" s="20">
      <c r="A2432" s="19" t="inlineStr">
        <is>
          <t>s7583</t>
        </is>
      </c>
      <c r="B2432" s="19" t="inlineStr">
        <is>
          <t>International Movies</t>
        </is>
      </c>
      <c r="C2432" s="19">
        <f>IFERROR(INDEX(tblNetflix[type],MATCH($A2432,tblNetflix[show_id],0)),"")</f>
        <v/>
      </c>
      <c r="D2432" s="19">
        <f>IFERROR(INDEX(tblNetflix[rating],MATCH($A2432,tblNetflix[show_id],0)),"")</f>
        <v/>
      </c>
      <c r="E2432" s="19">
        <f>IFERROR(INDEX(tblNetflix[year_added],MATCH($A2432,tblNetflix[show_id],0)),"")</f>
        <v/>
      </c>
      <c r="F2432" s="19">
        <f>IF(AND(OR(YearFilter="All",$E2432=YearFilter),OR(RatingFilter="All",$D2432=RatingFilter),OR(TypeFilter="All",$C2432=TypeFilter)),1,0)</f>
        <v/>
      </c>
    </row>
    <row r="2433" ht="15" customHeight="1" s="20">
      <c r="A2433" s="19" t="inlineStr">
        <is>
          <t>s7591</t>
        </is>
      </c>
      <c r="B2433" s="19" t="inlineStr">
        <is>
          <t>Comedies</t>
        </is>
      </c>
      <c r="C2433" s="19">
        <f>IFERROR(INDEX(tblNetflix[type],MATCH($A2433,tblNetflix[show_id],0)),"")</f>
        <v/>
      </c>
      <c r="D2433" s="19">
        <f>IFERROR(INDEX(tblNetflix[rating],MATCH($A2433,tblNetflix[show_id],0)),"")</f>
        <v/>
      </c>
      <c r="E2433" s="19">
        <f>IFERROR(INDEX(tblNetflix[year_added],MATCH($A2433,tblNetflix[show_id],0)),"")</f>
        <v/>
      </c>
      <c r="F2433" s="19">
        <f>IF(AND(OR(YearFilter="All",$E2433=YearFilter),OR(RatingFilter="All",$D2433=RatingFilter),OR(TypeFilter="All",$C2433=TypeFilter)),1,0)</f>
        <v/>
      </c>
    </row>
    <row r="2434" ht="15" customHeight="1" s="20">
      <c r="A2434" s="19" t="inlineStr">
        <is>
          <t>s7591</t>
        </is>
      </c>
      <c r="B2434" s="19" t="inlineStr">
        <is>
          <t>International Movies</t>
        </is>
      </c>
      <c r="C2434" s="19">
        <f>IFERROR(INDEX(tblNetflix[type],MATCH($A2434,tblNetflix[show_id],0)),"")</f>
        <v/>
      </c>
      <c r="D2434" s="19">
        <f>IFERROR(INDEX(tblNetflix[rating],MATCH($A2434,tblNetflix[show_id],0)),"")</f>
        <v/>
      </c>
      <c r="E2434" s="19">
        <f>IFERROR(INDEX(tblNetflix[year_added],MATCH($A2434,tblNetflix[show_id],0)),"")</f>
        <v/>
      </c>
      <c r="F2434" s="19">
        <f>IF(AND(OR(YearFilter="All",$E2434=YearFilter),OR(RatingFilter="All",$D2434=RatingFilter),OR(TypeFilter="All",$C2434=TypeFilter)),1,0)</f>
        <v/>
      </c>
    </row>
    <row r="2435" ht="15" customHeight="1" s="20">
      <c r="A2435" s="19" t="inlineStr">
        <is>
          <t>s7596</t>
        </is>
      </c>
      <c r="B2435" s="19" t="inlineStr">
        <is>
          <t>Children &amp; Family Movies</t>
        </is>
      </c>
      <c r="C2435" s="19">
        <f>IFERROR(INDEX(tblNetflix[type],MATCH($A2435,tblNetflix[show_id],0)),"")</f>
        <v/>
      </c>
      <c r="D2435" s="19">
        <f>IFERROR(INDEX(tblNetflix[rating],MATCH($A2435,tblNetflix[show_id],0)),"")</f>
        <v/>
      </c>
      <c r="E2435" s="19">
        <f>IFERROR(INDEX(tblNetflix[year_added],MATCH($A2435,tblNetflix[show_id],0)),"")</f>
        <v/>
      </c>
      <c r="F2435" s="19">
        <f>IF(AND(OR(YearFilter="All",$E2435=YearFilter),OR(RatingFilter="All",$D2435=RatingFilter),OR(TypeFilter="All",$C2435=TypeFilter)),1,0)</f>
        <v/>
      </c>
    </row>
    <row r="2436" ht="15" customHeight="1" s="20">
      <c r="A2436" s="19" t="inlineStr">
        <is>
          <t>s7597</t>
        </is>
      </c>
      <c r="B2436" s="19" t="inlineStr">
        <is>
          <t>Children &amp; Family Movies</t>
        </is>
      </c>
      <c r="C2436" s="19">
        <f>IFERROR(INDEX(tblNetflix[type],MATCH($A2436,tblNetflix[show_id],0)),"")</f>
        <v/>
      </c>
      <c r="D2436" s="19">
        <f>IFERROR(INDEX(tblNetflix[rating],MATCH($A2436,tblNetflix[show_id],0)),"")</f>
        <v/>
      </c>
      <c r="E2436" s="19">
        <f>IFERROR(INDEX(tblNetflix[year_added],MATCH($A2436,tblNetflix[show_id],0)),"")</f>
        <v/>
      </c>
      <c r="F2436" s="19">
        <f>IF(AND(OR(YearFilter="All",$E2436=YearFilter),OR(RatingFilter="All",$D2436=RatingFilter),OR(TypeFilter="All",$C2436=TypeFilter)),1,0)</f>
        <v/>
      </c>
    </row>
    <row r="2437" ht="15" customHeight="1" s="20">
      <c r="A2437" s="19" t="inlineStr">
        <is>
          <t>s7597</t>
        </is>
      </c>
      <c r="B2437" s="19" t="inlineStr">
        <is>
          <t>Comedies</t>
        </is>
      </c>
      <c r="C2437" s="19">
        <f>IFERROR(INDEX(tblNetflix[type],MATCH($A2437,tblNetflix[show_id],0)),"")</f>
        <v/>
      </c>
      <c r="D2437" s="19">
        <f>IFERROR(INDEX(tblNetflix[rating],MATCH($A2437,tblNetflix[show_id],0)),"")</f>
        <v/>
      </c>
      <c r="E2437" s="19">
        <f>IFERROR(INDEX(tblNetflix[year_added],MATCH($A2437,tblNetflix[show_id],0)),"")</f>
        <v/>
      </c>
      <c r="F2437" s="19">
        <f>IF(AND(OR(YearFilter="All",$E2437=YearFilter),OR(RatingFilter="All",$D2437=RatingFilter),OR(TypeFilter="All",$C2437=TypeFilter)),1,0)</f>
        <v/>
      </c>
    </row>
    <row r="2438" ht="15" customHeight="1" s="20">
      <c r="A2438" s="19" t="inlineStr">
        <is>
          <t>s7653</t>
        </is>
      </c>
      <c r="B2438" s="19" t="inlineStr">
        <is>
          <t>Documentaries</t>
        </is>
      </c>
      <c r="C2438" s="19">
        <f>IFERROR(INDEX(tblNetflix[type],MATCH($A2438,tblNetflix[show_id],0)),"")</f>
        <v/>
      </c>
      <c r="D2438" s="19">
        <f>IFERROR(INDEX(tblNetflix[rating],MATCH($A2438,tblNetflix[show_id],0)),"")</f>
        <v/>
      </c>
      <c r="E2438" s="19">
        <f>IFERROR(INDEX(tblNetflix[year_added],MATCH($A2438,tblNetflix[show_id],0)),"")</f>
        <v/>
      </c>
      <c r="F2438" s="19">
        <f>IF(AND(OR(YearFilter="All",$E2438=YearFilter),OR(RatingFilter="All",$D2438=RatingFilter),OR(TypeFilter="All",$C2438=TypeFilter)),1,0)</f>
        <v/>
      </c>
    </row>
    <row r="2439" ht="15" customHeight="1" s="20">
      <c r="A2439" s="19" t="inlineStr">
        <is>
          <t>s7653</t>
        </is>
      </c>
      <c r="B2439" s="19" t="inlineStr">
        <is>
          <t>Faith &amp; Spirituality</t>
        </is>
      </c>
      <c r="C2439" s="19">
        <f>IFERROR(INDEX(tblNetflix[type],MATCH($A2439,tblNetflix[show_id],0)),"")</f>
        <v/>
      </c>
      <c r="D2439" s="19">
        <f>IFERROR(INDEX(tblNetflix[rating],MATCH($A2439,tblNetflix[show_id],0)),"")</f>
        <v/>
      </c>
      <c r="E2439" s="19">
        <f>IFERROR(INDEX(tblNetflix[year_added],MATCH($A2439,tblNetflix[show_id],0)),"")</f>
        <v/>
      </c>
      <c r="F2439" s="19">
        <f>IF(AND(OR(YearFilter="All",$E2439=YearFilter),OR(RatingFilter="All",$D2439=RatingFilter),OR(TypeFilter="All",$C2439=TypeFilter)),1,0)</f>
        <v/>
      </c>
    </row>
    <row r="2440" ht="15" customHeight="1" s="20">
      <c r="A2440" s="19" t="inlineStr">
        <is>
          <t>s7654</t>
        </is>
      </c>
      <c r="B2440" s="19" t="inlineStr">
        <is>
          <t>Dramas</t>
        </is>
      </c>
      <c r="C2440" s="19">
        <f>IFERROR(INDEX(tblNetflix[type],MATCH($A2440,tblNetflix[show_id],0)),"")</f>
        <v/>
      </c>
      <c r="D2440" s="19">
        <f>IFERROR(INDEX(tblNetflix[rating],MATCH($A2440,tblNetflix[show_id],0)),"")</f>
        <v/>
      </c>
      <c r="E2440" s="19">
        <f>IFERROR(INDEX(tblNetflix[year_added],MATCH($A2440,tblNetflix[show_id],0)),"")</f>
        <v/>
      </c>
      <c r="F2440" s="19">
        <f>IF(AND(OR(YearFilter="All",$E2440=YearFilter),OR(RatingFilter="All",$D2440=RatingFilter),OR(TypeFilter="All",$C2440=TypeFilter)),1,0)</f>
        <v/>
      </c>
    </row>
    <row r="2441" ht="15" customHeight="1" s="20">
      <c r="A2441" s="19" t="inlineStr">
        <is>
          <t>s7654</t>
        </is>
      </c>
      <c r="B2441" s="19" t="inlineStr">
        <is>
          <t>International Movies</t>
        </is>
      </c>
      <c r="C2441" s="19">
        <f>IFERROR(INDEX(tblNetflix[type],MATCH($A2441,tblNetflix[show_id],0)),"")</f>
        <v/>
      </c>
      <c r="D2441" s="19">
        <f>IFERROR(INDEX(tblNetflix[rating],MATCH($A2441,tblNetflix[show_id],0)),"")</f>
        <v/>
      </c>
      <c r="E2441" s="19">
        <f>IFERROR(INDEX(tblNetflix[year_added],MATCH($A2441,tblNetflix[show_id],0)),"")</f>
        <v/>
      </c>
      <c r="F2441" s="19">
        <f>IF(AND(OR(YearFilter="All",$E2441=YearFilter),OR(RatingFilter="All",$D2441=RatingFilter),OR(TypeFilter="All",$C2441=TypeFilter)),1,0)</f>
        <v/>
      </c>
    </row>
    <row r="2442" ht="15" customHeight="1" s="20">
      <c r="A2442" s="19" t="inlineStr">
        <is>
          <t>s7663</t>
        </is>
      </c>
      <c r="B2442" s="19" t="inlineStr">
        <is>
          <t>Documentaries</t>
        </is>
      </c>
      <c r="C2442" s="19">
        <f>IFERROR(INDEX(tblNetflix[type],MATCH($A2442,tblNetflix[show_id],0)),"")</f>
        <v/>
      </c>
      <c r="D2442" s="19">
        <f>IFERROR(INDEX(tblNetflix[rating],MATCH($A2442,tblNetflix[show_id],0)),"")</f>
        <v/>
      </c>
      <c r="E2442" s="19">
        <f>IFERROR(INDEX(tblNetflix[year_added],MATCH($A2442,tblNetflix[show_id],0)),"")</f>
        <v/>
      </c>
      <c r="F2442" s="19">
        <f>IF(AND(OR(YearFilter="All",$E2442=YearFilter),OR(RatingFilter="All",$D2442=RatingFilter),OR(TypeFilter="All",$C2442=TypeFilter)),1,0)</f>
        <v/>
      </c>
    </row>
    <row r="2443" ht="15" customHeight="1" s="20">
      <c r="A2443" s="19" t="inlineStr">
        <is>
          <t>s7663</t>
        </is>
      </c>
      <c r="B2443" s="19" t="inlineStr">
        <is>
          <t>International Movies</t>
        </is>
      </c>
      <c r="C2443" s="19">
        <f>IFERROR(INDEX(tblNetflix[type],MATCH($A2443,tblNetflix[show_id],0)),"")</f>
        <v/>
      </c>
      <c r="D2443" s="19">
        <f>IFERROR(INDEX(tblNetflix[rating],MATCH($A2443,tblNetflix[show_id],0)),"")</f>
        <v/>
      </c>
      <c r="E2443" s="19">
        <f>IFERROR(INDEX(tblNetflix[year_added],MATCH($A2443,tblNetflix[show_id],0)),"")</f>
        <v/>
      </c>
      <c r="F2443" s="19">
        <f>IF(AND(OR(YearFilter="All",$E2443=YearFilter),OR(RatingFilter="All",$D2443=RatingFilter),OR(TypeFilter="All",$C2443=TypeFilter)),1,0)</f>
        <v/>
      </c>
    </row>
    <row r="2444" ht="15" customHeight="1" s="20">
      <c r="A2444" s="19" t="inlineStr">
        <is>
          <t>s7663</t>
        </is>
      </c>
      <c r="B2444" s="19" t="inlineStr">
        <is>
          <t>Music &amp; Musicals</t>
        </is>
      </c>
      <c r="C2444" s="19">
        <f>IFERROR(INDEX(tblNetflix[type],MATCH($A2444,tblNetflix[show_id],0)),"")</f>
        <v/>
      </c>
      <c r="D2444" s="19">
        <f>IFERROR(INDEX(tblNetflix[rating],MATCH($A2444,tblNetflix[show_id],0)),"")</f>
        <v/>
      </c>
      <c r="E2444" s="19">
        <f>IFERROR(INDEX(tblNetflix[year_added],MATCH($A2444,tblNetflix[show_id],0)),"")</f>
        <v/>
      </c>
      <c r="F2444" s="19">
        <f>IF(AND(OR(YearFilter="All",$E2444=YearFilter),OR(RatingFilter="All",$D2444=RatingFilter),OR(TypeFilter="All",$C2444=TypeFilter)),1,0)</f>
        <v/>
      </c>
    </row>
    <row r="2445" ht="15" customHeight="1" s="20">
      <c r="A2445" s="19" t="inlineStr">
        <is>
          <t>s7666</t>
        </is>
      </c>
      <c r="B2445" s="19" t="inlineStr">
        <is>
          <t>Dramas</t>
        </is>
      </c>
      <c r="C2445" s="19">
        <f>IFERROR(INDEX(tblNetflix[type],MATCH($A2445,tblNetflix[show_id],0)),"")</f>
        <v/>
      </c>
      <c r="D2445" s="19">
        <f>IFERROR(INDEX(tblNetflix[rating],MATCH($A2445,tblNetflix[show_id],0)),"")</f>
        <v/>
      </c>
      <c r="E2445" s="19">
        <f>IFERROR(INDEX(tblNetflix[year_added],MATCH($A2445,tblNetflix[show_id],0)),"")</f>
        <v/>
      </c>
      <c r="F2445" s="19">
        <f>IF(AND(OR(YearFilter="All",$E2445=YearFilter),OR(RatingFilter="All",$D2445=RatingFilter),OR(TypeFilter="All",$C2445=TypeFilter)),1,0)</f>
        <v/>
      </c>
    </row>
    <row r="2446" ht="15" customHeight="1" s="20">
      <c r="A2446" s="19" t="inlineStr">
        <is>
          <t>s7666</t>
        </is>
      </c>
      <c r="B2446" s="19" t="inlineStr">
        <is>
          <t>International Movies</t>
        </is>
      </c>
      <c r="C2446" s="19">
        <f>IFERROR(INDEX(tblNetflix[type],MATCH($A2446,tblNetflix[show_id],0)),"")</f>
        <v/>
      </c>
      <c r="D2446" s="19">
        <f>IFERROR(INDEX(tblNetflix[rating],MATCH($A2446,tblNetflix[show_id],0)),"")</f>
        <v/>
      </c>
      <c r="E2446" s="19">
        <f>IFERROR(INDEX(tblNetflix[year_added],MATCH($A2446,tblNetflix[show_id],0)),"")</f>
        <v/>
      </c>
      <c r="F2446" s="19">
        <f>IF(AND(OR(YearFilter="All",$E2446=YearFilter),OR(RatingFilter="All",$D2446=RatingFilter),OR(TypeFilter="All",$C2446=TypeFilter)),1,0)</f>
        <v/>
      </c>
    </row>
    <row r="2447" ht="15" customHeight="1" s="20">
      <c r="A2447" s="19" t="inlineStr">
        <is>
          <t>s7666</t>
        </is>
      </c>
      <c r="B2447" s="19" t="inlineStr">
        <is>
          <t>Music &amp; Musicals</t>
        </is>
      </c>
      <c r="C2447" s="19">
        <f>IFERROR(INDEX(tblNetflix[type],MATCH($A2447,tblNetflix[show_id],0)),"")</f>
        <v/>
      </c>
      <c r="D2447" s="19">
        <f>IFERROR(INDEX(tblNetflix[rating],MATCH($A2447,tblNetflix[show_id],0)),"")</f>
        <v/>
      </c>
      <c r="E2447" s="19">
        <f>IFERROR(INDEX(tblNetflix[year_added],MATCH($A2447,tblNetflix[show_id],0)),"")</f>
        <v/>
      </c>
      <c r="F2447" s="19">
        <f>IF(AND(OR(YearFilter="All",$E2447=YearFilter),OR(RatingFilter="All",$D2447=RatingFilter),OR(TypeFilter="All",$C2447=TypeFilter)),1,0)</f>
        <v/>
      </c>
    </row>
    <row r="2448" ht="15" customHeight="1" s="20">
      <c r="A2448" s="19" t="inlineStr">
        <is>
          <t>s7681</t>
        </is>
      </c>
      <c r="B2448" s="19" t="inlineStr">
        <is>
          <t>Comedies</t>
        </is>
      </c>
      <c r="C2448" s="19">
        <f>IFERROR(INDEX(tblNetflix[type],MATCH($A2448,tblNetflix[show_id],0)),"")</f>
        <v/>
      </c>
      <c r="D2448" s="19">
        <f>IFERROR(INDEX(tblNetflix[rating],MATCH($A2448,tblNetflix[show_id],0)),"")</f>
        <v/>
      </c>
      <c r="E2448" s="19">
        <f>IFERROR(INDEX(tblNetflix[year_added],MATCH($A2448,tblNetflix[show_id],0)),"")</f>
        <v/>
      </c>
      <c r="F2448" s="19">
        <f>IF(AND(OR(YearFilter="All",$E2448=YearFilter),OR(RatingFilter="All",$D2448=RatingFilter),OR(TypeFilter="All",$C2448=TypeFilter)),1,0)</f>
        <v/>
      </c>
    </row>
    <row r="2449" ht="15" customHeight="1" s="20">
      <c r="A2449" s="19" t="inlineStr">
        <is>
          <t>s7681</t>
        </is>
      </c>
      <c r="B2449" s="19" t="inlineStr">
        <is>
          <t>Dramas</t>
        </is>
      </c>
      <c r="C2449" s="19">
        <f>IFERROR(INDEX(tblNetflix[type],MATCH($A2449,tblNetflix[show_id],0)),"")</f>
        <v/>
      </c>
      <c r="D2449" s="19">
        <f>IFERROR(INDEX(tblNetflix[rating],MATCH($A2449,tblNetflix[show_id],0)),"")</f>
        <v/>
      </c>
      <c r="E2449" s="19">
        <f>IFERROR(INDEX(tblNetflix[year_added],MATCH($A2449,tblNetflix[show_id],0)),"")</f>
        <v/>
      </c>
      <c r="F2449" s="19">
        <f>IF(AND(OR(YearFilter="All",$E2449=YearFilter),OR(RatingFilter="All",$D2449=RatingFilter),OR(TypeFilter="All",$C2449=TypeFilter)),1,0)</f>
        <v/>
      </c>
    </row>
    <row r="2450" ht="15" customHeight="1" s="20">
      <c r="A2450" s="19" t="inlineStr">
        <is>
          <t>s7681</t>
        </is>
      </c>
      <c r="B2450" s="19" t="inlineStr">
        <is>
          <t>International Movies</t>
        </is>
      </c>
      <c r="C2450" s="19">
        <f>IFERROR(INDEX(tblNetflix[type],MATCH($A2450,tblNetflix[show_id],0)),"")</f>
        <v/>
      </c>
      <c r="D2450" s="19">
        <f>IFERROR(INDEX(tblNetflix[rating],MATCH($A2450,tblNetflix[show_id],0)),"")</f>
        <v/>
      </c>
      <c r="E2450" s="19">
        <f>IFERROR(INDEX(tblNetflix[year_added],MATCH($A2450,tblNetflix[show_id],0)),"")</f>
        <v/>
      </c>
      <c r="F2450" s="19">
        <f>IF(AND(OR(YearFilter="All",$E2450=YearFilter),OR(RatingFilter="All",$D2450=RatingFilter),OR(TypeFilter="All",$C2450=TypeFilter)),1,0)</f>
        <v/>
      </c>
    </row>
    <row r="2451" ht="15" customHeight="1" s="20">
      <c r="A2451" s="19" t="inlineStr">
        <is>
          <t>s7683</t>
        </is>
      </c>
      <c r="B2451" s="19" t="inlineStr">
        <is>
          <t>Dramas</t>
        </is>
      </c>
      <c r="C2451" s="19">
        <f>IFERROR(INDEX(tblNetflix[type],MATCH($A2451,tblNetflix[show_id],0)),"")</f>
        <v/>
      </c>
      <c r="D2451" s="19">
        <f>IFERROR(INDEX(tblNetflix[rating],MATCH($A2451,tblNetflix[show_id],0)),"")</f>
        <v/>
      </c>
      <c r="E2451" s="19">
        <f>IFERROR(INDEX(tblNetflix[year_added],MATCH($A2451,tblNetflix[show_id],0)),"")</f>
        <v/>
      </c>
      <c r="F2451" s="19">
        <f>IF(AND(OR(YearFilter="All",$E2451=YearFilter),OR(RatingFilter="All",$D2451=RatingFilter),OR(TypeFilter="All",$C2451=TypeFilter)),1,0)</f>
        <v/>
      </c>
    </row>
    <row r="2452" ht="15" customHeight="1" s="20">
      <c r="A2452" s="19" t="inlineStr">
        <is>
          <t>s7683</t>
        </is>
      </c>
      <c r="B2452" s="19" t="inlineStr">
        <is>
          <t>International Movies</t>
        </is>
      </c>
      <c r="C2452" s="19">
        <f>IFERROR(INDEX(tblNetflix[type],MATCH($A2452,tblNetflix[show_id],0)),"")</f>
        <v/>
      </c>
      <c r="D2452" s="19">
        <f>IFERROR(INDEX(tblNetflix[rating],MATCH($A2452,tblNetflix[show_id],0)),"")</f>
        <v/>
      </c>
      <c r="E2452" s="19">
        <f>IFERROR(INDEX(tblNetflix[year_added],MATCH($A2452,tblNetflix[show_id],0)),"")</f>
        <v/>
      </c>
      <c r="F2452" s="19">
        <f>IF(AND(OR(YearFilter="All",$E2452=YearFilter),OR(RatingFilter="All",$D2452=RatingFilter),OR(TypeFilter="All",$C2452=TypeFilter)),1,0)</f>
        <v/>
      </c>
    </row>
    <row r="2453" ht="15" customHeight="1" s="20">
      <c r="A2453" s="19" t="inlineStr">
        <is>
          <t>s7689</t>
        </is>
      </c>
      <c r="B2453" s="19" t="inlineStr">
        <is>
          <t>Comedies</t>
        </is>
      </c>
      <c r="C2453" s="19">
        <f>IFERROR(INDEX(tblNetflix[type],MATCH($A2453,tblNetflix[show_id],0)),"")</f>
        <v/>
      </c>
      <c r="D2453" s="19">
        <f>IFERROR(INDEX(tblNetflix[rating],MATCH($A2453,tblNetflix[show_id],0)),"")</f>
        <v/>
      </c>
      <c r="E2453" s="19">
        <f>IFERROR(INDEX(tblNetflix[year_added],MATCH($A2453,tblNetflix[show_id],0)),"")</f>
        <v/>
      </c>
      <c r="F2453" s="19">
        <f>IF(AND(OR(YearFilter="All",$E2453=YearFilter),OR(RatingFilter="All",$D2453=RatingFilter),OR(TypeFilter="All",$C2453=TypeFilter)),1,0)</f>
        <v/>
      </c>
    </row>
    <row r="2454" ht="15" customHeight="1" s="20">
      <c r="A2454" s="19" t="inlineStr">
        <is>
          <t>s7689</t>
        </is>
      </c>
      <c r="B2454" s="19" t="inlineStr">
        <is>
          <t>Independent Movies</t>
        </is>
      </c>
      <c r="C2454" s="19">
        <f>IFERROR(INDEX(tblNetflix[type],MATCH($A2454,tblNetflix[show_id],0)),"")</f>
        <v/>
      </c>
      <c r="D2454" s="19">
        <f>IFERROR(INDEX(tblNetflix[rating],MATCH($A2454,tblNetflix[show_id],0)),"")</f>
        <v/>
      </c>
      <c r="E2454" s="19">
        <f>IFERROR(INDEX(tblNetflix[year_added],MATCH($A2454,tblNetflix[show_id],0)),"")</f>
        <v/>
      </c>
      <c r="F2454" s="19">
        <f>IF(AND(OR(YearFilter="All",$E2454=YearFilter),OR(RatingFilter="All",$D2454=RatingFilter),OR(TypeFilter="All",$C2454=TypeFilter)),1,0)</f>
        <v/>
      </c>
    </row>
    <row r="2455" ht="15" customHeight="1" s="20">
      <c r="A2455" s="19" t="inlineStr">
        <is>
          <t>s7689</t>
        </is>
      </c>
      <c r="B2455" s="19" t="inlineStr">
        <is>
          <t>International Movies</t>
        </is>
      </c>
      <c r="C2455" s="19">
        <f>IFERROR(INDEX(tblNetflix[type],MATCH($A2455,tblNetflix[show_id],0)),"")</f>
        <v/>
      </c>
      <c r="D2455" s="19">
        <f>IFERROR(INDEX(tblNetflix[rating],MATCH($A2455,tblNetflix[show_id],0)),"")</f>
        <v/>
      </c>
      <c r="E2455" s="19">
        <f>IFERROR(INDEX(tblNetflix[year_added],MATCH($A2455,tblNetflix[show_id],0)),"")</f>
        <v/>
      </c>
      <c r="F2455" s="19">
        <f>IF(AND(OR(YearFilter="All",$E2455=YearFilter),OR(RatingFilter="All",$D2455=RatingFilter),OR(TypeFilter="All",$C2455=TypeFilter)),1,0)</f>
        <v/>
      </c>
    </row>
    <row r="2456" ht="15" customHeight="1" s="20">
      <c r="A2456" s="19" t="inlineStr">
        <is>
          <t>s7692</t>
        </is>
      </c>
      <c r="B2456" s="19" t="inlineStr">
        <is>
          <t>Dramas</t>
        </is>
      </c>
      <c r="C2456" s="19">
        <f>IFERROR(INDEX(tblNetflix[type],MATCH($A2456,tblNetflix[show_id],0)),"")</f>
        <v/>
      </c>
      <c r="D2456" s="19">
        <f>IFERROR(INDEX(tblNetflix[rating],MATCH($A2456,tblNetflix[show_id],0)),"")</f>
        <v/>
      </c>
      <c r="E2456" s="19">
        <f>IFERROR(INDEX(tblNetflix[year_added],MATCH($A2456,tblNetflix[show_id],0)),"")</f>
        <v/>
      </c>
      <c r="F2456" s="19">
        <f>IF(AND(OR(YearFilter="All",$E2456=YearFilter),OR(RatingFilter="All",$D2456=RatingFilter),OR(TypeFilter="All",$C2456=TypeFilter)),1,0)</f>
        <v/>
      </c>
    </row>
    <row r="2457" ht="15" customHeight="1" s="20">
      <c r="A2457" s="19" t="inlineStr">
        <is>
          <t>s7692</t>
        </is>
      </c>
      <c r="B2457" s="19" t="inlineStr">
        <is>
          <t>International Movies</t>
        </is>
      </c>
      <c r="C2457" s="19">
        <f>IFERROR(INDEX(tblNetflix[type],MATCH($A2457,tblNetflix[show_id],0)),"")</f>
        <v/>
      </c>
      <c r="D2457" s="19">
        <f>IFERROR(INDEX(tblNetflix[rating],MATCH($A2457,tblNetflix[show_id],0)),"")</f>
        <v/>
      </c>
      <c r="E2457" s="19">
        <f>IFERROR(INDEX(tblNetflix[year_added],MATCH($A2457,tblNetflix[show_id],0)),"")</f>
        <v/>
      </c>
      <c r="F2457" s="19">
        <f>IF(AND(OR(YearFilter="All",$E2457=YearFilter),OR(RatingFilter="All",$D2457=RatingFilter),OR(TypeFilter="All",$C2457=TypeFilter)),1,0)</f>
        <v/>
      </c>
    </row>
    <row r="2458" ht="15" customHeight="1" s="20">
      <c r="A2458" s="19" t="inlineStr">
        <is>
          <t>s7703</t>
        </is>
      </c>
      <c r="B2458" s="19" t="inlineStr">
        <is>
          <t>Comedies</t>
        </is>
      </c>
      <c r="C2458" s="19">
        <f>IFERROR(INDEX(tblNetflix[type],MATCH($A2458,tblNetflix[show_id],0)),"")</f>
        <v/>
      </c>
      <c r="D2458" s="19">
        <f>IFERROR(INDEX(tblNetflix[rating],MATCH($A2458,tblNetflix[show_id],0)),"")</f>
        <v/>
      </c>
      <c r="E2458" s="19">
        <f>IFERROR(INDEX(tblNetflix[year_added],MATCH($A2458,tblNetflix[show_id],0)),"")</f>
        <v/>
      </c>
      <c r="F2458" s="19">
        <f>IF(AND(OR(YearFilter="All",$E2458=YearFilter),OR(RatingFilter="All",$D2458=RatingFilter),OR(TypeFilter="All",$C2458=TypeFilter)),1,0)</f>
        <v/>
      </c>
    </row>
    <row r="2459" ht="15" customHeight="1" s="20">
      <c r="A2459" s="19" t="inlineStr">
        <is>
          <t>s7703</t>
        </is>
      </c>
      <c r="B2459" s="19" t="inlineStr">
        <is>
          <t>Dramas</t>
        </is>
      </c>
      <c r="C2459" s="19">
        <f>IFERROR(INDEX(tblNetflix[type],MATCH($A2459,tblNetflix[show_id],0)),"")</f>
        <v/>
      </c>
      <c r="D2459" s="19">
        <f>IFERROR(INDEX(tblNetflix[rating],MATCH($A2459,tblNetflix[show_id],0)),"")</f>
        <v/>
      </c>
      <c r="E2459" s="19">
        <f>IFERROR(INDEX(tblNetflix[year_added],MATCH($A2459,tblNetflix[show_id],0)),"")</f>
        <v/>
      </c>
      <c r="F2459" s="19">
        <f>IF(AND(OR(YearFilter="All",$E2459=YearFilter),OR(RatingFilter="All",$D2459=RatingFilter),OR(TypeFilter="All",$C2459=TypeFilter)),1,0)</f>
        <v/>
      </c>
    </row>
    <row r="2460" ht="15" customHeight="1" s="20">
      <c r="A2460" s="19" t="inlineStr">
        <is>
          <t>s7703</t>
        </is>
      </c>
      <c r="B2460" s="19" t="inlineStr">
        <is>
          <t>International Movies</t>
        </is>
      </c>
      <c r="C2460" s="19">
        <f>IFERROR(INDEX(tblNetflix[type],MATCH($A2460,tblNetflix[show_id],0)),"")</f>
        <v/>
      </c>
      <c r="D2460" s="19">
        <f>IFERROR(INDEX(tblNetflix[rating],MATCH($A2460,tblNetflix[show_id],0)),"")</f>
        <v/>
      </c>
      <c r="E2460" s="19">
        <f>IFERROR(INDEX(tblNetflix[year_added],MATCH($A2460,tblNetflix[show_id],0)),"")</f>
        <v/>
      </c>
      <c r="F2460" s="19">
        <f>IF(AND(OR(YearFilter="All",$E2460=YearFilter),OR(RatingFilter="All",$D2460=RatingFilter),OR(TypeFilter="All",$C2460=TypeFilter)),1,0)</f>
        <v/>
      </c>
    </row>
    <row r="2461" ht="15" customHeight="1" s="20">
      <c r="A2461" s="19" t="inlineStr">
        <is>
          <t>s7707</t>
        </is>
      </c>
      <c r="B2461" s="19" t="inlineStr">
        <is>
          <t>Dramas</t>
        </is>
      </c>
      <c r="C2461" s="19">
        <f>IFERROR(INDEX(tblNetflix[type],MATCH($A2461,tblNetflix[show_id],0)),"")</f>
        <v/>
      </c>
      <c r="D2461" s="19">
        <f>IFERROR(INDEX(tblNetflix[rating],MATCH($A2461,tblNetflix[show_id],0)),"")</f>
        <v/>
      </c>
      <c r="E2461" s="19">
        <f>IFERROR(INDEX(tblNetflix[year_added],MATCH($A2461,tblNetflix[show_id],0)),"")</f>
        <v/>
      </c>
      <c r="F2461" s="19">
        <f>IF(AND(OR(YearFilter="All",$E2461=YearFilter),OR(RatingFilter="All",$D2461=RatingFilter),OR(TypeFilter="All",$C2461=TypeFilter)),1,0)</f>
        <v/>
      </c>
    </row>
    <row r="2462" ht="15" customHeight="1" s="20">
      <c r="A2462" s="19" t="inlineStr">
        <is>
          <t>s7707</t>
        </is>
      </c>
      <c r="B2462" s="19" t="inlineStr">
        <is>
          <t>International Movies</t>
        </is>
      </c>
      <c r="C2462" s="19">
        <f>IFERROR(INDEX(tblNetflix[type],MATCH($A2462,tblNetflix[show_id],0)),"")</f>
        <v/>
      </c>
      <c r="D2462" s="19">
        <f>IFERROR(INDEX(tblNetflix[rating],MATCH($A2462,tblNetflix[show_id],0)),"")</f>
        <v/>
      </c>
      <c r="E2462" s="19">
        <f>IFERROR(INDEX(tblNetflix[year_added],MATCH($A2462,tblNetflix[show_id],0)),"")</f>
        <v/>
      </c>
      <c r="F2462" s="19">
        <f>IF(AND(OR(YearFilter="All",$E2462=YearFilter),OR(RatingFilter="All",$D2462=RatingFilter),OR(TypeFilter="All",$C2462=TypeFilter)),1,0)</f>
        <v/>
      </c>
    </row>
    <row r="2463" ht="15" customHeight="1" s="20">
      <c r="A2463" s="19" t="inlineStr">
        <is>
          <t>s7707</t>
        </is>
      </c>
      <c r="B2463" s="19" t="inlineStr">
        <is>
          <t>Romantic Movies</t>
        </is>
      </c>
      <c r="C2463" s="19">
        <f>IFERROR(INDEX(tblNetflix[type],MATCH($A2463,tblNetflix[show_id],0)),"")</f>
        <v/>
      </c>
      <c r="D2463" s="19">
        <f>IFERROR(INDEX(tblNetflix[rating],MATCH($A2463,tblNetflix[show_id],0)),"")</f>
        <v/>
      </c>
      <c r="E2463" s="19">
        <f>IFERROR(INDEX(tblNetflix[year_added],MATCH($A2463,tblNetflix[show_id],0)),"")</f>
        <v/>
      </c>
      <c r="F2463" s="19">
        <f>IF(AND(OR(YearFilter="All",$E2463=YearFilter),OR(RatingFilter="All",$D2463=RatingFilter),OR(TypeFilter="All",$C2463=TypeFilter)),1,0)</f>
        <v/>
      </c>
    </row>
    <row r="2464" ht="15" customHeight="1" s="20">
      <c r="A2464" s="19" t="inlineStr">
        <is>
          <t>s7708</t>
        </is>
      </c>
      <c r="B2464" s="19" t="inlineStr">
        <is>
          <t>Dramas</t>
        </is>
      </c>
      <c r="C2464" s="19">
        <f>IFERROR(INDEX(tblNetflix[type],MATCH($A2464,tblNetflix[show_id],0)),"")</f>
        <v/>
      </c>
      <c r="D2464" s="19">
        <f>IFERROR(INDEX(tblNetflix[rating],MATCH($A2464,tblNetflix[show_id],0)),"")</f>
        <v/>
      </c>
      <c r="E2464" s="19">
        <f>IFERROR(INDEX(tblNetflix[year_added],MATCH($A2464,tblNetflix[show_id],0)),"")</f>
        <v/>
      </c>
      <c r="F2464" s="19">
        <f>IF(AND(OR(YearFilter="All",$E2464=YearFilter),OR(RatingFilter="All",$D2464=RatingFilter),OR(TypeFilter="All",$C2464=TypeFilter)),1,0)</f>
        <v/>
      </c>
    </row>
    <row r="2465" ht="15" customHeight="1" s="20">
      <c r="A2465" s="19" t="inlineStr">
        <is>
          <t>s7708</t>
        </is>
      </c>
      <c r="B2465" s="19" t="inlineStr">
        <is>
          <t>Independent Movies</t>
        </is>
      </c>
      <c r="C2465" s="19">
        <f>IFERROR(INDEX(tblNetflix[type],MATCH($A2465,tblNetflix[show_id],0)),"")</f>
        <v/>
      </c>
      <c r="D2465" s="19">
        <f>IFERROR(INDEX(tblNetflix[rating],MATCH($A2465,tblNetflix[show_id],0)),"")</f>
        <v/>
      </c>
      <c r="E2465" s="19">
        <f>IFERROR(INDEX(tblNetflix[year_added],MATCH($A2465,tblNetflix[show_id],0)),"")</f>
        <v/>
      </c>
      <c r="F2465" s="19">
        <f>IF(AND(OR(YearFilter="All",$E2465=YearFilter),OR(RatingFilter="All",$D2465=RatingFilter),OR(TypeFilter="All",$C2465=TypeFilter)),1,0)</f>
        <v/>
      </c>
    </row>
    <row r="2466" ht="15" customHeight="1" s="20">
      <c r="A2466" s="19" t="inlineStr">
        <is>
          <t>s7708</t>
        </is>
      </c>
      <c r="B2466" s="19" t="inlineStr">
        <is>
          <t>International Movies</t>
        </is>
      </c>
      <c r="C2466" s="19">
        <f>IFERROR(INDEX(tblNetflix[type],MATCH($A2466,tblNetflix[show_id],0)),"")</f>
        <v/>
      </c>
      <c r="D2466" s="19">
        <f>IFERROR(INDEX(tblNetflix[rating],MATCH($A2466,tblNetflix[show_id],0)),"")</f>
        <v/>
      </c>
      <c r="E2466" s="19">
        <f>IFERROR(INDEX(tblNetflix[year_added],MATCH($A2466,tblNetflix[show_id],0)),"")</f>
        <v/>
      </c>
      <c r="F2466" s="19">
        <f>IF(AND(OR(YearFilter="All",$E2466=YearFilter),OR(RatingFilter="All",$D2466=RatingFilter),OR(TypeFilter="All",$C2466=TypeFilter)),1,0)</f>
        <v/>
      </c>
    </row>
    <row r="2467" ht="15" customHeight="1" s="20">
      <c r="A2467" s="19" t="inlineStr">
        <is>
          <t>s7713</t>
        </is>
      </c>
      <c r="B2467" s="19" t="inlineStr">
        <is>
          <t>Dramas</t>
        </is>
      </c>
      <c r="C2467" s="19">
        <f>IFERROR(INDEX(tblNetflix[type],MATCH($A2467,tblNetflix[show_id],0)),"")</f>
        <v/>
      </c>
      <c r="D2467" s="19">
        <f>IFERROR(INDEX(tblNetflix[rating],MATCH($A2467,tblNetflix[show_id],0)),"")</f>
        <v/>
      </c>
      <c r="E2467" s="19">
        <f>IFERROR(INDEX(tblNetflix[year_added],MATCH($A2467,tblNetflix[show_id],0)),"")</f>
        <v/>
      </c>
      <c r="F2467" s="19">
        <f>IF(AND(OR(YearFilter="All",$E2467=YearFilter),OR(RatingFilter="All",$D2467=RatingFilter),OR(TypeFilter="All",$C2467=TypeFilter)),1,0)</f>
        <v/>
      </c>
    </row>
    <row r="2468" ht="15" customHeight="1" s="20">
      <c r="A2468" s="19" t="inlineStr">
        <is>
          <t>s7713</t>
        </is>
      </c>
      <c r="B2468" s="19" t="inlineStr">
        <is>
          <t>International Movies</t>
        </is>
      </c>
      <c r="C2468" s="19">
        <f>IFERROR(INDEX(tblNetflix[type],MATCH($A2468,tblNetflix[show_id],0)),"")</f>
        <v/>
      </c>
      <c r="D2468" s="19">
        <f>IFERROR(INDEX(tblNetflix[rating],MATCH($A2468,tblNetflix[show_id],0)),"")</f>
        <v/>
      </c>
      <c r="E2468" s="19">
        <f>IFERROR(INDEX(tblNetflix[year_added],MATCH($A2468,tblNetflix[show_id],0)),"")</f>
        <v/>
      </c>
      <c r="F2468" s="19">
        <f>IF(AND(OR(YearFilter="All",$E2468=YearFilter),OR(RatingFilter="All",$D2468=RatingFilter),OR(TypeFilter="All",$C2468=TypeFilter)),1,0)</f>
        <v/>
      </c>
    </row>
    <row r="2469" ht="15" customHeight="1" s="20">
      <c r="A2469" s="19" t="inlineStr">
        <is>
          <t>s7713</t>
        </is>
      </c>
      <c r="B2469" s="19" t="inlineStr">
        <is>
          <t>Sports Movies</t>
        </is>
      </c>
      <c r="C2469" s="19">
        <f>IFERROR(INDEX(tblNetflix[type],MATCH($A2469,tblNetflix[show_id],0)),"")</f>
        <v/>
      </c>
      <c r="D2469" s="19">
        <f>IFERROR(INDEX(tblNetflix[rating],MATCH($A2469,tblNetflix[show_id],0)),"")</f>
        <v/>
      </c>
      <c r="E2469" s="19">
        <f>IFERROR(INDEX(tblNetflix[year_added],MATCH($A2469,tblNetflix[show_id],0)),"")</f>
        <v/>
      </c>
      <c r="F2469" s="19">
        <f>IF(AND(OR(YearFilter="All",$E2469=YearFilter),OR(RatingFilter="All",$D2469=RatingFilter),OR(TypeFilter="All",$C2469=TypeFilter)),1,0)</f>
        <v/>
      </c>
    </row>
    <row r="2470" ht="15" customHeight="1" s="20">
      <c r="A2470" s="19" t="inlineStr">
        <is>
          <t>s7718</t>
        </is>
      </c>
      <c r="B2470" s="19" t="inlineStr">
        <is>
          <t>Dramas</t>
        </is>
      </c>
      <c r="C2470" s="19">
        <f>IFERROR(INDEX(tblNetflix[type],MATCH($A2470,tblNetflix[show_id],0)),"")</f>
        <v/>
      </c>
      <c r="D2470" s="19">
        <f>IFERROR(INDEX(tblNetflix[rating],MATCH($A2470,tblNetflix[show_id],0)),"")</f>
        <v/>
      </c>
      <c r="E2470" s="19">
        <f>IFERROR(INDEX(tblNetflix[year_added],MATCH($A2470,tblNetflix[show_id],0)),"")</f>
        <v/>
      </c>
      <c r="F2470" s="19">
        <f>IF(AND(OR(YearFilter="All",$E2470=YearFilter),OR(RatingFilter="All",$D2470=RatingFilter),OR(TypeFilter="All",$C2470=TypeFilter)),1,0)</f>
        <v/>
      </c>
    </row>
    <row r="2471" ht="15" customHeight="1" s="20">
      <c r="A2471" s="19" t="inlineStr">
        <is>
          <t>s7718</t>
        </is>
      </c>
      <c r="B2471" s="19" t="inlineStr">
        <is>
          <t>International Movies</t>
        </is>
      </c>
      <c r="C2471" s="19">
        <f>IFERROR(INDEX(tblNetflix[type],MATCH($A2471,tblNetflix[show_id],0)),"")</f>
        <v/>
      </c>
      <c r="D2471" s="19">
        <f>IFERROR(INDEX(tblNetflix[rating],MATCH($A2471,tblNetflix[show_id],0)),"")</f>
        <v/>
      </c>
      <c r="E2471" s="19">
        <f>IFERROR(INDEX(tblNetflix[year_added],MATCH($A2471,tblNetflix[show_id],0)),"")</f>
        <v/>
      </c>
      <c r="F2471" s="19">
        <f>IF(AND(OR(YearFilter="All",$E2471=YearFilter),OR(RatingFilter="All",$D2471=RatingFilter),OR(TypeFilter="All",$C2471=TypeFilter)),1,0)</f>
        <v/>
      </c>
    </row>
    <row r="2472" ht="15" customHeight="1" s="20">
      <c r="A2472" s="19" t="inlineStr">
        <is>
          <t>s7720</t>
        </is>
      </c>
      <c r="B2472" s="19" t="inlineStr">
        <is>
          <t>Comedies</t>
        </is>
      </c>
      <c r="C2472" s="19">
        <f>IFERROR(INDEX(tblNetflix[type],MATCH($A2472,tblNetflix[show_id],0)),"")</f>
        <v/>
      </c>
      <c r="D2472" s="19">
        <f>IFERROR(INDEX(tblNetflix[rating],MATCH($A2472,tblNetflix[show_id],0)),"")</f>
        <v/>
      </c>
      <c r="E2472" s="19">
        <f>IFERROR(INDEX(tblNetflix[year_added],MATCH($A2472,tblNetflix[show_id],0)),"")</f>
        <v/>
      </c>
      <c r="F2472" s="19">
        <f>IF(AND(OR(YearFilter="All",$E2472=YearFilter),OR(RatingFilter="All",$D2472=RatingFilter),OR(TypeFilter="All",$C2472=TypeFilter)),1,0)</f>
        <v/>
      </c>
    </row>
    <row r="2473" ht="15" customHeight="1" s="20">
      <c r="A2473" s="19" t="inlineStr">
        <is>
          <t>s7720</t>
        </is>
      </c>
      <c r="B2473" s="19" t="inlineStr">
        <is>
          <t>International Movies</t>
        </is>
      </c>
      <c r="C2473" s="19">
        <f>IFERROR(INDEX(tblNetflix[type],MATCH($A2473,tblNetflix[show_id],0)),"")</f>
        <v/>
      </c>
      <c r="D2473" s="19">
        <f>IFERROR(INDEX(tblNetflix[rating],MATCH($A2473,tblNetflix[show_id],0)),"")</f>
        <v/>
      </c>
      <c r="E2473" s="19">
        <f>IFERROR(INDEX(tblNetflix[year_added],MATCH($A2473,tblNetflix[show_id],0)),"")</f>
        <v/>
      </c>
      <c r="F2473" s="19">
        <f>IF(AND(OR(YearFilter="All",$E2473=YearFilter),OR(RatingFilter="All",$D2473=RatingFilter),OR(TypeFilter="All",$C2473=TypeFilter)),1,0)</f>
        <v/>
      </c>
    </row>
    <row r="2474" ht="15" customHeight="1" s="20">
      <c r="A2474" s="19" t="inlineStr">
        <is>
          <t>s7737</t>
        </is>
      </c>
      <c r="B2474" s="19" t="inlineStr">
        <is>
          <t>International Movies</t>
        </is>
      </c>
      <c r="C2474" s="19">
        <f>IFERROR(INDEX(tblNetflix[type],MATCH($A2474,tblNetflix[show_id],0)),"")</f>
        <v/>
      </c>
      <c r="D2474" s="19">
        <f>IFERROR(INDEX(tblNetflix[rating],MATCH($A2474,tblNetflix[show_id],0)),"")</f>
        <v/>
      </c>
      <c r="E2474" s="19">
        <f>IFERROR(INDEX(tblNetflix[year_added],MATCH($A2474,tblNetflix[show_id],0)),"")</f>
        <v/>
      </c>
      <c r="F2474" s="19">
        <f>IF(AND(OR(YearFilter="All",$E2474=YearFilter),OR(RatingFilter="All",$D2474=RatingFilter),OR(TypeFilter="All",$C2474=TypeFilter)),1,0)</f>
        <v/>
      </c>
    </row>
    <row r="2475" ht="15" customHeight="1" s="20">
      <c r="A2475" s="19" t="inlineStr">
        <is>
          <t>s7737</t>
        </is>
      </c>
      <c r="B2475" s="19" t="inlineStr">
        <is>
          <t>Romantic Movies</t>
        </is>
      </c>
      <c r="C2475" s="19">
        <f>IFERROR(INDEX(tblNetflix[type],MATCH($A2475,tblNetflix[show_id],0)),"")</f>
        <v/>
      </c>
      <c r="D2475" s="19">
        <f>IFERROR(INDEX(tblNetflix[rating],MATCH($A2475,tblNetflix[show_id],0)),"")</f>
        <v/>
      </c>
      <c r="E2475" s="19">
        <f>IFERROR(INDEX(tblNetflix[year_added],MATCH($A2475,tblNetflix[show_id],0)),"")</f>
        <v/>
      </c>
      <c r="F2475" s="19">
        <f>IF(AND(OR(YearFilter="All",$E2475=YearFilter),OR(RatingFilter="All",$D2475=RatingFilter),OR(TypeFilter="All",$C2475=TypeFilter)),1,0)</f>
        <v/>
      </c>
    </row>
    <row r="2476" ht="15" customHeight="1" s="20">
      <c r="A2476" s="19" t="inlineStr">
        <is>
          <t>s7740</t>
        </is>
      </c>
      <c r="B2476" s="19" t="inlineStr">
        <is>
          <t>Dramas</t>
        </is>
      </c>
      <c r="C2476" s="19">
        <f>IFERROR(INDEX(tblNetflix[type],MATCH($A2476,tblNetflix[show_id],0)),"")</f>
        <v/>
      </c>
      <c r="D2476" s="19">
        <f>IFERROR(INDEX(tblNetflix[rating],MATCH($A2476,tblNetflix[show_id],0)),"")</f>
        <v/>
      </c>
      <c r="E2476" s="19">
        <f>IFERROR(INDEX(tblNetflix[year_added],MATCH($A2476,tblNetflix[show_id],0)),"")</f>
        <v/>
      </c>
      <c r="F2476" s="19">
        <f>IF(AND(OR(YearFilter="All",$E2476=YearFilter),OR(RatingFilter="All",$D2476=RatingFilter),OR(TypeFilter="All",$C2476=TypeFilter)),1,0)</f>
        <v/>
      </c>
    </row>
    <row r="2477" ht="15" customHeight="1" s="20">
      <c r="A2477" s="19" t="inlineStr">
        <is>
          <t>s7740</t>
        </is>
      </c>
      <c r="B2477" s="19" t="inlineStr">
        <is>
          <t>Independent Movies</t>
        </is>
      </c>
      <c r="C2477" s="19">
        <f>IFERROR(INDEX(tblNetflix[type],MATCH($A2477,tblNetflix[show_id],0)),"")</f>
        <v/>
      </c>
      <c r="D2477" s="19">
        <f>IFERROR(INDEX(tblNetflix[rating],MATCH($A2477,tblNetflix[show_id],0)),"")</f>
        <v/>
      </c>
      <c r="E2477" s="19">
        <f>IFERROR(INDEX(tblNetflix[year_added],MATCH($A2477,tblNetflix[show_id],0)),"")</f>
        <v/>
      </c>
      <c r="F2477" s="19">
        <f>IF(AND(OR(YearFilter="All",$E2477=YearFilter),OR(RatingFilter="All",$D2477=RatingFilter),OR(TypeFilter="All",$C2477=TypeFilter)),1,0)</f>
        <v/>
      </c>
    </row>
    <row r="2478" ht="15" customHeight="1" s="20">
      <c r="A2478" s="19" t="inlineStr">
        <is>
          <t>s7740</t>
        </is>
      </c>
      <c r="B2478" s="19" t="inlineStr">
        <is>
          <t>International Movies</t>
        </is>
      </c>
      <c r="C2478" s="19">
        <f>IFERROR(INDEX(tblNetflix[type],MATCH($A2478,tblNetflix[show_id],0)),"")</f>
        <v/>
      </c>
      <c r="D2478" s="19">
        <f>IFERROR(INDEX(tblNetflix[rating],MATCH($A2478,tblNetflix[show_id],0)),"")</f>
        <v/>
      </c>
      <c r="E2478" s="19">
        <f>IFERROR(INDEX(tblNetflix[year_added],MATCH($A2478,tblNetflix[show_id],0)),"")</f>
        <v/>
      </c>
      <c r="F2478" s="19">
        <f>IF(AND(OR(YearFilter="All",$E2478=YearFilter),OR(RatingFilter="All",$D2478=RatingFilter),OR(TypeFilter="All",$C2478=TypeFilter)),1,0)</f>
        <v/>
      </c>
    </row>
    <row r="2479" ht="15" customHeight="1" s="20">
      <c r="A2479" s="19" t="inlineStr">
        <is>
          <t>s7743</t>
        </is>
      </c>
      <c r="B2479" s="19" t="inlineStr">
        <is>
          <t>Dramas</t>
        </is>
      </c>
      <c r="C2479" s="19">
        <f>IFERROR(INDEX(tblNetflix[type],MATCH($A2479,tblNetflix[show_id],0)),"")</f>
        <v/>
      </c>
      <c r="D2479" s="19">
        <f>IFERROR(INDEX(tblNetflix[rating],MATCH($A2479,tblNetflix[show_id],0)),"")</f>
        <v/>
      </c>
      <c r="E2479" s="19">
        <f>IFERROR(INDEX(tblNetflix[year_added],MATCH($A2479,tblNetflix[show_id],0)),"")</f>
        <v/>
      </c>
      <c r="F2479" s="19">
        <f>IF(AND(OR(YearFilter="All",$E2479=YearFilter),OR(RatingFilter="All",$D2479=RatingFilter),OR(TypeFilter="All",$C2479=TypeFilter)),1,0)</f>
        <v/>
      </c>
    </row>
    <row r="2480" ht="15" customHeight="1" s="20">
      <c r="A2480" s="19" t="inlineStr">
        <is>
          <t>s7743</t>
        </is>
      </c>
      <c r="B2480" s="19" t="inlineStr">
        <is>
          <t>Independent Movies</t>
        </is>
      </c>
      <c r="C2480" s="19">
        <f>IFERROR(INDEX(tblNetflix[type],MATCH($A2480,tblNetflix[show_id],0)),"")</f>
        <v/>
      </c>
      <c r="D2480" s="19">
        <f>IFERROR(INDEX(tblNetflix[rating],MATCH($A2480,tblNetflix[show_id],0)),"")</f>
        <v/>
      </c>
      <c r="E2480" s="19">
        <f>IFERROR(INDEX(tblNetflix[year_added],MATCH($A2480,tblNetflix[show_id],0)),"")</f>
        <v/>
      </c>
      <c r="F2480" s="19">
        <f>IF(AND(OR(YearFilter="All",$E2480=YearFilter),OR(RatingFilter="All",$D2480=RatingFilter),OR(TypeFilter="All",$C2480=TypeFilter)),1,0)</f>
        <v/>
      </c>
    </row>
    <row r="2481" ht="15" customHeight="1" s="20">
      <c r="A2481" s="19" t="inlineStr">
        <is>
          <t>s7743</t>
        </is>
      </c>
      <c r="B2481" s="19" t="inlineStr">
        <is>
          <t>International Movies</t>
        </is>
      </c>
      <c r="C2481" s="19">
        <f>IFERROR(INDEX(tblNetflix[type],MATCH($A2481,tblNetflix[show_id],0)),"")</f>
        <v/>
      </c>
      <c r="D2481" s="19">
        <f>IFERROR(INDEX(tblNetflix[rating],MATCH($A2481,tblNetflix[show_id],0)),"")</f>
        <v/>
      </c>
      <c r="E2481" s="19">
        <f>IFERROR(INDEX(tblNetflix[year_added],MATCH($A2481,tblNetflix[show_id],0)),"")</f>
        <v/>
      </c>
      <c r="F2481" s="19">
        <f>IF(AND(OR(YearFilter="All",$E2481=YearFilter),OR(RatingFilter="All",$D2481=RatingFilter),OR(TypeFilter="All",$C2481=TypeFilter)),1,0)</f>
        <v/>
      </c>
    </row>
    <row r="2482" ht="15" customHeight="1" s="20">
      <c r="A2482" s="19" t="inlineStr">
        <is>
          <t>s7745</t>
        </is>
      </c>
      <c r="B2482" s="19" t="inlineStr">
        <is>
          <t>Dramas</t>
        </is>
      </c>
      <c r="C2482" s="19">
        <f>IFERROR(INDEX(tblNetflix[type],MATCH($A2482,tblNetflix[show_id],0)),"")</f>
        <v/>
      </c>
      <c r="D2482" s="19">
        <f>IFERROR(INDEX(tblNetflix[rating],MATCH($A2482,tblNetflix[show_id],0)),"")</f>
        <v/>
      </c>
      <c r="E2482" s="19">
        <f>IFERROR(INDEX(tblNetflix[year_added],MATCH($A2482,tblNetflix[show_id],0)),"")</f>
        <v/>
      </c>
      <c r="F2482" s="19">
        <f>IF(AND(OR(YearFilter="All",$E2482=YearFilter),OR(RatingFilter="All",$D2482=RatingFilter),OR(TypeFilter="All",$C2482=TypeFilter)),1,0)</f>
        <v/>
      </c>
    </row>
    <row r="2483" ht="15" customHeight="1" s="20">
      <c r="A2483" s="19" t="inlineStr">
        <is>
          <t>s7745</t>
        </is>
      </c>
      <c r="B2483" s="19" t="inlineStr">
        <is>
          <t>International Movies</t>
        </is>
      </c>
      <c r="C2483" s="19">
        <f>IFERROR(INDEX(tblNetflix[type],MATCH($A2483,tblNetflix[show_id],0)),"")</f>
        <v/>
      </c>
      <c r="D2483" s="19">
        <f>IFERROR(INDEX(tblNetflix[rating],MATCH($A2483,tblNetflix[show_id],0)),"")</f>
        <v/>
      </c>
      <c r="E2483" s="19">
        <f>IFERROR(INDEX(tblNetflix[year_added],MATCH($A2483,tblNetflix[show_id],0)),"")</f>
        <v/>
      </c>
      <c r="F2483" s="19">
        <f>IF(AND(OR(YearFilter="All",$E2483=YearFilter),OR(RatingFilter="All",$D2483=RatingFilter),OR(TypeFilter="All",$C2483=TypeFilter)),1,0)</f>
        <v/>
      </c>
    </row>
    <row r="2484" ht="15" customHeight="1" s="20">
      <c r="A2484" s="19" t="inlineStr">
        <is>
          <t>s7745</t>
        </is>
      </c>
      <c r="B2484" s="19" t="inlineStr">
        <is>
          <t>Music &amp; Musicals</t>
        </is>
      </c>
      <c r="C2484" s="19">
        <f>IFERROR(INDEX(tblNetflix[type],MATCH($A2484,tblNetflix[show_id],0)),"")</f>
        <v/>
      </c>
      <c r="D2484" s="19">
        <f>IFERROR(INDEX(tblNetflix[rating],MATCH($A2484,tblNetflix[show_id],0)),"")</f>
        <v/>
      </c>
      <c r="E2484" s="19">
        <f>IFERROR(INDEX(tblNetflix[year_added],MATCH($A2484,tblNetflix[show_id],0)),"")</f>
        <v/>
      </c>
      <c r="F2484" s="19">
        <f>IF(AND(OR(YearFilter="All",$E2484=YearFilter),OR(RatingFilter="All",$D2484=RatingFilter),OR(TypeFilter="All",$C2484=TypeFilter)),1,0)</f>
        <v/>
      </c>
    </row>
    <row r="2485" ht="15" customHeight="1" s="20">
      <c r="A2485" s="19" t="inlineStr">
        <is>
          <t>s7760</t>
        </is>
      </c>
      <c r="B2485" s="19" t="inlineStr">
        <is>
          <t>Crime TV Shows</t>
        </is>
      </c>
      <c r="C2485" s="19">
        <f>IFERROR(INDEX(tblNetflix[type],MATCH($A2485,tblNetflix[show_id],0)),"")</f>
        <v/>
      </c>
      <c r="D2485" s="19">
        <f>IFERROR(INDEX(tblNetflix[rating],MATCH($A2485,tblNetflix[show_id],0)),"")</f>
        <v/>
      </c>
      <c r="E2485" s="19">
        <f>IFERROR(INDEX(tblNetflix[year_added],MATCH($A2485,tblNetflix[show_id],0)),"")</f>
        <v/>
      </c>
      <c r="F2485" s="19">
        <f>IF(AND(OR(YearFilter="All",$E2485=YearFilter),OR(RatingFilter="All",$D2485=RatingFilter),OR(TypeFilter="All",$C2485=TypeFilter)),1,0)</f>
        <v/>
      </c>
    </row>
    <row r="2486" ht="15" customHeight="1" s="20">
      <c r="A2486" s="19" t="inlineStr">
        <is>
          <t>s7760</t>
        </is>
      </c>
      <c r="B2486" s="19" t="inlineStr">
        <is>
          <t>International TV Shows</t>
        </is>
      </c>
      <c r="C2486" s="19">
        <f>IFERROR(INDEX(tblNetflix[type],MATCH($A2486,tblNetflix[show_id],0)),"")</f>
        <v/>
      </c>
      <c r="D2486" s="19">
        <f>IFERROR(INDEX(tblNetflix[rating],MATCH($A2486,tblNetflix[show_id],0)),"")</f>
        <v/>
      </c>
      <c r="E2486" s="19">
        <f>IFERROR(INDEX(tblNetflix[year_added],MATCH($A2486,tblNetflix[show_id],0)),"")</f>
        <v/>
      </c>
      <c r="F2486" s="19">
        <f>IF(AND(OR(YearFilter="All",$E2486=YearFilter),OR(RatingFilter="All",$D2486=RatingFilter),OR(TypeFilter="All",$C2486=TypeFilter)),1,0)</f>
        <v/>
      </c>
    </row>
    <row r="2487" ht="15" customHeight="1" s="20">
      <c r="A2487" s="19" t="inlineStr">
        <is>
          <t>s7760</t>
        </is>
      </c>
      <c r="B2487" s="19" t="inlineStr">
        <is>
          <t>TV Dramas</t>
        </is>
      </c>
      <c r="C2487" s="19">
        <f>IFERROR(INDEX(tblNetflix[type],MATCH($A2487,tblNetflix[show_id],0)),"")</f>
        <v/>
      </c>
      <c r="D2487" s="19">
        <f>IFERROR(INDEX(tblNetflix[rating],MATCH($A2487,tblNetflix[show_id],0)),"")</f>
        <v/>
      </c>
      <c r="E2487" s="19">
        <f>IFERROR(INDEX(tblNetflix[year_added],MATCH($A2487,tblNetflix[show_id],0)),"")</f>
        <v/>
      </c>
      <c r="F2487" s="19">
        <f>IF(AND(OR(YearFilter="All",$E2487=YearFilter),OR(RatingFilter="All",$D2487=RatingFilter),OR(TypeFilter="All",$C2487=TypeFilter)),1,0)</f>
        <v/>
      </c>
    </row>
    <row r="2488" ht="15" customHeight="1" s="20">
      <c r="A2488" s="19" t="inlineStr">
        <is>
          <t>s7790</t>
        </is>
      </c>
      <c r="B2488" s="19" t="inlineStr">
        <is>
          <t>Dramas</t>
        </is>
      </c>
      <c r="C2488" s="19">
        <f>IFERROR(INDEX(tblNetflix[type],MATCH($A2488,tblNetflix[show_id],0)),"")</f>
        <v/>
      </c>
      <c r="D2488" s="19">
        <f>IFERROR(INDEX(tblNetflix[rating],MATCH($A2488,tblNetflix[show_id],0)),"")</f>
        <v/>
      </c>
      <c r="E2488" s="19">
        <f>IFERROR(INDEX(tblNetflix[year_added],MATCH($A2488,tblNetflix[show_id],0)),"")</f>
        <v/>
      </c>
      <c r="F2488" s="19">
        <f>IF(AND(OR(YearFilter="All",$E2488=YearFilter),OR(RatingFilter="All",$D2488=RatingFilter),OR(TypeFilter="All",$C2488=TypeFilter)),1,0)</f>
        <v/>
      </c>
    </row>
    <row r="2489" ht="15" customHeight="1" s="20">
      <c r="A2489" s="19" t="inlineStr">
        <is>
          <t>s7790</t>
        </is>
      </c>
      <c r="B2489" s="19" t="inlineStr">
        <is>
          <t>Independent Movies</t>
        </is>
      </c>
      <c r="C2489" s="19">
        <f>IFERROR(INDEX(tblNetflix[type],MATCH($A2489,tblNetflix[show_id],0)),"")</f>
        <v/>
      </c>
      <c r="D2489" s="19">
        <f>IFERROR(INDEX(tblNetflix[rating],MATCH($A2489,tblNetflix[show_id],0)),"")</f>
        <v/>
      </c>
      <c r="E2489" s="19">
        <f>IFERROR(INDEX(tblNetflix[year_added],MATCH($A2489,tblNetflix[show_id],0)),"")</f>
        <v/>
      </c>
      <c r="F2489" s="19">
        <f>IF(AND(OR(YearFilter="All",$E2489=YearFilter),OR(RatingFilter="All",$D2489=RatingFilter),OR(TypeFilter="All",$C2489=TypeFilter)),1,0)</f>
        <v/>
      </c>
    </row>
    <row r="2490" ht="15" customHeight="1" s="20">
      <c r="A2490" s="19" t="inlineStr">
        <is>
          <t>s7790</t>
        </is>
      </c>
      <c r="B2490" s="19" t="inlineStr">
        <is>
          <t>International Movies</t>
        </is>
      </c>
      <c r="C2490" s="19">
        <f>IFERROR(INDEX(tblNetflix[type],MATCH($A2490,tblNetflix[show_id],0)),"")</f>
        <v/>
      </c>
      <c r="D2490" s="19">
        <f>IFERROR(INDEX(tblNetflix[rating],MATCH($A2490,tblNetflix[show_id],0)),"")</f>
        <v/>
      </c>
      <c r="E2490" s="19">
        <f>IFERROR(INDEX(tblNetflix[year_added],MATCH($A2490,tblNetflix[show_id],0)),"")</f>
        <v/>
      </c>
      <c r="F2490" s="19">
        <f>IF(AND(OR(YearFilter="All",$E2490=YearFilter),OR(RatingFilter="All",$D2490=RatingFilter),OR(TypeFilter="All",$C2490=TypeFilter)),1,0)</f>
        <v/>
      </c>
    </row>
    <row r="2491" ht="15" customHeight="1" s="20">
      <c r="A2491" s="19" t="inlineStr">
        <is>
          <t>s7792</t>
        </is>
      </c>
      <c r="B2491" s="19" t="inlineStr">
        <is>
          <t>International Movies</t>
        </is>
      </c>
      <c r="C2491" s="19">
        <f>IFERROR(INDEX(tblNetflix[type],MATCH($A2491,tblNetflix[show_id],0)),"")</f>
        <v/>
      </c>
      <c r="D2491" s="19">
        <f>IFERROR(INDEX(tblNetflix[rating],MATCH($A2491,tblNetflix[show_id],0)),"")</f>
        <v/>
      </c>
      <c r="E2491" s="19">
        <f>IFERROR(INDEX(tblNetflix[year_added],MATCH($A2491,tblNetflix[show_id],0)),"")</f>
        <v/>
      </c>
      <c r="F2491" s="19">
        <f>IF(AND(OR(YearFilter="All",$E2491=YearFilter),OR(RatingFilter="All",$D2491=RatingFilter),OR(TypeFilter="All",$C2491=TypeFilter)),1,0)</f>
        <v/>
      </c>
    </row>
    <row r="2492" ht="15" customHeight="1" s="20">
      <c r="A2492" s="19" t="inlineStr">
        <is>
          <t>s7792</t>
        </is>
      </c>
      <c r="B2492" s="19" t="inlineStr">
        <is>
          <t>Romantic Movies</t>
        </is>
      </c>
      <c r="C2492" s="19">
        <f>IFERROR(INDEX(tblNetflix[type],MATCH($A2492,tblNetflix[show_id],0)),"")</f>
        <v/>
      </c>
      <c r="D2492" s="19">
        <f>IFERROR(INDEX(tblNetflix[rating],MATCH($A2492,tblNetflix[show_id],0)),"")</f>
        <v/>
      </c>
      <c r="E2492" s="19">
        <f>IFERROR(INDEX(tblNetflix[year_added],MATCH($A2492,tblNetflix[show_id],0)),"")</f>
        <v/>
      </c>
      <c r="F2492" s="19">
        <f>IF(AND(OR(YearFilter="All",$E2492=YearFilter),OR(RatingFilter="All",$D2492=RatingFilter),OR(TypeFilter="All",$C2492=TypeFilter)),1,0)</f>
        <v/>
      </c>
    </row>
    <row r="2493" ht="15" customHeight="1" s="20">
      <c r="A2493" s="19" t="inlineStr">
        <is>
          <t>s7802</t>
        </is>
      </c>
      <c r="B2493" s="19" t="inlineStr">
        <is>
          <t>Action &amp; Adventure</t>
        </is>
      </c>
      <c r="C2493" s="19">
        <f>IFERROR(INDEX(tblNetflix[type],MATCH($A2493,tblNetflix[show_id],0)),"")</f>
        <v/>
      </c>
      <c r="D2493" s="19">
        <f>IFERROR(INDEX(tblNetflix[rating],MATCH($A2493,tblNetflix[show_id],0)),"")</f>
        <v/>
      </c>
      <c r="E2493" s="19">
        <f>IFERROR(INDEX(tblNetflix[year_added],MATCH($A2493,tblNetflix[show_id],0)),"")</f>
        <v/>
      </c>
      <c r="F2493" s="19">
        <f>IF(AND(OR(YearFilter="All",$E2493=YearFilter),OR(RatingFilter="All",$D2493=RatingFilter),OR(TypeFilter="All",$C2493=TypeFilter)),1,0)</f>
        <v/>
      </c>
    </row>
    <row r="2494" ht="15" customHeight="1" s="20">
      <c r="A2494" s="19" t="inlineStr">
        <is>
          <t>s7802</t>
        </is>
      </c>
      <c r="B2494" s="19" t="inlineStr">
        <is>
          <t>Dramas</t>
        </is>
      </c>
      <c r="C2494" s="19">
        <f>IFERROR(INDEX(tblNetflix[type],MATCH($A2494,tblNetflix[show_id],0)),"")</f>
        <v/>
      </c>
      <c r="D2494" s="19">
        <f>IFERROR(INDEX(tblNetflix[rating],MATCH($A2494,tblNetflix[show_id],0)),"")</f>
        <v/>
      </c>
      <c r="E2494" s="19">
        <f>IFERROR(INDEX(tblNetflix[year_added],MATCH($A2494,tblNetflix[show_id],0)),"")</f>
        <v/>
      </c>
      <c r="F2494" s="19">
        <f>IF(AND(OR(YearFilter="All",$E2494=YearFilter),OR(RatingFilter="All",$D2494=RatingFilter),OR(TypeFilter="All",$C2494=TypeFilter)),1,0)</f>
        <v/>
      </c>
    </row>
    <row r="2495" ht="15" customHeight="1" s="20">
      <c r="A2495" s="19" t="inlineStr">
        <is>
          <t>s7802</t>
        </is>
      </c>
      <c r="B2495" s="19" t="inlineStr">
        <is>
          <t>International Movies</t>
        </is>
      </c>
      <c r="C2495" s="19">
        <f>IFERROR(INDEX(tblNetflix[type],MATCH($A2495,tblNetflix[show_id],0)),"")</f>
        <v/>
      </c>
      <c r="D2495" s="19">
        <f>IFERROR(INDEX(tblNetflix[rating],MATCH($A2495,tblNetflix[show_id],0)),"")</f>
        <v/>
      </c>
      <c r="E2495" s="19">
        <f>IFERROR(INDEX(tblNetflix[year_added],MATCH($A2495,tblNetflix[show_id],0)),"")</f>
        <v/>
      </c>
      <c r="F2495" s="19">
        <f>IF(AND(OR(YearFilter="All",$E2495=YearFilter),OR(RatingFilter="All",$D2495=RatingFilter),OR(TypeFilter="All",$C2495=TypeFilter)),1,0)</f>
        <v/>
      </c>
    </row>
    <row r="2496" ht="15" customHeight="1" s="20">
      <c r="A2496" s="19" t="inlineStr">
        <is>
          <t>s7804</t>
        </is>
      </c>
      <c r="B2496" s="19" t="inlineStr">
        <is>
          <t>Dramas</t>
        </is>
      </c>
      <c r="C2496" s="19">
        <f>IFERROR(INDEX(tblNetflix[type],MATCH($A2496,tblNetflix[show_id],0)),"")</f>
        <v/>
      </c>
      <c r="D2496" s="19">
        <f>IFERROR(INDEX(tblNetflix[rating],MATCH($A2496,tblNetflix[show_id],0)),"")</f>
        <v/>
      </c>
      <c r="E2496" s="19">
        <f>IFERROR(INDEX(tblNetflix[year_added],MATCH($A2496,tblNetflix[show_id],0)),"")</f>
        <v/>
      </c>
      <c r="F2496" s="19">
        <f>IF(AND(OR(YearFilter="All",$E2496=YearFilter),OR(RatingFilter="All",$D2496=RatingFilter),OR(TypeFilter="All",$C2496=TypeFilter)),1,0)</f>
        <v/>
      </c>
    </row>
    <row r="2497" ht="15" customHeight="1" s="20">
      <c r="A2497" s="19" t="inlineStr">
        <is>
          <t>s7804</t>
        </is>
      </c>
      <c r="B2497" s="19" t="inlineStr">
        <is>
          <t>International Movies</t>
        </is>
      </c>
      <c r="C2497" s="19">
        <f>IFERROR(INDEX(tblNetflix[type],MATCH($A2497,tblNetflix[show_id],0)),"")</f>
        <v/>
      </c>
      <c r="D2497" s="19">
        <f>IFERROR(INDEX(tblNetflix[rating],MATCH($A2497,tblNetflix[show_id],0)),"")</f>
        <v/>
      </c>
      <c r="E2497" s="19">
        <f>IFERROR(INDEX(tblNetflix[year_added],MATCH($A2497,tblNetflix[show_id],0)),"")</f>
        <v/>
      </c>
      <c r="F2497" s="19">
        <f>IF(AND(OR(YearFilter="All",$E2497=YearFilter),OR(RatingFilter="All",$D2497=RatingFilter),OR(TypeFilter="All",$C2497=TypeFilter)),1,0)</f>
        <v/>
      </c>
    </row>
    <row r="2498" ht="15" customHeight="1" s="20">
      <c r="A2498" s="19" t="inlineStr">
        <is>
          <t>s7806</t>
        </is>
      </c>
      <c r="B2498" s="19" t="inlineStr">
        <is>
          <t>Comedies</t>
        </is>
      </c>
      <c r="C2498" s="19">
        <f>IFERROR(INDEX(tblNetflix[type],MATCH($A2498,tblNetflix[show_id],0)),"")</f>
        <v/>
      </c>
      <c r="D2498" s="19">
        <f>IFERROR(INDEX(tblNetflix[rating],MATCH($A2498,tblNetflix[show_id],0)),"")</f>
        <v/>
      </c>
      <c r="E2498" s="19">
        <f>IFERROR(INDEX(tblNetflix[year_added],MATCH($A2498,tblNetflix[show_id],0)),"")</f>
        <v/>
      </c>
      <c r="F2498" s="19">
        <f>IF(AND(OR(YearFilter="All",$E2498=YearFilter),OR(RatingFilter="All",$D2498=RatingFilter),OR(TypeFilter="All",$C2498=TypeFilter)),1,0)</f>
        <v/>
      </c>
    </row>
    <row r="2499" ht="15" customHeight="1" s="20">
      <c r="A2499" s="19" t="inlineStr">
        <is>
          <t>s7806</t>
        </is>
      </c>
      <c r="B2499" s="19" t="inlineStr">
        <is>
          <t>Dramas</t>
        </is>
      </c>
      <c r="C2499" s="19">
        <f>IFERROR(INDEX(tblNetflix[type],MATCH($A2499,tblNetflix[show_id],0)),"")</f>
        <v/>
      </c>
      <c r="D2499" s="19">
        <f>IFERROR(INDEX(tblNetflix[rating],MATCH($A2499,tblNetflix[show_id],0)),"")</f>
        <v/>
      </c>
      <c r="E2499" s="19">
        <f>IFERROR(INDEX(tblNetflix[year_added],MATCH($A2499,tblNetflix[show_id],0)),"")</f>
        <v/>
      </c>
      <c r="F2499" s="19">
        <f>IF(AND(OR(YearFilter="All",$E2499=YearFilter),OR(RatingFilter="All",$D2499=RatingFilter),OR(TypeFilter="All",$C2499=TypeFilter)),1,0)</f>
        <v/>
      </c>
    </row>
    <row r="2500" ht="15" customHeight="1" s="20">
      <c r="A2500" s="19" t="inlineStr">
        <is>
          <t>s7806</t>
        </is>
      </c>
      <c r="B2500" s="19" t="inlineStr">
        <is>
          <t>International Movies</t>
        </is>
      </c>
      <c r="C2500" s="19">
        <f>IFERROR(INDEX(tblNetflix[type],MATCH($A2500,tblNetflix[show_id],0)),"")</f>
        <v/>
      </c>
      <c r="D2500" s="19">
        <f>IFERROR(INDEX(tblNetflix[rating],MATCH($A2500,tblNetflix[show_id],0)),"")</f>
        <v/>
      </c>
      <c r="E2500" s="19">
        <f>IFERROR(INDEX(tblNetflix[year_added],MATCH($A2500,tblNetflix[show_id],0)),"")</f>
        <v/>
      </c>
      <c r="F2500" s="19">
        <f>IF(AND(OR(YearFilter="All",$E2500=YearFilter),OR(RatingFilter="All",$D2500=RatingFilter),OR(TypeFilter="All",$C2500=TypeFilter)),1,0)</f>
        <v/>
      </c>
    </row>
    <row r="2501" ht="15" customHeight="1" s="20">
      <c r="A2501" s="19" t="inlineStr">
        <is>
          <t>s7807</t>
        </is>
      </c>
      <c r="B2501" s="19" t="inlineStr">
        <is>
          <t>International TV Shows</t>
        </is>
      </c>
      <c r="C2501" s="19">
        <f>IFERROR(INDEX(tblNetflix[type],MATCH($A2501,tblNetflix[show_id],0)),"")</f>
        <v/>
      </c>
      <c r="D2501" s="19">
        <f>IFERROR(INDEX(tblNetflix[rating],MATCH($A2501,tblNetflix[show_id],0)),"")</f>
        <v/>
      </c>
      <c r="E2501" s="19">
        <f>IFERROR(INDEX(tblNetflix[year_added],MATCH($A2501,tblNetflix[show_id],0)),"")</f>
        <v/>
      </c>
      <c r="F2501" s="19">
        <f>IF(AND(OR(YearFilter="All",$E2501=YearFilter),OR(RatingFilter="All",$D2501=RatingFilter),OR(TypeFilter="All",$C2501=TypeFilter)),1,0)</f>
        <v/>
      </c>
    </row>
    <row r="2502" ht="15" customHeight="1" s="20">
      <c r="A2502" s="19" t="inlineStr">
        <is>
          <t>s7807</t>
        </is>
      </c>
      <c r="B2502" s="19" t="inlineStr">
        <is>
          <t>Romantic TV Shows</t>
        </is>
      </c>
      <c r="C2502" s="19">
        <f>IFERROR(INDEX(tblNetflix[type],MATCH($A2502,tblNetflix[show_id],0)),"")</f>
        <v/>
      </c>
      <c r="D2502" s="19">
        <f>IFERROR(INDEX(tblNetflix[rating],MATCH($A2502,tblNetflix[show_id],0)),"")</f>
        <v/>
      </c>
      <c r="E2502" s="19">
        <f>IFERROR(INDEX(tblNetflix[year_added],MATCH($A2502,tblNetflix[show_id],0)),"")</f>
        <v/>
      </c>
      <c r="F2502" s="19">
        <f>IF(AND(OR(YearFilter="All",$E2502=YearFilter),OR(RatingFilter="All",$D2502=RatingFilter),OR(TypeFilter="All",$C2502=TypeFilter)),1,0)</f>
        <v/>
      </c>
    </row>
    <row r="2503" ht="15" customHeight="1" s="20">
      <c r="A2503" s="19" t="inlineStr">
        <is>
          <t>s7807</t>
        </is>
      </c>
      <c r="B2503" s="19" t="inlineStr">
        <is>
          <t>TV Dramas</t>
        </is>
      </c>
      <c r="C2503" s="19">
        <f>IFERROR(INDEX(tblNetflix[type],MATCH($A2503,tblNetflix[show_id],0)),"")</f>
        <v/>
      </c>
      <c r="D2503" s="19">
        <f>IFERROR(INDEX(tblNetflix[rating],MATCH($A2503,tblNetflix[show_id],0)),"")</f>
        <v/>
      </c>
      <c r="E2503" s="19">
        <f>IFERROR(INDEX(tblNetflix[year_added],MATCH($A2503,tblNetflix[show_id],0)),"")</f>
        <v/>
      </c>
      <c r="F2503" s="19">
        <f>IF(AND(OR(YearFilter="All",$E2503=YearFilter),OR(RatingFilter="All",$D2503=RatingFilter),OR(TypeFilter="All",$C2503=TypeFilter)),1,0)</f>
        <v/>
      </c>
    </row>
    <row r="2504" ht="15" customHeight="1" s="20">
      <c r="A2504" s="19" t="inlineStr">
        <is>
          <t>s7820</t>
        </is>
      </c>
      <c r="B2504" s="19" t="inlineStr">
        <is>
          <t>Dramas</t>
        </is>
      </c>
      <c r="C2504" s="19">
        <f>IFERROR(INDEX(tblNetflix[type],MATCH($A2504,tblNetflix[show_id],0)),"")</f>
        <v/>
      </c>
      <c r="D2504" s="19">
        <f>IFERROR(INDEX(tblNetflix[rating],MATCH($A2504,tblNetflix[show_id],0)),"")</f>
        <v/>
      </c>
      <c r="E2504" s="19">
        <f>IFERROR(INDEX(tblNetflix[year_added],MATCH($A2504,tblNetflix[show_id],0)),"")</f>
        <v/>
      </c>
      <c r="F2504" s="19">
        <f>IF(AND(OR(YearFilter="All",$E2504=YearFilter),OR(RatingFilter="All",$D2504=RatingFilter),OR(TypeFilter="All",$C2504=TypeFilter)),1,0)</f>
        <v/>
      </c>
    </row>
    <row r="2505" ht="15" customHeight="1" s="20">
      <c r="A2505" s="19" t="inlineStr">
        <is>
          <t>s7820</t>
        </is>
      </c>
      <c r="B2505" s="19" t="inlineStr">
        <is>
          <t>International Movies</t>
        </is>
      </c>
      <c r="C2505" s="19">
        <f>IFERROR(INDEX(tblNetflix[type],MATCH($A2505,tblNetflix[show_id],0)),"")</f>
        <v/>
      </c>
      <c r="D2505" s="19">
        <f>IFERROR(INDEX(tblNetflix[rating],MATCH($A2505,tblNetflix[show_id],0)),"")</f>
        <v/>
      </c>
      <c r="E2505" s="19">
        <f>IFERROR(INDEX(tblNetflix[year_added],MATCH($A2505,tblNetflix[show_id],0)),"")</f>
        <v/>
      </c>
      <c r="F2505" s="19">
        <f>IF(AND(OR(YearFilter="All",$E2505=YearFilter),OR(RatingFilter="All",$D2505=RatingFilter),OR(TypeFilter="All",$C2505=TypeFilter)),1,0)</f>
        <v/>
      </c>
    </row>
    <row r="2506" ht="15" customHeight="1" s="20">
      <c r="A2506" s="19" t="inlineStr">
        <is>
          <t>s7822</t>
        </is>
      </c>
      <c r="B2506" s="19" t="inlineStr">
        <is>
          <t>Dramas</t>
        </is>
      </c>
      <c r="C2506" s="19">
        <f>IFERROR(INDEX(tblNetflix[type],MATCH($A2506,tblNetflix[show_id],0)),"")</f>
        <v/>
      </c>
      <c r="D2506" s="19">
        <f>IFERROR(INDEX(tblNetflix[rating],MATCH($A2506,tblNetflix[show_id],0)),"")</f>
        <v/>
      </c>
      <c r="E2506" s="19">
        <f>IFERROR(INDEX(tblNetflix[year_added],MATCH($A2506,tblNetflix[show_id],0)),"")</f>
        <v/>
      </c>
      <c r="F2506" s="19">
        <f>IF(AND(OR(YearFilter="All",$E2506=YearFilter),OR(RatingFilter="All",$D2506=RatingFilter),OR(TypeFilter="All",$C2506=TypeFilter)),1,0)</f>
        <v/>
      </c>
    </row>
    <row r="2507" ht="15" customHeight="1" s="20">
      <c r="A2507" s="19" t="inlineStr">
        <is>
          <t>s7822</t>
        </is>
      </c>
      <c r="B2507" s="19" t="inlineStr">
        <is>
          <t>International Movies</t>
        </is>
      </c>
      <c r="C2507" s="19">
        <f>IFERROR(INDEX(tblNetflix[type],MATCH($A2507,tblNetflix[show_id],0)),"")</f>
        <v/>
      </c>
      <c r="D2507" s="19">
        <f>IFERROR(INDEX(tblNetflix[rating],MATCH($A2507,tblNetflix[show_id],0)),"")</f>
        <v/>
      </c>
      <c r="E2507" s="19">
        <f>IFERROR(INDEX(tblNetflix[year_added],MATCH($A2507,tblNetflix[show_id],0)),"")</f>
        <v/>
      </c>
      <c r="F2507" s="19">
        <f>IF(AND(OR(YearFilter="All",$E2507=YearFilter),OR(RatingFilter="All",$D2507=RatingFilter),OR(TypeFilter="All",$C2507=TypeFilter)),1,0)</f>
        <v/>
      </c>
    </row>
    <row r="2508" ht="15" customHeight="1" s="20">
      <c r="A2508" s="19" t="inlineStr">
        <is>
          <t>s7825</t>
        </is>
      </c>
      <c r="B2508" s="19" t="inlineStr">
        <is>
          <t>Dramas</t>
        </is>
      </c>
      <c r="C2508" s="19">
        <f>IFERROR(INDEX(tblNetflix[type],MATCH($A2508,tblNetflix[show_id],0)),"")</f>
        <v/>
      </c>
      <c r="D2508" s="19">
        <f>IFERROR(INDEX(tblNetflix[rating],MATCH($A2508,tblNetflix[show_id],0)),"")</f>
        <v/>
      </c>
      <c r="E2508" s="19">
        <f>IFERROR(INDEX(tblNetflix[year_added],MATCH($A2508,tblNetflix[show_id],0)),"")</f>
        <v/>
      </c>
      <c r="F2508" s="19">
        <f>IF(AND(OR(YearFilter="All",$E2508=YearFilter),OR(RatingFilter="All",$D2508=RatingFilter),OR(TypeFilter="All",$C2508=TypeFilter)),1,0)</f>
        <v/>
      </c>
    </row>
    <row r="2509" ht="15" customHeight="1" s="20">
      <c r="A2509" s="19" t="inlineStr">
        <is>
          <t>s7825</t>
        </is>
      </c>
      <c r="B2509" s="19" t="inlineStr">
        <is>
          <t>International Movies</t>
        </is>
      </c>
      <c r="C2509" s="19">
        <f>IFERROR(INDEX(tblNetflix[type],MATCH($A2509,tblNetflix[show_id],0)),"")</f>
        <v/>
      </c>
      <c r="D2509" s="19">
        <f>IFERROR(INDEX(tblNetflix[rating],MATCH($A2509,tblNetflix[show_id],0)),"")</f>
        <v/>
      </c>
      <c r="E2509" s="19">
        <f>IFERROR(INDEX(tblNetflix[year_added],MATCH($A2509,tblNetflix[show_id],0)),"")</f>
        <v/>
      </c>
      <c r="F2509" s="19">
        <f>IF(AND(OR(YearFilter="All",$E2509=YearFilter),OR(RatingFilter="All",$D2509=RatingFilter),OR(TypeFilter="All",$C2509=TypeFilter)),1,0)</f>
        <v/>
      </c>
    </row>
    <row r="2510" ht="15" customHeight="1" s="20">
      <c r="A2510" s="19" t="inlineStr">
        <is>
          <t>s7825</t>
        </is>
      </c>
      <c r="B2510" s="19" t="inlineStr">
        <is>
          <t>Romantic Movies</t>
        </is>
      </c>
      <c r="C2510" s="19">
        <f>IFERROR(INDEX(tblNetflix[type],MATCH($A2510,tblNetflix[show_id],0)),"")</f>
        <v/>
      </c>
      <c r="D2510" s="19">
        <f>IFERROR(INDEX(tblNetflix[rating],MATCH($A2510,tblNetflix[show_id],0)),"")</f>
        <v/>
      </c>
      <c r="E2510" s="19">
        <f>IFERROR(INDEX(tblNetflix[year_added],MATCH($A2510,tblNetflix[show_id],0)),"")</f>
        <v/>
      </c>
      <c r="F2510" s="19">
        <f>IF(AND(OR(YearFilter="All",$E2510=YearFilter),OR(RatingFilter="All",$D2510=RatingFilter),OR(TypeFilter="All",$C2510=TypeFilter)),1,0)</f>
        <v/>
      </c>
    </row>
    <row r="2511" ht="15" customHeight="1" s="20">
      <c r="A2511" s="19" t="inlineStr">
        <is>
          <t>s7826</t>
        </is>
      </c>
      <c r="B2511" s="19" t="inlineStr">
        <is>
          <t>Comedies</t>
        </is>
      </c>
      <c r="C2511" s="19">
        <f>IFERROR(INDEX(tblNetflix[type],MATCH($A2511,tblNetflix[show_id],0)),"")</f>
        <v/>
      </c>
      <c r="D2511" s="19">
        <f>IFERROR(INDEX(tblNetflix[rating],MATCH($A2511,tblNetflix[show_id],0)),"")</f>
        <v/>
      </c>
      <c r="E2511" s="19">
        <f>IFERROR(INDEX(tblNetflix[year_added],MATCH($A2511,tblNetflix[show_id],0)),"")</f>
        <v/>
      </c>
      <c r="F2511" s="19">
        <f>IF(AND(OR(YearFilter="All",$E2511=YearFilter),OR(RatingFilter="All",$D2511=RatingFilter),OR(TypeFilter="All",$C2511=TypeFilter)),1,0)</f>
        <v/>
      </c>
    </row>
    <row r="2512" ht="15" customHeight="1" s="20">
      <c r="A2512" s="19" t="inlineStr">
        <is>
          <t>s7826</t>
        </is>
      </c>
      <c r="B2512" s="19" t="inlineStr">
        <is>
          <t>Dramas</t>
        </is>
      </c>
      <c r="C2512" s="19">
        <f>IFERROR(INDEX(tblNetflix[type],MATCH($A2512,tblNetflix[show_id],0)),"")</f>
        <v/>
      </c>
      <c r="D2512" s="19">
        <f>IFERROR(INDEX(tblNetflix[rating],MATCH($A2512,tblNetflix[show_id],0)),"")</f>
        <v/>
      </c>
      <c r="E2512" s="19">
        <f>IFERROR(INDEX(tblNetflix[year_added],MATCH($A2512,tblNetflix[show_id],0)),"")</f>
        <v/>
      </c>
      <c r="F2512" s="19">
        <f>IF(AND(OR(YearFilter="All",$E2512=YearFilter),OR(RatingFilter="All",$D2512=RatingFilter),OR(TypeFilter="All",$C2512=TypeFilter)),1,0)</f>
        <v/>
      </c>
    </row>
    <row r="2513" ht="15" customHeight="1" s="20">
      <c r="A2513" s="19" t="inlineStr">
        <is>
          <t>s7826</t>
        </is>
      </c>
      <c r="B2513" s="19" t="inlineStr">
        <is>
          <t>Independent Movies</t>
        </is>
      </c>
      <c r="C2513" s="19">
        <f>IFERROR(INDEX(tblNetflix[type],MATCH($A2513,tblNetflix[show_id],0)),"")</f>
        <v/>
      </c>
      <c r="D2513" s="19">
        <f>IFERROR(INDEX(tblNetflix[rating],MATCH($A2513,tblNetflix[show_id],0)),"")</f>
        <v/>
      </c>
      <c r="E2513" s="19">
        <f>IFERROR(INDEX(tblNetflix[year_added],MATCH($A2513,tblNetflix[show_id],0)),"")</f>
        <v/>
      </c>
      <c r="F2513" s="19">
        <f>IF(AND(OR(YearFilter="All",$E2513=YearFilter),OR(RatingFilter="All",$D2513=RatingFilter),OR(TypeFilter="All",$C2513=TypeFilter)),1,0)</f>
        <v/>
      </c>
    </row>
    <row r="2514" ht="15" customHeight="1" s="20">
      <c r="A2514" s="19" t="inlineStr">
        <is>
          <t>s7828</t>
        </is>
      </c>
      <c r="B2514" s="19" t="inlineStr">
        <is>
          <t>Classic Movies</t>
        </is>
      </c>
      <c r="C2514" s="19">
        <f>IFERROR(INDEX(tblNetflix[type],MATCH($A2514,tblNetflix[show_id],0)),"")</f>
        <v/>
      </c>
      <c r="D2514" s="19">
        <f>IFERROR(INDEX(tblNetflix[rating],MATCH($A2514,tblNetflix[show_id],0)),"")</f>
        <v/>
      </c>
      <c r="E2514" s="19">
        <f>IFERROR(INDEX(tblNetflix[year_added],MATCH($A2514,tblNetflix[show_id],0)),"")</f>
        <v/>
      </c>
      <c r="F2514" s="19">
        <f>IF(AND(OR(YearFilter="All",$E2514=YearFilter),OR(RatingFilter="All",$D2514=RatingFilter),OR(TypeFilter="All",$C2514=TypeFilter)),1,0)</f>
        <v/>
      </c>
    </row>
    <row r="2515" ht="15" customHeight="1" s="20">
      <c r="A2515" s="19" t="inlineStr">
        <is>
          <t>s7828</t>
        </is>
      </c>
      <c r="B2515" s="19" t="inlineStr">
        <is>
          <t>Dramas</t>
        </is>
      </c>
      <c r="C2515" s="19">
        <f>IFERROR(INDEX(tblNetflix[type],MATCH($A2515,tblNetflix[show_id],0)),"")</f>
        <v/>
      </c>
      <c r="D2515" s="19">
        <f>IFERROR(INDEX(tblNetflix[rating],MATCH($A2515,tblNetflix[show_id],0)),"")</f>
        <v/>
      </c>
      <c r="E2515" s="19">
        <f>IFERROR(INDEX(tblNetflix[year_added],MATCH($A2515,tblNetflix[show_id],0)),"")</f>
        <v/>
      </c>
      <c r="F2515" s="19">
        <f>IF(AND(OR(YearFilter="All",$E2515=YearFilter),OR(RatingFilter="All",$D2515=RatingFilter),OR(TypeFilter="All",$C2515=TypeFilter)),1,0)</f>
        <v/>
      </c>
    </row>
    <row r="2516" ht="15" customHeight="1" s="20">
      <c r="A2516" s="19" t="inlineStr">
        <is>
          <t>s7828</t>
        </is>
      </c>
      <c r="B2516" s="19" t="inlineStr">
        <is>
          <t>International Movies</t>
        </is>
      </c>
      <c r="C2516" s="19">
        <f>IFERROR(INDEX(tblNetflix[type],MATCH($A2516,tblNetflix[show_id],0)),"")</f>
        <v/>
      </c>
      <c r="D2516" s="19">
        <f>IFERROR(INDEX(tblNetflix[rating],MATCH($A2516,tblNetflix[show_id],0)),"")</f>
        <v/>
      </c>
      <c r="E2516" s="19">
        <f>IFERROR(INDEX(tblNetflix[year_added],MATCH($A2516,tblNetflix[show_id],0)),"")</f>
        <v/>
      </c>
      <c r="F2516" s="19">
        <f>IF(AND(OR(YearFilter="All",$E2516=YearFilter),OR(RatingFilter="All",$D2516=RatingFilter),OR(TypeFilter="All",$C2516=TypeFilter)),1,0)</f>
        <v/>
      </c>
    </row>
    <row r="2517" ht="15" customHeight="1" s="20">
      <c r="A2517" s="19" t="inlineStr">
        <is>
          <t>s7829</t>
        </is>
      </c>
      <c r="B2517" s="19" t="inlineStr">
        <is>
          <t>International TV Shows</t>
        </is>
      </c>
      <c r="C2517" s="19">
        <f>IFERROR(INDEX(tblNetflix[type],MATCH($A2517,tblNetflix[show_id],0)),"")</f>
        <v/>
      </c>
      <c r="D2517" s="19">
        <f>IFERROR(INDEX(tblNetflix[rating],MATCH($A2517,tblNetflix[show_id],0)),"")</f>
        <v/>
      </c>
      <c r="E2517" s="19">
        <f>IFERROR(INDEX(tblNetflix[year_added],MATCH($A2517,tblNetflix[show_id],0)),"")</f>
        <v/>
      </c>
      <c r="F2517" s="19">
        <f>IF(AND(OR(YearFilter="All",$E2517=YearFilter),OR(RatingFilter="All",$D2517=RatingFilter),OR(TypeFilter="All",$C2517=TypeFilter)),1,0)</f>
        <v/>
      </c>
    </row>
    <row r="2518" ht="15" customHeight="1" s="20">
      <c r="A2518" s="19" t="inlineStr">
        <is>
          <t>s7829</t>
        </is>
      </c>
      <c r="B2518" s="19" t="inlineStr">
        <is>
          <t>TV Dramas</t>
        </is>
      </c>
      <c r="C2518" s="19">
        <f>IFERROR(INDEX(tblNetflix[type],MATCH($A2518,tblNetflix[show_id],0)),"")</f>
        <v/>
      </c>
      <c r="D2518" s="19">
        <f>IFERROR(INDEX(tblNetflix[rating],MATCH($A2518,tblNetflix[show_id],0)),"")</f>
        <v/>
      </c>
      <c r="E2518" s="19">
        <f>IFERROR(INDEX(tblNetflix[year_added],MATCH($A2518,tblNetflix[show_id],0)),"")</f>
        <v/>
      </c>
      <c r="F2518" s="19">
        <f>IF(AND(OR(YearFilter="All",$E2518=YearFilter),OR(RatingFilter="All",$D2518=RatingFilter),OR(TypeFilter="All",$C2518=TypeFilter)),1,0)</f>
        <v/>
      </c>
    </row>
    <row r="2519" ht="15" customHeight="1" s="20">
      <c r="A2519" s="19" t="inlineStr">
        <is>
          <t>s7831</t>
        </is>
      </c>
      <c r="B2519" s="19" t="inlineStr">
        <is>
          <t>Comedies</t>
        </is>
      </c>
      <c r="C2519" s="19">
        <f>IFERROR(INDEX(tblNetflix[type],MATCH($A2519,tblNetflix[show_id],0)),"")</f>
        <v/>
      </c>
      <c r="D2519" s="19">
        <f>IFERROR(INDEX(tblNetflix[rating],MATCH($A2519,tblNetflix[show_id],0)),"")</f>
        <v/>
      </c>
      <c r="E2519" s="19">
        <f>IFERROR(INDEX(tblNetflix[year_added],MATCH($A2519,tblNetflix[show_id],0)),"")</f>
        <v/>
      </c>
      <c r="F2519" s="19">
        <f>IF(AND(OR(YearFilter="All",$E2519=YearFilter),OR(RatingFilter="All",$D2519=RatingFilter),OR(TypeFilter="All",$C2519=TypeFilter)),1,0)</f>
        <v/>
      </c>
    </row>
    <row r="2520" ht="15" customHeight="1" s="20">
      <c r="A2520" s="19" t="inlineStr">
        <is>
          <t>s7831</t>
        </is>
      </c>
      <c r="B2520" s="19" t="inlineStr">
        <is>
          <t>Dramas</t>
        </is>
      </c>
      <c r="C2520" s="19">
        <f>IFERROR(INDEX(tblNetflix[type],MATCH($A2520,tblNetflix[show_id],0)),"")</f>
        <v/>
      </c>
      <c r="D2520" s="19">
        <f>IFERROR(INDEX(tblNetflix[rating],MATCH($A2520,tblNetflix[show_id],0)),"")</f>
        <v/>
      </c>
      <c r="E2520" s="19">
        <f>IFERROR(INDEX(tblNetflix[year_added],MATCH($A2520,tblNetflix[show_id],0)),"")</f>
        <v/>
      </c>
      <c r="F2520" s="19">
        <f>IF(AND(OR(YearFilter="All",$E2520=YearFilter),OR(RatingFilter="All",$D2520=RatingFilter),OR(TypeFilter="All",$C2520=TypeFilter)),1,0)</f>
        <v/>
      </c>
    </row>
    <row r="2521" ht="15" customHeight="1" s="20">
      <c r="A2521" s="19" t="inlineStr">
        <is>
          <t>s7831</t>
        </is>
      </c>
      <c r="B2521" s="19" t="inlineStr">
        <is>
          <t>International Movies</t>
        </is>
      </c>
      <c r="C2521" s="19">
        <f>IFERROR(INDEX(tblNetflix[type],MATCH($A2521,tblNetflix[show_id],0)),"")</f>
        <v/>
      </c>
      <c r="D2521" s="19">
        <f>IFERROR(INDEX(tblNetflix[rating],MATCH($A2521,tblNetflix[show_id],0)),"")</f>
        <v/>
      </c>
      <c r="E2521" s="19">
        <f>IFERROR(INDEX(tblNetflix[year_added],MATCH($A2521,tblNetflix[show_id],0)),"")</f>
        <v/>
      </c>
      <c r="F2521" s="19">
        <f>IF(AND(OR(YearFilter="All",$E2521=YearFilter),OR(RatingFilter="All",$D2521=RatingFilter),OR(TypeFilter="All",$C2521=TypeFilter)),1,0)</f>
        <v/>
      </c>
    </row>
    <row r="2522" ht="15" customHeight="1" s="20">
      <c r="A2522" s="19" t="inlineStr">
        <is>
          <t>s7833</t>
        </is>
      </c>
      <c r="B2522" s="19" t="inlineStr">
        <is>
          <t>Horror Movies</t>
        </is>
      </c>
      <c r="C2522" s="19">
        <f>IFERROR(INDEX(tblNetflix[type],MATCH($A2522,tblNetflix[show_id],0)),"")</f>
        <v/>
      </c>
      <c r="D2522" s="19">
        <f>IFERROR(INDEX(tblNetflix[rating],MATCH($A2522,tblNetflix[show_id],0)),"")</f>
        <v/>
      </c>
      <c r="E2522" s="19">
        <f>IFERROR(INDEX(tblNetflix[year_added],MATCH($A2522,tblNetflix[show_id],0)),"")</f>
        <v/>
      </c>
      <c r="F2522" s="19">
        <f>IF(AND(OR(YearFilter="All",$E2522=YearFilter),OR(RatingFilter="All",$D2522=RatingFilter),OR(TypeFilter="All",$C2522=TypeFilter)),1,0)</f>
        <v/>
      </c>
    </row>
    <row r="2523" ht="15" customHeight="1" s="20">
      <c r="A2523" s="19" t="inlineStr">
        <is>
          <t>s7833</t>
        </is>
      </c>
      <c r="B2523" s="19" t="inlineStr">
        <is>
          <t>International Movies</t>
        </is>
      </c>
      <c r="C2523" s="19">
        <f>IFERROR(INDEX(tblNetflix[type],MATCH($A2523,tblNetflix[show_id],0)),"")</f>
        <v/>
      </c>
      <c r="D2523" s="19">
        <f>IFERROR(INDEX(tblNetflix[rating],MATCH($A2523,tblNetflix[show_id],0)),"")</f>
        <v/>
      </c>
      <c r="E2523" s="19">
        <f>IFERROR(INDEX(tblNetflix[year_added],MATCH($A2523,tblNetflix[show_id],0)),"")</f>
        <v/>
      </c>
      <c r="F2523" s="19">
        <f>IF(AND(OR(YearFilter="All",$E2523=YearFilter),OR(RatingFilter="All",$D2523=RatingFilter),OR(TypeFilter="All",$C2523=TypeFilter)),1,0)</f>
        <v/>
      </c>
    </row>
    <row r="2524" ht="15" customHeight="1" s="20">
      <c r="A2524" s="19" t="inlineStr">
        <is>
          <t>s7833</t>
        </is>
      </c>
      <c r="B2524" s="19" t="inlineStr">
        <is>
          <t>Thrillers</t>
        </is>
      </c>
      <c r="C2524" s="19">
        <f>IFERROR(INDEX(tblNetflix[type],MATCH($A2524,tblNetflix[show_id],0)),"")</f>
        <v/>
      </c>
      <c r="D2524" s="19">
        <f>IFERROR(INDEX(tblNetflix[rating],MATCH($A2524,tblNetflix[show_id],0)),"")</f>
        <v/>
      </c>
      <c r="E2524" s="19">
        <f>IFERROR(INDEX(tblNetflix[year_added],MATCH($A2524,tblNetflix[show_id],0)),"")</f>
        <v/>
      </c>
      <c r="F2524" s="19">
        <f>IF(AND(OR(YearFilter="All",$E2524=YearFilter),OR(RatingFilter="All",$D2524=RatingFilter),OR(TypeFilter="All",$C2524=TypeFilter)),1,0)</f>
        <v/>
      </c>
    </row>
    <row r="2525" ht="15" customHeight="1" s="20">
      <c r="A2525" s="19" t="inlineStr">
        <is>
          <t>s7836</t>
        </is>
      </c>
      <c r="B2525" s="19" t="inlineStr">
        <is>
          <t>International TV Shows</t>
        </is>
      </c>
      <c r="C2525" s="19">
        <f>IFERROR(INDEX(tblNetflix[type],MATCH($A2525,tblNetflix[show_id],0)),"")</f>
        <v/>
      </c>
      <c r="D2525" s="19">
        <f>IFERROR(INDEX(tblNetflix[rating],MATCH($A2525,tblNetflix[show_id],0)),"")</f>
        <v/>
      </c>
      <c r="E2525" s="19">
        <f>IFERROR(INDEX(tblNetflix[year_added],MATCH($A2525,tblNetflix[show_id],0)),"")</f>
        <v/>
      </c>
      <c r="F2525" s="19">
        <f>IF(AND(OR(YearFilter="All",$E2525=YearFilter),OR(RatingFilter="All",$D2525=RatingFilter),OR(TypeFilter="All",$C2525=TypeFilter)),1,0)</f>
        <v/>
      </c>
    </row>
    <row r="2526" ht="15" customHeight="1" s="20">
      <c r="A2526" s="19" t="inlineStr">
        <is>
          <t>s7836</t>
        </is>
      </c>
      <c r="B2526" s="19" t="inlineStr">
        <is>
          <t>Romantic TV Shows</t>
        </is>
      </c>
      <c r="C2526" s="19">
        <f>IFERROR(INDEX(tblNetflix[type],MATCH($A2526,tblNetflix[show_id],0)),"")</f>
        <v/>
      </c>
      <c r="D2526" s="19">
        <f>IFERROR(INDEX(tblNetflix[rating],MATCH($A2526,tblNetflix[show_id],0)),"")</f>
        <v/>
      </c>
      <c r="E2526" s="19">
        <f>IFERROR(INDEX(tblNetflix[year_added],MATCH($A2526,tblNetflix[show_id],0)),"")</f>
        <v/>
      </c>
      <c r="F2526" s="19">
        <f>IF(AND(OR(YearFilter="All",$E2526=YearFilter),OR(RatingFilter="All",$D2526=RatingFilter),OR(TypeFilter="All",$C2526=TypeFilter)),1,0)</f>
        <v/>
      </c>
    </row>
    <row r="2527" ht="15" customHeight="1" s="20">
      <c r="A2527" s="19" t="inlineStr">
        <is>
          <t>s7836</t>
        </is>
      </c>
      <c r="B2527" s="19" t="inlineStr">
        <is>
          <t>TV Dramas</t>
        </is>
      </c>
      <c r="C2527" s="19">
        <f>IFERROR(INDEX(tblNetflix[type],MATCH($A2527,tblNetflix[show_id],0)),"")</f>
        <v/>
      </c>
      <c r="D2527" s="19">
        <f>IFERROR(INDEX(tblNetflix[rating],MATCH($A2527,tblNetflix[show_id],0)),"")</f>
        <v/>
      </c>
      <c r="E2527" s="19">
        <f>IFERROR(INDEX(tblNetflix[year_added],MATCH($A2527,tblNetflix[show_id],0)),"")</f>
        <v/>
      </c>
      <c r="F2527" s="19">
        <f>IF(AND(OR(YearFilter="All",$E2527=YearFilter),OR(RatingFilter="All",$D2527=RatingFilter),OR(TypeFilter="All",$C2527=TypeFilter)),1,0)</f>
        <v/>
      </c>
    </row>
    <row r="2528" ht="15" customHeight="1" s="20">
      <c r="A2528" s="19" t="inlineStr">
        <is>
          <t>s7838</t>
        </is>
      </c>
      <c r="B2528" s="19" t="inlineStr">
        <is>
          <t>Comedies</t>
        </is>
      </c>
      <c r="C2528" s="19">
        <f>IFERROR(INDEX(tblNetflix[type],MATCH($A2528,tblNetflix[show_id],0)),"")</f>
        <v/>
      </c>
      <c r="D2528" s="19">
        <f>IFERROR(INDEX(tblNetflix[rating],MATCH($A2528,tblNetflix[show_id],0)),"")</f>
        <v/>
      </c>
      <c r="E2528" s="19">
        <f>IFERROR(INDEX(tblNetflix[year_added],MATCH($A2528,tblNetflix[show_id],0)),"")</f>
        <v/>
      </c>
      <c r="F2528" s="19">
        <f>IF(AND(OR(YearFilter="All",$E2528=YearFilter),OR(RatingFilter="All",$D2528=RatingFilter),OR(TypeFilter="All",$C2528=TypeFilter)),1,0)</f>
        <v/>
      </c>
    </row>
    <row r="2529" ht="15" customHeight="1" s="20">
      <c r="A2529" s="19" t="inlineStr">
        <is>
          <t>s7838</t>
        </is>
      </c>
      <c r="B2529" s="19" t="inlineStr">
        <is>
          <t>International Movies</t>
        </is>
      </c>
      <c r="C2529" s="19">
        <f>IFERROR(INDEX(tblNetflix[type],MATCH($A2529,tblNetflix[show_id],0)),"")</f>
        <v/>
      </c>
      <c r="D2529" s="19">
        <f>IFERROR(INDEX(tblNetflix[rating],MATCH($A2529,tblNetflix[show_id],0)),"")</f>
        <v/>
      </c>
      <c r="E2529" s="19">
        <f>IFERROR(INDEX(tblNetflix[year_added],MATCH($A2529,tblNetflix[show_id],0)),"")</f>
        <v/>
      </c>
      <c r="F2529" s="19">
        <f>IF(AND(OR(YearFilter="All",$E2529=YearFilter),OR(RatingFilter="All",$D2529=RatingFilter),OR(TypeFilter="All",$C2529=TypeFilter)),1,0)</f>
        <v/>
      </c>
    </row>
    <row r="2530" ht="15" customHeight="1" s="20">
      <c r="A2530" s="19" t="inlineStr">
        <is>
          <t>s7838</t>
        </is>
      </c>
      <c r="B2530" s="19" t="inlineStr">
        <is>
          <t>Romantic Movies</t>
        </is>
      </c>
      <c r="C2530" s="19">
        <f>IFERROR(INDEX(tblNetflix[type],MATCH($A2530,tblNetflix[show_id],0)),"")</f>
        <v/>
      </c>
      <c r="D2530" s="19">
        <f>IFERROR(INDEX(tblNetflix[rating],MATCH($A2530,tblNetflix[show_id],0)),"")</f>
        <v/>
      </c>
      <c r="E2530" s="19">
        <f>IFERROR(INDEX(tblNetflix[year_added],MATCH($A2530,tblNetflix[show_id],0)),"")</f>
        <v/>
      </c>
      <c r="F2530" s="19">
        <f>IF(AND(OR(YearFilter="All",$E2530=YearFilter),OR(RatingFilter="All",$D2530=RatingFilter),OR(TypeFilter="All",$C2530=TypeFilter)),1,0)</f>
        <v/>
      </c>
    </row>
    <row r="2531" ht="15" customHeight="1" s="20">
      <c r="A2531" s="19" t="inlineStr">
        <is>
          <t>s7846</t>
        </is>
      </c>
      <c r="B2531" s="19" t="inlineStr">
        <is>
          <t>Dramas</t>
        </is>
      </c>
      <c r="C2531" s="19">
        <f>IFERROR(INDEX(tblNetflix[type],MATCH($A2531,tblNetflix[show_id],0)),"")</f>
        <v/>
      </c>
      <c r="D2531" s="19">
        <f>IFERROR(INDEX(tblNetflix[rating],MATCH($A2531,tblNetflix[show_id],0)),"")</f>
        <v/>
      </c>
      <c r="E2531" s="19">
        <f>IFERROR(INDEX(tblNetflix[year_added],MATCH($A2531,tblNetflix[show_id],0)),"")</f>
        <v/>
      </c>
      <c r="F2531" s="19">
        <f>IF(AND(OR(YearFilter="All",$E2531=YearFilter),OR(RatingFilter="All",$D2531=RatingFilter),OR(TypeFilter="All",$C2531=TypeFilter)),1,0)</f>
        <v/>
      </c>
    </row>
    <row r="2532" ht="15" customHeight="1" s="20">
      <c r="A2532" s="19" t="inlineStr">
        <is>
          <t>s7846</t>
        </is>
      </c>
      <c r="B2532" s="19" t="inlineStr">
        <is>
          <t>International Movies</t>
        </is>
      </c>
      <c r="C2532" s="19">
        <f>IFERROR(INDEX(tblNetflix[type],MATCH($A2532,tblNetflix[show_id],0)),"")</f>
        <v/>
      </c>
      <c r="D2532" s="19">
        <f>IFERROR(INDEX(tblNetflix[rating],MATCH($A2532,tblNetflix[show_id],0)),"")</f>
        <v/>
      </c>
      <c r="E2532" s="19">
        <f>IFERROR(INDEX(tblNetflix[year_added],MATCH($A2532,tblNetflix[show_id],0)),"")</f>
        <v/>
      </c>
      <c r="F2532" s="19">
        <f>IF(AND(OR(YearFilter="All",$E2532=YearFilter),OR(RatingFilter="All",$D2532=RatingFilter),OR(TypeFilter="All",$C2532=TypeFilter)),1,0)</f>
        <v/>
      </c>
    </row>
    <row r="2533" ht="15" customHeight="1" s="20">
      <c r="A2533" s="19" t="inlineStr">
        <is>
          <t>s7862</t>
        </is>
      </c>
      <c r="B2533" s="19" t="inlineStr">
        <is>
          <t>Dramas</t>
        </is>
      </c>
      <c r="C2533" s="19">
        <f>IFERROR(INDEX(tblNetflix[type],MATCH($A2533,tblNetflix[show_id],0)),"")</f>
        <v/>
      </c>
      <c r="D2533" s="19">
        <f>IFERROR(INDEX(tblNetflix[rating],MATCH($A2533,tblNetflix[show_id],0)),"")</f>
        <v/>
      </c>
      <c r="E2533" s="19">
        <f>IFERROR(INDEX(tblNetflix[year_added],MATCH($A2533,tblNetflix[show_id],0)),"")</f>
        <v/>
      </c>
      <c r="F2533" s="19">
        <f>IF(AND(OR(YearFilter="All",$E2533=YearFilter),OR(RatingFilter="All",$D2533=RatingFilter),OR(TypeFilter="All",$C2533=TypeFilter)),1,0)</f>
        <v/>
      </c>
    </row>
    <row r="2534" ht="15" customHeight="1" s="20">
      <c r="A2534" s="19" t="inlineStr">
        <is>
          <t>s7862</t>
        </is>
      </c>
      <c r="B2534" s="19" t="inlineStr">
        <is>
          <t>International Movies</t>
        </is>
      </c>
      <c r="C2534" s="19">
        <f>IFERROR(INDEX(tblNetflix[type],MATCH($A2534,tblNetflix[show_id],0)),"")</f>
        <v/>
      </c>
      <c r="D2534" s="19">
        <f>IFERROR(INDEX(tblNetflix[rating],MATCH($A2534,tblNetflix[show_id],0)),"")</f>
        <v/>
      </c>
      <c r="E2534" s="19">
        <f>IFERROR(INDEX(tblNetflix[year_added],MATCH($A2534,tblNetflix[show_id],0)),"")</f>
        <v/>
      </c>
      <c r="F2534" s="19">
        <f>IF(AND(OR(YearFilter="All",$E2534=YearFilter),OR(RatingFilter="All",$D2534=RatingFilter),OR(TypeFilter="All",$C2534=TypeFilter)),1,0)</f>
        <v/>
      </c>
    </row>
    <row r="2535" ht="15" customHeight="1" s="20">
      <c r="A2535" s="19" t="inlineStr">
        <is>
          <t>s7870</t>
        </is>
      </c>
      <c r="B2535" s="19" t="inlineStr">
        <is>
          <t>Dramas</t>
        </is>
      </c>
      <c r="C2535" s="19">
        <f>IFERROR(INDEX(tblNetflix[type],MATCH($A2535,tblNetflix[show_id],0)),"")</f>
        <v/>
      </c>
      <c r="D2535" s="19">
        <f>IFERROR(INDEX(tblNetflix[rating],MATCH($A2535,tblNetflix[show_id],0)),"")</f>
        <v/>
      </c>
      <c r="E2535" s="19">
        <f>IFERROR(INDEX(tblNetflix[year_added],MATCH($A2535,tblNetflix[show_id],0)),"")</f>
        <v/>
      </c>
      <c r="F2535" s="19">
        <f>IF(AND(OR(YearFilter="All",$E2535=YearFilter),OR(RatingFilter="All",$D2535=RatingFilter),OR(TypeFilter="All",$C2535=TypeFilter)),1,0)</f>
        <v/>
      </c>
    </row>
    <row r="2536" ht="15" customHeight="1" s="20">
      <c r="A2536" s="19" t="inlineStr">
        <is>
          <t>s7870</t>
        </is>
      </c>
      <c r="B2536" s="19" t="inlineStr">
        <is>
          <t>International Movies</t>
        </is>
      </c>
      <c r="C2536" s="19">
        <f>IFERROR(INDEX(tblNetflix[type],MATCH($A2536,tblNetflix[show_id],0)),"")</f>
        <v/>
      </c>
      <c r="D2536" s="19">
        <f>IFERROR(INDEX(tblNetflix[rating],MATCH($A2536,tblNetflix[show_id],0)),"")</f>
        <v/>
      </c>
      <c r="E2536" s="19">
        <f>IFERROR(INDEX(tblNetflix[year_added],MATCH($A2536,tblNetflix[show_id],0)),"")</f>
        <v/>
      </c>
      <c r="F2536" s="19">
        <f>IF(AND(OR(YearFilter="All",$E2536=YearFilter),OR(RatingFilter="All",$D2536=RatingFilter),OR(TypeFilter="All",$C2536=TypeFilter)),1,0)</f>
        <v/>
      </c>
    </row>
    <row r="2537" ht="15" customHeight="1" s="20">
      <c r="A2537" s="19" t="inlineStr">
        <is>
          <t>s7872</t>
        </is>
      </c>
      <c r="B2537" s="19" t="inlineStr">
        <is>
          <t>Horror Movies</t>
        </is>
      </c>
      <c r="C2537" s="19">
        <f>IFERROR(INDEX(tblNetflix[type],MATCH($A2537,tblNetflix[show_id],0)),"")</f>
        <v/>
      </c>
      <c r="D2537" s="19">
        <f>IFERROR(INDEX(tblNetflix[rating],MATCH($A2537,tblNetflix[show_id],0)),"")</f>
        <v/>
      </c>
      <c r="E2537" s="19">
        <f>IFERROR(INDEX(tblNetflix[year_added],MATCH($A2537,tblNetflix[show_id],0)),"")</f>
        <v/>
      </c>
      <c r="F2537" s="19">
        <f>IF(AND(OR(YearFilter="All",$E2537=YearFilter),OR(RatingFilter="All",$D2537=RatingFilter),OR(TypeFilter="All",$C2537=TypeFilter)),1,0)</f>
        <v/>
      </c>
    </row>
    <row r="2538" ht="15" customHeight="1" s="20">
      <c r="A2538" s="19" t="inlineStr">
        <is>
          <t>s7872</t>
        </is>
      </c>
      <c r="B2538" s="19" t="inlineStr">
        <is>
          <t>International Movies</t>
        </is>
      </c>
      <c r="C2538" s="19">
        <f>IFERROR(INDEX(tblNetflix[type],MATCH($A2538,tblNetflix[show_id],0)),"")</f>
        <v/>
      </c>
      <c r="D2538" s="19">
        <f>IFERROR(INDEX(tblNetflix[rating],MATCH($A2538,tblNetflix[show_id],0)),"")</f>
        <v/>
      </c>
      <c r="E2538" s="19">
        <f>IFERROR(INDEX(tblNetflix[year_added],MATCH($A2538,tblNetflix[show_id],0)),"")</f>
        <v/>
      </c>
      <c r="F2538" s="19">
        <f>IF(AND(OR(YearFilter="All",$E2538=YearFilter),OR(RatingFilter="All",$D2538=RatingFilter),OR(TypeFilter="All",$C2538=TypeFilter)),1,0)</f>
        <v/>
      </c>
    </row>
    <row r="2539" ht="15" customHeight="1" s="20">
      <c r="A2539" s="19" t="inlineStr">
        <is>
          <t>s7873</t>
        </is>
      </c>
      <c r="B2539" s="19" t="inlineStr">
        <is>
          <t>International TV Shows</t>
        </is>
      </c>
      <c r="C2539" s="19">
        <f>IFERROR(INDEX(tblNetflix[type],MATCH($A2539,tblNetflix[show_id],0)),"")</f>
        <v/>
      </c>
      <c r="D2539" s="19">
        <f>IFERROR(INDEX(tblNetflix[rating],MATCH($A2539,tblNetflix[show_id],0)),"")</f>
        <v/>
      </c>
      <c r="E2539" s="19">
        <f>IFERROR(INDEX(tblNetflix[year_added],MATCH($A2539,tblNetflix[show_id],0)),"")</f>
        <v/>
      </c>
      <c r="F2539" s="19">
        <f>IF(AND(OR(YearFilter="All",$E2539=YearFilter),OR(RatingFilter="All",$D2539=RatingFilter),OR(TypeFilter="All",$C2539=TypeFilter)),1,0)</f>
        <v/>
      </c>
    </row>
    <row r="2540" ht="15" customHeight="1" s="20">
      <c r="A2540" s="19" t="inlineStr">
        <is>
          <t>s7873</t>
        </is>
      </c>
      <c r="B2540" s="19" t="inlineStr">
        <is>
          <t>Romantic TV Shows</t>
        </is>
      </c>
      <c r="C2540" s="19">
        <f>IFERROR(INDEX(tblNetflix[type],MATCH($A2540,tblNetflix[show_id],0)),"")</f>
        <v/>
      </c>
      <c r="D2540" s="19">
        <f>IFERROR(INDEX(tblNetflix[rating],MATCH($A2540,tblNetflix[show_id],0)),"")</f>
        <v/>
      </c>
      <c r="E2540" s="19">
        <f>IFERROR(INDEX(tblNetflix[year_added],MATCH($A2540,tblNetflix[show_id],0)),"")</f>
        <v/>
      </c>
      <c r="F2540" s="19">
        <f>IF(AND(OR(YearFilter="All",$E2540=YearFilter),OR(RatingFilter="All",$D2540=RatingFilter),OR(TypeFilter="All",$C2540=TypeFilter)),1,0)</f>
        <v/>
      </c>
    </row>
    <row r="2541" ht="15" customHeight="1" s="20">
      <c r="A2541" s="19" t="inlineStr">
        <is>
          <t>s7873</t>
        </is>
      </c>
      <c r="B2541" s="19" t="inlineStr">
        <is>
          <t>TV Comedies</t>
        </is>
      </c>
      <c r="C2541" s="19">
        <f>IFERROR(INDEX(tblNetflix[type],MATCH($A2541,tblNetflix[show_id],0)),"")</f>
        <v/>
      </c>
      <c r="D2541" s="19">
        <f>IFERROR(INDEX(tblNetflix[rating],MATCH($A2541,tblNetflix[show_id],0)),"")</f>
        <v/>
      </c>
      <c r="E2541" s="19">
        <f>IFERROR(INDEX(tblNetflix[year_added],MATCH($A2541,tblNetflix[show_id],0)),"")</f>
        <v/>
      </c>
      <c r="F2541" s="19">
        <f>IF(AND(OR(YearFilter="All",$E2541=YearFilter),OR(RatingFilter="All",$D2541=RatingFilter),OR(TypeFilter="All",$C2541=TypeFilter)),1,0)</f>
        <v/>
      </c>
    </row>
    <row r="2542" ht="15" customHeight="1" s="20">
      <c r="A2542" s="19" t="inlineStr">
        <is>
          <t>s7874</t>
        </is>
      </c>
      <c r="B2542" s="19" t="inlineStr">
        <is>
          <t>Dramas</t>
        </is>
      </c>
      <c r="C2542" s="19">
        <f>IFERROR(INDEX(tblNetflix[type],MATCH($A2542,tblNetflix[show_id],0)),"")</f>
        <v/>
      </c>
      <c r="D2542" s="19">
        <f>IFERROR(INDEX(tblNetflix[rating],MATCH($A2542,tblNetflix[show_id],0)),"")</f>
        <v/>
      </c>
      <c r="E2542" s="19">
        <f>IFERROR(INDEX(tblNetflix[year_added],MATCH($A2542,tblNetflix[show_id],0)),"")</f>
        <v/>
      </c>
      <c r="F2542" s="19">
        <f>IF(AND(OR(YearFilter="All",$E2542=YearFilter),OR(RatingFilter="All",$D2542=RatingFilter),OR(TypeFilter="All",$C2542=TypeFilter)),1,0)</f>
        <v/>
      </c>
    </row>
    <row r="2543" ht="15" customHeight="1" s="20">
      <c r="A2543" s="19" t="inlineStr">
        <is>
          <t>s7874</t>
        </is>
      </c>
      <c r="B2543" s="19" t="inlineStr">
        <is>
          <t>Independent Movies</t>
        </is>
      </c>
      <c r="C2543" s="19">
        <f>IFERROR(INDEX(tblNetflix[type],MATCH($A2543,tblNetflix[show_id],0)),"")</f>
        <v/>
      </c>
      <c r="D2543" s="19">
        <f>IFERROR(INDEX(tblNetflix[rating],MATCH($A2543,tblNetflix[show_id],0)),"")</f>
        <v/>
      </c>
      <c r="E2543" s="19">
        <f>IFERROR(INDEX(tblNetflix[year_added],MATCH($A2543,tblNetflix[show_id],0)),"")</f>
        <v/>
      </c>
      <c r="F2543" s="19">
        <f>IF(AND(OR(YearFilter="All",$E2543=YearFilter),OR(RatingFilter="All",$D2543=RatingFilter),OR(TypeFilter="All",$C2543=TypeFilter)),1,0)</f>
        <v/>
      </c>
    </row>
    <row r="2544" ht="15" customHeight="1" s="20">
      <c r="A2544" s="19" t="inlineStr">
        <is>
          <t>s7874</t>
        </is>
      </c>
      <c r="B2544" s="19" t="inlineStr">
        <is>
          <t>International Movies</t>
        </is>
      </c>
      <c r="C2544" s="19">
        <f>IFERROR(INDEX(tblNetflix[type],MATCH($A2544,tblNetflix[show_id],0)),"")</f>
        <v/>
      </c>
      <c r="D2544" s="19">
        <f>IFERROR(INDEX(tblNetflix[rating],MATCH($A2544,tblNetflix[show_id],0)),"")</f>
        <v/>
      </c>
      <c r="E2544" s="19">
        <f>IFERROR(INDEX(tblNetflix[year_added],MATCH($A2544,tblNetflix[show_id],0)),"")</f>
        <v/>
      </c>
      <c r="F2544" s="19">
        <f>IF(AND(OR(YearFilter="All",$E2544=YearFilter),OR(RatingFilter="All",$D2544=RatingFilter),OR(TypeFilter="All",$C2544=TypeFilter)),1,0)</f>
        <v/>
      </c>
    </row>
    <row r="2545" ht="15" customHeight="1" s="20">
      <c r="A2545" s="19" t="inlineStr">
        <is>
          <t>s7875</t>
        </is>
      </c>
      <c r="B2545" s="19" t="inlineStr">
        <is>
          <t>Dramas</t>
        </is>
      </c>
      <c r="C2545" s="19">
        <f>IFERROR(INDEX(tblNetflix[type],MATCH($A2545,tblNetflix[show_id],0)),"")</f>
        <v/>
      </c>
      <c r="D2545" s="19">
        <f>IFERROR(INDEX(tblNetflix[rating],MATCH($A2545,tblNetflix[show_id],0)),"")</f>
        <v/>
      </c>
      <c r="E2545" s="19">
        <f>IFERROR(INDEX(tblNetflix[year_added],MATCH($A2545,tblNetflix[show_id],0)),"")</f>
        <v/>
      </c>
      <c r="F2545" s="19">
        <f>IF(AND(OR(YearFilter="All",$E2545=YearFilter),OR(RatingFilter="All",$D2545=RatingFilter),OR(TypeFilter="All",$C2545=TypeFilter)),1,0)</f>
        <v/>
      </c>
    </row>
    <row r="2546" ht="15" customHeight="1" s="20">
      <c r="A2546" s="19" t="inlineStr">
        <is>
          <t>s7875</t>
        </is>
      </c>
      <c r="B2546" s="19" t="inlineStr">
        <is>
          <t>Independent Movies</t>
        </is>
      </c>
      <c r="C2546" s="19">
        <f>IFERROR(INDEX(tblNetflix[type],MATCH($A2546,tblNetflix[show_id],0)),"")</f>
        <v/>
      </c>
      <c r="D2546" s="19">
        <f>IFERROR(INDEX(tblNetflix[rating],MATCH($A2546,tblNetflix[show_id],0)),"")</f>
        <v/>
      </c>
      <c r="E2546" s="19">
        <f>IFERROR(INDEX(tblNetflix[year_added],MATCH($A2546,tblNetflix[show_id],0)),"")</f>
        <v/>
      </c>
      <c r="F2546" s="19">
        <f>IF(AND(OR(YearFilter="All",$E2546=YearFilter),OR(RatingFilter="All",$D2546=RatingFilter),OR(TypeFilter="All",$C2546=TypeFilter)),1,0)</f>
        <v/>
      </c>
    </row>
    <row r="2547" ht="15" customHeight="1" s="20">
      <c r="A2547" s="19" t="inlineStr">
        <is>
          <t>s7875</t>
        </is>
      </c>
      <c r="B2547" s="19" t="inlineStr">
        <is>
          <t>International Movies</t>
        </is>
      </c>
      <c r="C2547" s="19">
        <f>IFERROR(INDEX(tblNetflix[type],MATCH($A2547,tblNetflix[show_id],0)),"")</f>
        <v/>
      </c>
      <c r="D2547" s="19">
        <f>IFERROR(INDEX(tblNetflix[rating],MATCH($A2547,tblNetflix[show_id],0)),"")</f>
        <v/>
      </c>
      <c r="E2547" s="19">
        <f>IFERROR(INDEX(tblNetflix[year_added],MATCH($A2547,tblNetflix[show_id],0)),"")</f>
        <v/>
      </c>
      <c r="F2547" s="19">
        <f>IF(AND(OR(YearFilter="All",$E2547=YearFilter),OR(RatingFilter="All",$D2547=RatingFilter),OR(TypeFilter="All",$C2547=TypeFilter)),1,0)</f>
        <v/>
      </c>
    </row>
    <row r="2548" ht="15" customHeight="1" s="20">
      <c r="A2548" s="19" t="inlineStr">
        <is>
          <t>s7889</t>
        </is>
      </c>
      <c r="B2548" s="19" t="inlineStr">
        <is>
          <t>Action &amp; Adventure</t>
        </is>
      </c>
      <c r="C2548" s="19">
        <f>IFERROR(INDEX(tblNetflix[type],MATCH($A2548,tblNetflix[show_id],0)),"")</f>
        <v/>
      </c>
      <c r="D2548" s="19">
        <f>IFERROR(INDEX(tblNetflix[rating],MATCH($A2548,tblNetflix[show_id],0)),"")</f>
        <v/>
      </c>
      <c r="E2548" s="19">
        <f>IFERROR(INDEX(tblNetflix[year_added],MATCH($A2548,tblNetflix[show_id],0)),"")</f>
        <v/>
      </c>
      <c r="F2548" s="19">
        <f>IF(AND(OR(YearFilter="All",$E2548=YearFilter),OR(RatingFilter="All",$D2548=RatingFilter),OR(TypeFilter="All",$C2548=TypeFilter)),1,0)</f>
        <v/>
      </c>
    </row>
    <row r="2549" ht="15" customHeight="1" s="20">
      <c r="A2549" s="19" t="inlineStr">
        <is>
          <t>s7889</t>
        </is>
      </c>
      <c r="B2549" s="19" t="inlineStr">
        <is>
          <t>Comedies</t>
        </is>
      </c>
      <c r="C2549" s="19">
        <f>IFERROR(INDEX(tblNetflix[type],MATCH($A2549,tblNetflix[show_id],0)),"")</f>
        <v/>
      </c>
      <c r="D2549" s="19">
        <f>IFERROR(INDEX(tblNetflix[rating],MATCH($A2549,tblNetflix[show_id],0)),"")</f>
        <v/>
      </c>
      <c r="E2549" s="19">
        <f>IFERROR(INDEX(tblNetflix[year_added],MATCH($A2549,tblNetflix[show_id],0)),"")</f>
        <v/>
      </c>
      <c r="F2549" s="19">
        <f>IF(AND(OR(YearFilter="All",$E2549=YearFilter),OR(RatingFilter="All",$D2549=RatingFilter),OR(TypeFilter="All",$C2549=TypeFilter)),1,0)</f>
        <v/>
      </c>
    </row>
    <row r="2550" ht="15" customHeight="1" s="20">
      <c r="A2550" s="19" t="inlineStr">
        <is>
          <t>s7889</t>
        </is>
      </c>
      <c r="B2550" s="19" t="inlineStr">
        <is>
          <t>Music &amp; Musicals</t>
        </is>
      </c>
      <c r="C2550" s="19">
        <f>IFERROR(INDEX(tblNetflix[type],MATCH($A2550,tblNetflix[show_id],0)),"")</f>
        <v/>
      </c>
      <c r="D2550" s="19">
        <f>IFERROR(INDEX(tblNetflix[rating],MATCH($A2550,tblNetflix[show_id],0)),"")</f>
        <v/>
      </c>
      <c r="E2550" s="19">
        <f>IFERROR(INDEX(tblNetflix[year_added],MATCH($A2550,tblNetflix[show_id],0)),"")</f>
        <v/>
      </c>
      <c r="F2550" s="19">
        <f>IF(AND(OR(YearFilter="All",$E2550=YearFilter),OR(RatingFilter="All",$D2550=RatingFilter),OR(TypeFilter="All",$C2550=TypeFilter)),1,0)</f>
        <v/>
      </c>
    </row>
    <row r="2551" ht="15" customHeight="1" s="20">
      <c r="A2551" s="19" t="inlineStr">
        <is>
          <t>s7899</t>
        </is>
      </c>
      <c r="B2551" s="19" t="inlineStr">
        <is>
          <t>Dramas</t>
        </is>
      </c>
      <c r="C2551" s="19">
        <f>IFERROR(INDEX(tblNetflix[type],MATCH($A2551,tblNetflix[show_id],0)),"")</f>
        <v/>
      </c>
      <c r="D2551" s="19">
        <f>IFERROR(INDEX(tblNetflix[rating],MATCH($A2551,tblNetflix[show_id],0)),"")</f>
        <v/>
      </c>
      <c r="E2551" s="19">
        <f>IFERROR(INDEX(tblNetflix[year_added],MATCH($A2551,tblNetflix[show_id],0)),"")</f>
        <v/>
      </c>
      <c r="F2551" s="19">
        <f>IF(AND(OR(YearFilter="All",$E2551=YearFilter),OR(RatingFilter="All",$D2551=RatingFilter),OR(TypeFilter="All",$C2551=TypeFilter)),1,0)</f>
        <v/>
      </c>
    </row>
    <row r="2552" ht="15" customHeight="1" s="20">
      <c r="A2552" s="19" t="inlineStr">
        <is>
          <t>s7899</t>
        </is>
      </c>
      <c r="B2552" s="19" t="inlineStr">
        <is>
          <t>Independent Movies</t>
        </is>
      </c>
      <c r="C2552" s="19">
        <f>IFERROR(INDEX(tblNetflix[type],MATCH($A2552,tblNetflix[show_id],0)),"")</f>
        <v/>
      </c>
      <c r="D2552" s="19">
        <f>IFERROR(INDEX(tblNetflix[rating],MATCH($A2552,tblNetflix[show_id],0)),"")</f>
        <v/>
      </c>
      <c r="E2552" s="19">
        <f>IFERROR(INDEX(tblNetflix[year_added],MATCH($A2552,tblNetflix[show_id],0)),"")</f>
        <v/>
      </c>
      <c r="F2552" s="19">
        <f>IF(AND(OR(YearFilter="All",$E2552=YearFilter),OR(RatingFilter="All",$D2552=RatingFilter),OR(TypeFilter="All",$C2552=TypeFilter)),1,0)</f>
        <v/>
      </c>
    </row>
    <row r="2553" ht="15" customHeight="1" s="20">
      <c r="A2553" s="19" t="inlineStr">
        <is>
          <t>s7899</t>
        </is>
      </c>
      <c r="B2553" s="19" t="inlineStr">
        <is>
          <t>International Movies</t>
        </is>
      </c>
      <c r="C2553" s="19">
        <f>IFERROR(INDEX(tblNetflix[type],MATCH($A2553,tblNetflix[show_id],0)),"")</f>
        <v/>
      </c>
      <c r="D2553" s="19">
        <f>IFERROR(INDEX(tblNetflix[rating],MATCH($A2553,tblNetflix[show_id],0)),"")</f>
        <v/>
      </c>
      <c r="E2553" s="19">
        <f>IFERROR(INDEX(tblNetflix[year_added],MATCH($A2553,tblNetflix[show_id],0)),"")</f>
        <v/>
      </c>
      <c r="F2553" s="19">
        <f>IF(AND(OR(YearFilter="All",$E2553=YearFilter),OR(RatingFilter="All",$D2553=RatingFilter),OR(TypeFilter="All",$C2553=TypeFilter)),1,0)</f>
        <v/>
      </c>
    </row>
    <row r="2554" ht="15" customHeight="1" s="20">
      <c r="A2554" s="19" t="inlineStr">
        <is>
          <t>s7903</t>
        </is>
      </c>
      <c r="B2554" s="19" t="inlineStr">
        <is>
          <t>Action &amp; Adventure</t>
        </is>
      </c>
      <c r="C2554" s="19">
        <f>IFERROR(INDEX(tblNetflix[type],MATCH($A2554,tblNetflix[show_id],0)),"")</f>
        <v/>
      </c>
      <c r="D2554" s="19">
        <f>IFERROR(INDEX(tblNetflix[rating],MATCH($A2554,tblNetflix[show_id],0)),"")</f>
        <v/>
      </c>
      <c r="E2554" s="19">
        <f>IFERROR(INDEX(tblNetflix[year_added],MATCH($A2554,tblNetflix[show_id],0)),"")</f>
        <v/>
      </c>
      <c r="F2554" s="19">
        <f>IF(AND(OR(YearFilter="All",$E2554=YearFilter),OR(RatingFilter="All",$D2554=RatingFilter),OR(TypeFilter="All",$C2554=TypeFilter)),1,0)</f>
        <v/>
      </c>
    </row>
    <row r="2555" ht="15" customHeight="1" s="20">
      <c r="A2555" s="19" t="inlineStr">
        <is>
          <t>s7903</t>
        </is>
      </c>
      <c r="B2555" s="19" t="inlineStr">
        <is>
          <t>International Movies</t>
        </is>
      </c>
      <c r="C2555" s="19">
        <f>IFERROR(INDEX(tblNetflix[type],MATCH($A2555,tblNetflix[show_id],0)),"")</f>
        <v/>
      </c>
      <c r="D2555" s="19">
        <f>IFERROR(INDEX(tblNetflix[rating],MATCH($A2555,tblNetflix[show_id],0)),"")</f>
        <v/>
      </c>
      <c r="E2555" s="19">
        <f>IFERROR(INDEX(tblNetflix[year_added],MATCH($A2555,tblNetflix[show_id],0)),"")</f>
        <v/>
      </c>
      <c r="F2555" s="19">
        <f>IF(AND(OR(YearFilter="All",$E2555=YearFilter),OR(RatingFilter="All",$D2555=RatingFilter),OR(TypeFilter="All",$C2555=TypeFilter)),1,0)</f>
        <v/>
      </c>
    </row>
    <row r="2556" ht="15" customHeight="1" s="20">
      <c r="A2556" s="19" t="inlineStr">
        <is>
          <t>s7903</t>
        </is>
      </c>
      <c r="B2556" s="19" t="inlineStr">
        <is>
          <t>Music &amp; Musicals</t>
        </is>
      </c>
      <c r="C2556" s="19">
        <f>IFERROR(INDEX(tblNetflix[type],MATCH($A2556,tblNetflix[show_id],0)),"")</f>
        <v/>
      </c>
      <c r="D2556" s="19">
        <f>IFERROR(INDEX(tblNetflix[rating],MATCH($A2556,tblNetflix[show_id],0)),"")</f>
        <v/>
      </c>
      <c r="E2556" s="19">
        <f>IFERROR(INDEX(tblNetflix[year_added],MATCH($A2556,tblNetflix[show_id],0)),"")</f>
        <v/>
      </c>
      <c r="F2556" s="19">
        <f>IF(AND(OR(YearFilter="All",$E2556=YearFilter),OR(RatingFilter="All",$D2556=RatingFilter),OR(TypeFilter="All",$C2556=TypeFilter)),1,0)</f>
        <v/>
      </c>
    </row>
    <row r="2557" ht="15" customHeight="1" s="20">
      <c r="A2557" s="19" t="inlineStr">
        <is>
          <t>s7911</t>
        </is>
      </c>
      <c r="B2557" s="19" t="inlineStr">
        <is>
          <t>Dramas</t>
        </is>
      </c>
      <c r="C2557" s="19">
        <f>IFERROR(INDEX(tblNetflix[type],MATCH($A2557,tblNetflix[show_id],0)),"")</f>
        <v/>
      </c>
      <c r="D2557" s="19">
        <f>IFERROR(INDEX(tblNetflix[rating],MATCH($A2557,tblNetflix[show_id],0)),"")</f>
        <v/>
      </c>
      <c r="E2557" s="19">
        <f>IFERROR(INDEX(tblNetflix[year_added],MATCH($A2557,tblNetflix[show_id],0)),"")</f>
        <v/>
      </c>
      <c r="F2557" s="19">
        <f>IF(AND(OR(YearFilter="All",$E2557=YearFilter),OR(RatingFilter="All",$D2557=RatingFilter),OR(TypeFilter="All",$C2557=TypeFilter)),1,0)</f>
        <v/>
      </c>
    </row>
    <row r="2558" ht="15" customHeight="1" s="20">
      <c r="A2558" s="19" t="inlineStr">
        <is>
          <t>s7911</t>
        </is>
      </c>
      <c r="B2558" s="19" t="inlineStr">
        <is>
          <t>International Movies</t>
        </is>
      </c>
      <c r="C2558" s="19">
        <f>IFERROR(INDEX(tblNetflix[type],MATCH($A2558,tblNetflix[show_id],0)),"")</f>
        <v/>
      </c>
      <c r="D2558" s="19">
        <f>IFERROR(INDEX(tblNetflix[rating],MATCH($A2558,tblNetflix[show_id],0)),"")</f>
        <v/>
      </c>
      <c r="E2558" s="19">
        <f>IFERROR(INDEX(tblNetflix[year_added],MATCH($A2558,tblNetflix[show_id],0)),"")</f>
        <v/>
      </c>
      <c r="F2558" s="19">
        <f>IF(AND(OR(YearFilter="All",$E2558=YearFilter),OR(RatingFilter="All",$D2558=RatingFilter),OR(TypeFilter="All",$C2558=TypeFilter)),1,0)</f>
        <v/>
      </c>
    </row>
    <row r="2559" ht="15" customHeight="1" s="20">
      <c r="A2559" s="19" t="inlineStr">
        <is>
          <t>s7914</t>
        </is>
      </c>
      <c r="B2559" s="19" t="inlineStr">
        <is>
          <t>Dramas</t>
        </is>
      </c>
      <c r="C2559" s="19">
        <f>IFERROR(INDEX(tblNetflix[type],MATCH($A2559,tblNetflix[show_id],0)),"")</f>
        <v/>
      </c>
      <c r="D2559" s="19">
        <f>IFERROR(INDEX(tblNetflix[rating],MATCH($A2559,tblNetflix[show_id],0)),"")</f>
        <v/>
      </c>
      <c r="E2559" s="19">
        <f>IFERROR(INDEX(tblNetflix[year_added],MATCH($A2559,tblNetflix[show_id],0)),"")</f>
        <v/>
      </c>
      <c r="F2559" s="19">
        <f>IF(AND(OR(YearFilter="All",$E2559=YearFilter),OR(RatingFilter="All",$D2559=RatingFilter),OR(TypeFilter="All",$C2559=TypeFilter)),1,0)</f>
        <v/>
      </c>
    </row>
    <row r="2560" ht="15" customHeight="1" s="20">
      <c r="A2560" s="19" t="inlineStr">
        <is>
          <t>s7914</t>
        </is>
      </c>
      <c r="B2560" s="19" t="inlineStr">
        <is>
          <t>Independent Movies</t>
        </is>
      </c>
      <c r="C2560" s="19">
        <f>IFERROR(INDEX(tblNetflix[type],MATCH($A2560,tblNetflix[show_id],0)),"")</f>
        <v/>
      </c>
      <c r="D2560" s="19">
        <f>IFERROR(INDEX(tblNetflix[rating],MATCH($A2560,tblNetflix[show_id],0)),"")</f>
        <v/>
      </c>
      <c r="E2560" s="19">
        <f>IFERROR(INDEX(tblNetflix[year_added],MATCH($A2560,tblNetflix[show_id],0)),"")</f>
        <v/>
      </c>
      <c r="F2560" s="19">
        <f>IF(AND(OR(YearFilter="All",$E2560=YearFilter),OR(RatingFilter="All",$D2560=RatingFilter),OR(TypeFilter="All",$C2560=TypeFilter)),1,0)</f>
        <v/>
      </c>
    </row>
    <row r="2561" ht="15" customHeight="1" s="20">
      <c r="A2561" s="19" t="inlineStr">
        <is>
          <t>s7914</t>
        </is>
      </c>
      <c r="B2561" s="19" t="inlineStr">
        <is>
          <t>International Movies</t>
        </is>
      </c>
      <c r="C2561" s="19">
        <f>IFERROR(INDEX(tblNetflix[type],MATCH($A2561,tblNetflix[show_id],0)),"")</f>
        <v/>
      </c>
      <c r="D2561" s="19">
        <f>IFERROR(INDEX(tblNetflix[rating],MATCH($A2561,tblNetflix[show_id],0)),"")</f>
        <v/>
      </c>
      <c r="E2561" s="19">
        <f>IFERROR(INDEX(tblNetflix[year_added],MATCH($A2561,tblNetflix[show_id],0)),"")</f>
        <v/>
      </c>
      <c r="F2561" s="19">
        <f>IF(AND(OR(YearFilter="All",$E2561=YearFilter),OR(RatingFilter="All",$D2561=RatingFilter),OR(TypeFilter="All",$C2561=TypeFilter)),1,0)</f>
        <v/>
      </c>
    </row>
    <row r="2562" ht="15" customHeight="1" s="20">
      <c r="A2562" s="19" t="inlineStr">
        <is>
          <t>s7918</t>
        </is>
      </c>
      <c r="B2562" s="19" t="inlineStr">
        <is>
          <t>Dramas</t>
        </is>
      </c>
      <c r="C2562" s="19">
        <f>IFERROR(INDEX(tblNetflix[type],MATCH($A2562,tblNetflix[show_id],0)),"")</f>
        <v/>
      </c>
      <c r="D2562" s="19">
        <f>IFERROR(INDEX(tblNetflix[rating],MATCH($A2562,tblNetflix[show_id],0)),"")</f>
        <v/>
      </c>
      <c r="E2562" s="19">
        <f>IFERROR(INDEX(tblNetflix[year_added],MATCH($A2562,tblNetflix[show_id],0)),"")</f>
        <v/>
      </c>
      <c r="F2562" s="19">
        <f>IF(AND(OR(YearFilter="All",$E2562=YearFilter),OR(RatingFilter="All",$D2562=RatingFilter),OR(TypeFilter="All",$C2562=TypeFilter)),1,0)</f>
        <v/>
      </c>
    </row>
    <row r="2563" ht="15" customHeight="1" s="20">
      <c r="A2563" s="19" t="inlineStr">
        <is>
          <t>s7918</t>
        </is>
      </c>
      <c r="B2563" s="19" t="inlineStr">
        <is>
          <t>International Movies</t>
        </is>
      </c>
      <c r="C2563" s="19">
        <f>IFERROR(INDEX(tblNetflix[type],MATCH($A2563,tblNetflix[show_id],0)),"")</f>
        <v/>
      </c>
      <c r="D2563" s="19">
        <f>IFERROR(INDEX(tblNetflix[rating],MATCH($A2563,tblNetflix[show_id],0)),"")</f>
        <v/>
      </c>
      <c r="E2563" s="19">
        <f>IFERROR(INDEX(tblNetflix[year_added],MATCH($A2563,tblNetflix[show_id],0)),"")</f>
        <v/>
      </c>
      <c r="F2563" s="19">
        <f>IF(AND(OR(YearFilter="All",$E2563=YearFilter),OR(RatingFilter="All",$D2563=RatingFilter),OR(TypeFilter="All",$C2563=TypeFilter)),1,0)</f>
        <v/>
      </c>
    </row>
    <row r="2564" ht="15" customHeight="1" s="20">
      <c r="A2564" s="19" t="inlineStr">
        <is>
          <t>s7918</t>
        </is>
      </c>
      <c r="B2564" s="19" t="inlineStr">
        <is>
          <t>Romantic Movies</t>
        </is>
      </c>
      <c r="C2564" s="19">
        <f>IFERROR(INDEX(tblNetflix[type],MATCH($A2564,tblNetflix[show_id],0)),"")</f>
        <v/>
      </c>
      <c r="D2564" s="19">
        <f>IFERROR(INDEX(tblNetflix[rating],MATCH($A2564,tblNetflix[show_id],0)),"")</f>
        <v/>
      </c>
      <c r="E2564" s="19">
        <f>IFERROR(INDEX(tblNetflix[year_added],MATCH($A2564,tblNetflix[show_id],0)),"")</f>
        <v/>
      </c>
      <c r="F2564" s="19">
        <f>IF(AND(OR(YearFilter="All",$E2564=YearFilter),OR(RatingFilter="All",$D2564=RatingFilter),OR(TypeFilter="All",$C2564=TypeFilter)),1,0)</f>
        <v/>
      </c>
    </row>
    <row r="2565" ht="15" customHeight="1" s="20">
      <c r="A2565" s="19" t="inlineStr">
        <is>
          <t>s7920</t>
        </is>
      </c>
      <c r="B2565" s="19" t="inlineStr">
        <is>
          <t>Documentaries</t>
        </is>
      </c>
      <c r="C2565" s="19">
        <f>IFERROR(INDEX(tblNetflix[type],MATCH($A2565,tblNetflix[show_id],0)),"")</f>
        <v/>
      </c>
      <c r="D2565" s="19">
        <f>IFERROR(INDEX(tblNetflix[rating],MATCH($A2565,tblNetflix[show_id],0)),"")</f>
        <v/>
      </c>
      <c r="E2565" s="19">
        <f>IFERROR(INDEX(tblNetflix[year_added],MATCH($A2565,tblNetflix[show_id],0)),"")</f>
        <v/>
      </c>
      <c r="F2565" s="19">
        <f>IF(AND(OR(YearFilter="All",$E2565=YearFilter),OR(RatingFilter="All",$D2565=RatingFilter),OR(TypeFilter="All",$C2565=TypeFilter)),1,0)</f>
        <v/>
      </c>
    </row>
    <row r="2566" ht="15" customHeight="1" s="20">
      <c r="A2566" s="19" t="inlineStr">
        <is>
          <t>s7920</t>
        </is>
      </c>
      <c r="B2566" s="19" t="inlineStr">
        <is>
          <t>International Movies</t>
        </is>
      </c>
      <c r="C2566" s="19">
        <f>IFERROR(INDEX(tblNetflix[type],MATCH($A2566,tblNetflix[show_id],0)),"")</f>
        <v/>
      </c>
      <c r="D2566" s="19">
        <f>IFERROR(INDEX(tblNetflix[rating],MATCH($A2566,tblNetflix[show_id],0)),"")</f>
        <v/>
      </c>
      <c r="E2566" s="19">
        <f>IFERROR(INDEX(tblNetflix[year_added],MATCH($A2566,tblNetflix[show_id],0)),"")</f>
        <v/>
      </c>
      <c r="F2566" s="19">
        <f>IF(AND(OR(YearFilter="All",$E2566=YearFilter),OR(RatingFilter="All",$D2566=RatingFilter),OR(TypeFilter="All",$C2566=TypeFilter)),1,0)</f>
        <v/>
      </c>
    </row>
    <row r="2567" ht="15" customHeight="1" s="20">
      <c r="A2567" s="19" t="inlineStr">
        <is>
          <t>s7922</t>
        </is>
      </c>
      <c r="B2567" s="19" t="inlineStr">
        <is>
          <t>Dramas</t>
        </is>
      </c>
      <c r="C2567" s="19">
        <f>IFERROR(INDEX(tblNetflix[type],MATCH($A2567,tblNetflix[show_id],0)),"")</f>
        <v/>
      </c>
      <c r="D2567" s="19">
        <f>IFERROR(INDEX(tblNetflix[rating],MATCH($A2567,tblNetflix[show_id],0)),"")</f>
        <v/>
      </c>
      <c r="E2567" s="19">
        <f>IFERROR(INDEX(tblNetflix[year_added],MATCH($A2567,tblNetflix[show_id],0)),"")</f>
        <v/>
      </c>
      <c r="F2567" s="19">
        <f>IF(AND(OR(YearFilter="All",$E2567=YearFilter),OR(RatingFilter="All",$D2567=RatingFilter),OR(TypeFilter="All",$C2567=TypeFilter)),1,0)</f>
        <v/>
      </c>
    </row>
    <row r="2568" ht="15" customHeight="1" s="20">
      <c r="A2568" s="19" t="inlineStr">
        <is>
          <t>s7922</t>
        </is>
      </c>
      <c r="B2568" s="19" t="inlineStr">
        <is>
          <t>International Movies</t>
        </is>
      </c>
      <c r="C2568" s="19">
        <f>IFERROR(INDEX(tblNetflix[type],MATCH($A2568,tblNetflix[show_id],0)),"")</f>
        <v/>
      </c>
      <c r="D2568" s="19">
        <f>IFERROR(INDEX(tblNetflix[rating],MATCH($A2568,tblNetflix[show_id],0)),"")</f>
        <v/>
      </c>
      <c r="E2568" s="19">
        <f>IFERROR(INDEX(tblNetflix[year_added],MATCH($A2568,tblNetflix[show_id],0)),"")</f>
        <v/>
      </c>
      <c r="F2568" s="19">
        <f>IF(AND(OR(YearFilter="All",$E2568=YearFilter),OR(RatingFilter="All",$D2568=RatingFilter),OR(TypeFilter="All",$C2568=TypeFilter)),1,0)</f>
        <v/>
      </c>
    </row>
    <row r="2569" ht="15" customHeight="1" s="20">
      <c r="A2569" s="19" t="inlineStr">
        <is>
          <t>s7923</t>
        </is>
      </c>
      <c r="B2569" s="19" t="inlineStr">
        <is>
          <t>Dramas</t>
        </is>
      </c>
      <c r="C2569" s="19">
        <f>IFERROR(INDEX(tblNetflix[type],MATCH($A2569,tblNetflix[show_id],0)),"")</f>
        <v/>
      </c>
      <c r="D2569" s="19">
        <f>IFERROR(INDEX(tblNetflix[rating],MATCH($A2569,tblNetflix[show_id],0)),"")</f>
        <v/>
      </c>
      <c r="E2569" s="19">
        <f>IFERROR(INDEX(tblNetflix[year_added],MATCH($A2569,tblNetflix[show_id],0)),"")</f>
        <v/>
      </c>
      <c r="F2569" s="19">
        <f>IF(AND(OR(YearFilter="All",$E2569=YearFilter),OR(RatingFilter="All",$D2569=RatingFilter),OR(TypeFilter="All",$C2569=TypeFilter)),1,0)</f>
        <v/>
      </c>
    </row>
    <row r="2570" ht="15" customHeight="1" s="20">
      <c r="A2570" s="19" t="inlineStr">
        <is>
          <t>s7923</t>
        </is>
      </c>
      <c r="B2570" s="19" t="inlineStr">
        <is>
          <t>International Movies</t>
        </is>
      </c>
      <c r="C2570" s="19">
        <f>IFERROR(INDEX(tblNetflix[type],MATCH($A2570,tblNetflix[show_id],0)),"")</f>
        <v/>
      </c>
      <c r="D2570" s="19">
        <f>IFERROR(INDEX(tblNetflix[rating],MATCH($A2570,tblNetflix[show_id],0)),"")</f>
        <v/>
      </c>
      <c r="E2570" s="19">
        <f>IFERROR(INDEX(tblNetflix[year_added],MATCH($A2570,tblNetflix[show_id],0)),"")</f>
        <v/>
      </c>
      <c r="F2570" s="19">
        <f>IF(AND(OR(YearFilter="All",$E2570=YearFilter),OR(RatingFilter="All",$D2570=RatingFilter),OR(TypeFilter="All",$C2570=TypeFilter)),1,0)</f>
        <v/>
      </c>
    </row>
    <row r="2571" ht="15" customHeight="1" s="20">
      <c r="A2571" s="19" t="inlineStr">
        <is>
          <t>s7923</t>
        </is>
      </c>
      <c r="B2571" s="19" t="inlineStr">
        <is>
          <t>Romantic Movies</t>
        </is>
      </c>
      <c r="C2571" s="19">
        <f>IFERROR(INDEX(tblNetflix[type],MATCH($A2571,tblNetflix[show_id],0)),"")</f>
        <v/>
      </c>
      <c r="D2571" s="19">
        <f>IFERROR(INDEX(tblNetflix[rating],MATCH($A2571,tblNetflix[show_id],0)),"")</f>
        <v/>
      </c>
      <c r="E2571" s="19">
        <f>IFERROR(INDEX(tblNetflix[year_added],MATCH($A2571,tblNetflix[show_id],0)),"")</f>
        <v/>
      </c>
      <c r="F2571" s="19">
        <f>IF(AND(OR(YearFilter="All",$E2571=YearFilter),OR(RatingFilter="All",$D2571=RatingFilter),OR(TypeFilter="All",$C2571=TypeFilter)),1,0)</f>
        <v/>
      </c>
    </row>
    <row r="2572" ht="15" customHeight="1" s="20">
      <c r="A2572" s="19" t="inlineStr">
        <is>
          <t>s7924</t>
        </is>
      </c>
      <c r="B2572" s="19" t="inlineStr">
        <is>
          <t>Dramas</t>
        </is>
      </c>
      <c r="C2572" s="19">
        <f>IFERROR(INDEX(tblNetflix[type],MATCH($A2572,tblNetflix[show_id],0)),"")</f>
        <v/>
      </c>
      <c r="D2572" s="19">
        <f>IFERROR(INDEX(tblNetflix[rating],MATCH($A2572,tblNetflix[show_id],0)),"")</f>
        <v/>
      </c>
      <c r="E2572" s="19">
        <f>IFERROR(INDEX(tblNetflix[year_added],MATCH($A2572,tblNetflix[show_id],0)),"")</f>
        <v/>
      </c>
      <c r="F2572" s="19">
        <f>IF(AND(OR(YearFilter="All",$E2572=YearFilter),OR(RatingFilter="All",$D2572=RatingFilter),OR(TypeFilter="All",$C2572=TypeFilter)),1,0)</f>
        <v/>
      </c>
    </row>
    <row r="2573" ht="15" customHeight="1" s="20">
      <c r="A2573" s="19" t="inlineStr">
        <is>
          <t>s7924</t>
        </is>
      </c>
      <c r="B2573" s="19" t="inlineStr">
        <is>
          <t>International Movies</t>
        </is>
      </c>
      <c r="C2573" s="19">
        <f>IFERROR(INDEX(tblNetflix[type],MATCH($A2573,tblNetflix[show_id],0)),"")</f>
        <v/>
      </c>
      <c r="D2573" s="19">
        <f>IFERROR(INDEX(tblNetflix[rating],MATCH($A2573,tblNetflix[show_id],0)),"")</f>
        <v/>
      </c>
      <c r="E2573" s="19">
        <f>IFERROR(INDEX(tblNetflix[year_added],MATCH($A2573,tblNetflix[show_id],0)),"")</f>
        <v/>
      </c>
      <c r="F2573" s="19">
        <f>IF(AND(OR(YearFilter="All",$E2573=YearFilter),OR(RatingFilter="All",$D2573=RatingFilter),OR(TypeFilter="All",$C2573=TypeFilter)),1,0)</f>
        <v/>
      </c>
    </row>
    <row r="2574" ht="15" customHeight="1" s="20">
      <c r="A2574" s="19" t="inlineStr">
        <is>
          <t>s7924</t>
        </is>
      </c>
      <c r="B2574" s="19" t="inlineStr">
        <is>
          <t>Music &amp; Musicals</t>
        </is>
      </c>
      <c r="C2574" s="19">
        <f>IFERROR(INDEX(tblNetflix[type],MATCH($A2574,tblNetflix[show_id],0)),"")</f>
        <v/>
      </c>
      <c r="D2574" s="19">
        <f>IFERROR(INDEX(tblNetflix[rating],MATCH($A2574,tblNetflix[show_id],0)),"")</f>
        <v/>
      </c>
      <c r="E2574" s="19">
        <f>IFERROR(INDEX(tblNetflix[year_added],MATCH($A2574,tblNetflix[show_id],0)),"")</f>
        <v/>
      </c>
      <c r="F2574" s="19">
        <f>IF(AND(OR(YearFilter="All",$E2574=YearFilter),OR(RatingFilter="All",$D2574=RatingFilter),OR(TypeFilter="All",$C2574=TypeFilter)),1,0)</f>
        <v/>
      </c>
    </row>
    <row r="2575" ht="15" customHeight="1" s="20">
      <c r="A2575" s="19" t="inlineStr">
        <is>
          <t>s7926</t>
        </is>
      </c>
      <c r="B2575" s="19" t="inlineStr">
        <is>
          <t>Dramas</t>
        </is>
      </c>
      <c r="C2575" s="19">
        <f>IFERROR(INDEX(tblNetflix[type],MATCH($A2575,tblNetflix[show_id],0)),"")</f>
        <v/>
      </c>
      <c r="D2575" s="19">
        <f>IFERROR(INDEX(tblNetflix[rating],MATCH($A2575,tblNetflix[show_id],0)),"")</f>
        <v/>
      </c>
      <c r="E2575" s="19">
        <f>IFERROR(INDEX(tblNetflix[year_added],MATCH($A2575,tblNetflix[show_id],0)),"")</f>
        <v/>
      </c>
      <c r="F2575" s="19">
        <f>IF(AND(OR(YearFilter="All",$E2575=YearFilter),OR(RatingFilter="All",$D2575=RatingFilter),OR(TypeFilter="All",$C2575=TypeFilter)),1,0)</f>
        <v/>
      </c>
    </row>
    <row r="2576" ht="15" customHeight="1" s="20">
      <c r="A2576" s="19" t="inlineStr">
        <is>
          <t>s7926</t>
        </is>
      </c>
      <c r="B2576" s="19" t="inlineStr">
        <is>
          <t>International Movies</t>
        </is>
      </c>
      <c r="C2576" s="19">
        <f>IFERROR(INDEX(tblNetflix[type],MATCH($A2576,tblNetflix[show_id],0)),"")</f>
        <v/>
      </c>
      <c r="D2576" s="19">
        <f>IFERROR(INDEX(tblNetflix[rating],MATCH($A2576,tblNetflix[show_id],0)),"")</f>
        <v/>
      </c>
      <c r="E2576" s="19">
        <f>IFERROR(INDEX(tblNetflix[year_added],MATCH($A2576,tblNetflix[show_id],0)),"")</f>
        <v/>
      </c>
      <c r="F2576" s="19">
        <f>IF(AND(OR(YearFilter="All",$E2576=YearFilter),OR(RatingFilter="All",$D2576=RatingFilter),OR(TypeFilter="All",$C2576=TypeFilter)),1,0)</f>
        <v/>
      </c>
    </row>
    <row r="2577" ht="15" customHeight="1" s="20">
      <c r="A2577" s="19" t="inlineStr">
        <is>
          <t>s7927</t>
        </is>
      </c>
      <c r="B2577" s="19" t="inlineStr">
        <is>
          <t>Dramas</t>
        </is>
      </c>
      <c r="C2577" s="19">
        <f>IFERROR(INDEX(tblNetflix[type],MATCH($A2577,tblNetflix[show_id],0)),"")</f>
        <v/>
      </c>
      <c r="D2577" s="19">
        <f>IFERROR(INDEX(tblNetflix[rating],MATCH($A2577,tblNetflix[show_id],0)),"")</f>
        <v/>
      </c>
      <c r="E2577" s="19">
        <f>IFERROR(INDEX(tblNetflix[year_added],MATCH($A2577,tblNetflix[show_id],0)),"")</f>
        <v/>
      </c>
      <c r="F2577" s="19">
        <f>IF(AND(OR(YearFilter="All",$E2577=YearFilter),OR(RatingFilter="All",$D2577=RatingFilter),OR(TypeFilter="All",$C2577=TypeFilter)),1,0)</f>
        <v/>
      </c>
    </row>
    <row r="2578" ht="15" customHeight="1" s="20">
      <c r="A2578" s="19" t="inlineStr">
        <is>
          <t>s7927</t>
        </is>
      </c>
      <c r="B2578" s="19" t="inlineStr">
        <is>
          <t>International Movies</t>
        </is>
      </c>
      <c r="C2578" s="19">
        <f>IFERROR(INDEX(tblNetflix[type],MATCH($A2578,tblNetflix[show_id],0)),"")</f>
        <v/>
      </c>
      <c r="D2578" s="19">
        <f>IFERROR(INDEX(tblNetflix[rating],MATCH($A2578,tblNetflix[show_id],0)),"")</f>
        <v/>
      </c>
      <c r="E2578" s="19">
        <f>IFERROR(INDEX(tblNetflix[year_added],MATCH($A2578,tblNetflix[show_id],0)),"")</f>
        <v/>
      </c>
      <c r="F2578" s="19">
        <f>IF(AND(OR(YearFilter="All",$E2578=YearFilter),OR(RatingFilter="All",$D2578=RatingFilter),OR(TypeFilter="All",$C2578=TypeFilter)),1,0)</f>
        <v/>
      </c>
    </row>
    <row r="2579" ht="15" customHeight="1" s="20">
      <c r="A2579" s="19" t="inlineStr">
        <is>
          <t>s7932</t>
        </is>
      </c>
      <c r="B2579" s="19" t="inlineStr">
        <is>
          <t>Comedies</t>
        </is>
      </c>
      <c r="C2579" s="19">
        <f>IFERROR(INDEX(tblNetflix[type],MATCH($A2579,tblNetflix[show_id],0)),"")</f>
        <v/>
      </c>
      <c r="D2579" s="19">
        <f>IFERROR(INDEX(tblNetflix[rating],MATCH($A2579,tblNetflix[show_id],0)),"")</f>
        <v/>
      </c>
      <c r="E2579" s="19">
        <f>IFERROR(INDEX(tblNetflix[year_added],MATCH($A2579,tblNetflix[show_id],0)),"")</f>
        <v/>
      </c>
      <c r="F2579" s="19">
        <f>IF(AND(OR(YearFilter="All",$E2579=YearFilter),OR(RatingFilter="All",$D2579=RatingFilter),OR(TypeFilter="All",$C2579=TypeFilter)),1,0)</f>
        <v/>
      </c>
    </row>
    <row r="2580" ht="15" customHeight="1" s="20">
      <c r="A2580" s="19" t="inlineStr">
        <is>
          <t>s7932</t>
        </is>
      </c>
      <c r="B2580" s="19" t="inlineStr">
        <is>
          <t>Dramas</t>
        </is>
      </c>
      <c r="C2580" s="19">
        <f>IFERROR(INDEX(tblNetflix[type],MATCH($A2580,tblNetflix[show_id],0)),"")</f>
        <v/>
      </c>
      <c r="D2580" s="19">
        <f>IFERROR(INDEX(tblNetflix[rating],MATCH($A2580,tblNetflix[show_id],0)),"")</f>
        <v/>
      </c>
      <c r="E2580" s="19">
        <f>IFERROR(INDEX(tblNetflix[year_added],MATCH($A2580,tblNetflix[show_id],0)),"")</f>
        <v/>
      </c>
      <c r="F2580" s="19">
        <f>IF(AND(OR(YearFilter="All",$E2580=YearFilter),OR(RatingFilter="All",$D2580=RatingFilter),OR(TypeFilter="All",$C2580=TypeFilter)),1,0)</f>
        <v/>
      </c>
    </row>
    <row r="2581" ht="15" customHeight="1" s="20">
      <c r="A2581" s="19" t="inlineStr">
        <is>
          <t>s7932</t>
        </is>
      </c>
      <c r="B2581" s="19" t="inlineStr">
        <is>
          <t>International Movies</t>
        </is>
      </c>
      <c r="C2581" s="19">
        <f>IFERROR(INDEX(tblNetflix[type],MATCH($A2581,tblNetflix[show_id],0)),"")</f>
        <v/>
      </c>
      <c r="D2581" s="19">
        <f>IFERROR(INDEX(tblNetflix[rating],MATCH($A2581,tblNetflix[show_id],0)),"")</f>
        <v/>
      </c>
      <c r="E2581" s="19">
        <f>IFERROR(INDEX(tblNetflix[year_added],MATCH($A2581,tblNetflix[show_id],0)),"")</f>
        <v/>
      </c>
      <c r="F2581" s="19">
        <f>IF(AND(OR(YearFilter="All",$E2581=YearFilter),OR(RatingFilter="All",$D2581=RatingFilter),OR(TypeFilter="All",$C2581=TypeFilter)),1,0)</f>
        <v/>
      </c>
    </row>
    <row r="2582" ht="15" customHeight="1" s="20">
      <c r="A2582" s="19" t="inlineStr">
        <is>
          <t>s7933</t>
        </is>
      </c>
      <c r="B2582" s="19" t="inlineStr">
        <is>
          <t>Classic Movies</t>
        </is>
      </c>
      <c r="C2582" s="19">
        <f>IFERROR(INDEX(tblNetflix[type],MATCH($A2582,tblNetflix[show_id],0)),"")</f>
        <v/>
      </c>
      <c r="D2582" s="19">
        <f>IFERROR(INDEX(tblNetflix[rating],MATCH($A2582,tblNetflix[show_id],0)),"")</f>
        <v/>
      </c>
      <c r="E2582" s="19">
        <f>IFERROR(INDEX(tblNetflix[year_added],MATCH($A2582,tblNetflix[show_id],0)),"")</f>
        <v/>
      </c>
      <c r="F2582" s="19">
        <f>IF(AND(OR(YearFilter="All",$E2582=YearFilter),OR(RatingFilter="All",$D2582=RatingFilter),OR(TypeFilter="All",$C2582=TypeFilter)),1,0)</f>
        <v/>
      </c>
    </row>
    <row r="2583" ht="15" customHeight="1" s="20">
      <c r="A2583" s="19" t="inlineStr">
        <is>
          <t>s7933</t>
        </is>
      </c>
      <c r="B2583" s="19" t="inlineStr">
        <is>
          <t>Dramas</t>
        </is>
      </c>
      <c r="C2583" s="19">
        <f>IFERROR(INDEX(tblNetflix[type],MATCH($A2583,tblNetflix[show_id],0)),"")</f>
        <v/>
      </c>
      <c r="D2583" s="19">
        <f>IFERROR(INDEX(tblNetflix[rating],MATCH($A2583,tblNetflix[show_id],0)),"")</f>
        <v/>
      </c>
      <c r="E2583" s="19">
        <f>IFERROR(INDEX(tblNetflix[year_added],MATCH($A2583,tblNetflix[show_id],0)),"")</f>
        <v/>
      </c>
      <c r="F2583" s="19">
        <f>IF(AND(OR(YearFilter="All",$E2583=YearFilter),OR(RatingFilter="All",$D2583=RatingFilter),OR(TypeFilter="All",$C2583=TypeFilter)),1,0)</f>
        <v/>
      </c>
    </row>
    <row r="2584" ht="15" customHeight="1" s="20">
      <c r="A2584" s="19" t="inlineStr">
        <is>
          <t>s7933</t>
        </is>
      </c>
      <c r="B2584" s="19" t="inlineStr">
        <is>
          <t>International Movies</t>
        </is>
      </c>
      <c r="C2584" s="19">
        <f>IFERROR(INDEX(tblNetflix[type],MATCH($A2584,tblNetflix[show_id],0)),"")</f>
        <v/>
      </c>
      <c r="D2584" s="19">
        <f>IFERROR(INDEX(tblNetflix[rating],MATCH($A2584,tblNetflix[show_id],0)),"")</f>
        <v/>
      </c>
      <c r="E2584" s="19">
        <f>IFERROR(INDEX(tblNetflix[year_added],MATCH($A2584,tblNetflix[show_id],0)),"")</f>
        <v/>
      </c>
      <c r="F2584" s="19">
        <f>IF(AND(OR(YearFilter="All",$E2584=YearFilter),OR(RatingFilter="All",$D2584=RatingFilter),OR(TypeFilter="All",$C2584=TypeFilter)),1,0)</f>
        <v/>
      </c>
    </row>
    <row r="2585" ht="15" customHeight="1" s="20">
      <c r="A2585" s="19" t="inlineStr">
        <is>
          <t>s7938</t>
        </is>
      </c>
      <c r="B2585" s="19" t="inlineStr">
        <is>
          <t>Action &amp; Adventure</t>
        </is>
      </c>
      <c r="C2585" s="19">
        <f>IFERROR(INDEX(tblNetflix[type],MATCH($A2585,tblNetflix[show_id],0)),"")</f>
        <v/>
      </c>
      <c r="D2585" s="19">
        <f>IFERROR(INDEX(tblNetflix[rating],MATCH($A2585,tblNetflix[show_id],0)),"")</f>
        <v/>
      </c>
      <c r="E2585" s="19">
        <f>IFERROR(INDEX(tblNetflix[year_added],MATCH($A2585,tblNetflix[show_id],0)),"")</f>
        <v/>
      </c>
      <c r="F2585" s="19">
        <f>IF(AND(OR(YearFilter="All",$E2585=YearFilter),OR(RatingFilter="All",$D2585=RatingFilter),OR(TypeFilter="All",$C2585=TypeFilter)),1,0)</f>
        <v/>
      </c>
    </row>
    <row r="2586" ht="15" customHeight="1" s="20">
      <c r="A2586" s="19" t="inlineStr">
        <is>
          <t>s7938</t>
        </is>
      </c>
      <c r="B2586" s="19" t="inlineStr">
        <is>
          <t>Comedies</t>
        </is>
      </c>
      <c r="C2586" s="19">
        <f>IFERROR(INDEX(tblNetflix[type],MATCH($A2586,tblNetflix[show_id],0)),"")</f>
        <v/>
      </c>
      <c r="D2586" s="19">
        <f>IFERROR(INDEX(tblNetflix[rating],MATCH($A2586,tblNetflix[show_id],0)),"")</f>
        <v/>
      </c>
      <c r="E2586" s="19">
        <f>IFERROR(INDEX(tblNetflix[year_added],MATCH($A2586,tblNetflix[show_id],0)),"")</f>
        <v/>
      </c>
      <c r="F2586" s="19">
        <f>IF(AND(OR(YearFilter="All",$E2586=YearFilter),OR(RatingFilter="All",$D2586=RatingFilter),OR(TypeFilter="All",$C2586=TypeFilter)),1,0)</f>
        <v/>
      </c>
    </row>
    <row r="2587" ht="15" customHeight="1" s="20">
      <c r="A2587" s="19" t="inlineStr">
        <is>
          <t>s7938</t>
        </is>
      </c>
      <c r="B2587" s="19" t="inlineStr">
        <is>
          <t>International Movies</t>
        </is>
      </c>
      <c r="C2587" s="19">
        <f>IFERROR(INDEX(tblNetflix[type],MATCH($A2587,tblNetflix[show_id],0)),"")</f>
        <v/>
      </c>
      <c r="D2587" s="19">
        <f>IFERROR(INDEX(tblNetflix[rating],MATCH($A2587,tblNetflix[show_id],0)),"")</f>
        <v/>
      </c>
      <c r="E2587" s="19">
        <f>IFERROR(INDEX(tblNetflix[year_added],MATCH($A2587,tblNetflix[show_id],0)),"")</f>
        <v/>
      </c>
      <c r="F2587" s="19">
        <f>IF(AND(OR(YearFilter="All",$E2587=YearFilter),OR(RatingFilter="All",$D2587=RatingFilter),OR(TypeFilter="All",$C2587=TypeFilter)),1,0)</f>
        <v/>
      </c>
    </row>
    <row r="2588" ht="15" customHeight="1" s="20">
      <c r="A2588" s="19" t="inlineStr">
        <is>
          <t>s7939</t>
        </is>
      </c>
      <c r="B2588" s="19" t="inlineStr">
        <is>
          <t>Dramas</t>
        </is>
      </c>
      <c r="C2588" s="19">
        <f>IFERROR(INDEX(tblNetflix[type],MATCH($A2588,tblNetflix[show_id],0)),"")</f>
        <v/>
      </c>
      <c r="D2588" s="19">
        <f>IFERROR(INDEX(tblNetflix[rating],MATCH($A2588,tblNetflix[show_id],0)),"")</f>
        <v/>
      </c>
      <c r="E2588" s="19">
        <f>IFERROR(INDEX(tblNetflix[year_added],MATCH($A2588,tblNetflix[show_id],0)),"")</f>
        <v/>
      </c>
      <c r="F2588" s="19">
        <f>IF(AND(OR(YearFilter="All",$E2588=YearFilter),OR(RatingFilter="All",$D2588=RatingFilter),OR(TypeFilter="All",$C2588=TypeFilter)),1,0)</f>
        <v/>
      </c>
    </row>
    <row r="2589" ht="15" customHeight="1" s="20">
      <c r="A2589" s="19" t="inlineStr">
        <is>
          <t>s7939</t>
        </is>
      </c>
      <c r="B2589" s="19" t="inlineStr">
        <is>
          <t>International Movies</t>
        </is>
      </c>
      <c r="C2589" s="19">
        <f>IFERROR(INDEX(tblNetflix[type],MATCH($A2589,tblNetflix[show_id],0)),"")</f>
        <v/>
      </c>
      <c r="D2589" s="19">
        <f>IFERROR(INDEX(tblNetflix[rating],MATCH($A2589,tblNetflix[show_id],0)),"")</f>
        <v/>
      </c>
      <c r="E2589" s="19">
        <f>IFERROR(INDEX(tblNetflix[year_added],MATCH($A2589,tblNetflix[show_id],0)),"")</f>
        <v/>
      </c>
      <c r="F2589" s="19">
        <f>IF(AND(OR(YearFilter="All",$E2589=YearFilter),OR(RatingFilter="All",$D2589=RatingFilter),OR(TypeFilter="All",$C2589=TypeFilter)),1,0)</f>
        <v/>
      </c>
    </row>
    <row r="2590" ht="15" customHeight="1" s="20">
      <c r="A2590" s="19" t="inlineStr">
        <is>
          <t>s7940</t>
        </is>
      </c>
      <c r="B2590" s="19" t="inlineStr">
        <is>
          <t>Dramas</t>
        </is>
      </c>
      <c r="C2590" s="19">
        <f>IFERROR(INDEX(tblNetflix[type],MATCH($A2590,tblNetflix[show_id],0)),"")</f>
        <v/>
      </c>
      <c r="D2590" s="19">
        <f>IFERROR(INDEX(tblNetflix[rating],MATCH($A2590,tblNetflix[show_id],0)),"")</f>
        <v/>
      </c>
      <c r="E2590" s="19">
        <f>IFERROR(INDEX(tblNetflix[year_added],MATCH($A2590,tblNetflix[show_id],0)),"")</f>
        <v/>
      </c>
      <c r="F2590" s="19">
        <f>IF(AND(OR(YearFilter="All",$E2590=YearFilter),OR(RatingFilter="All",$D2590=RatingFilter),OR(TypeFilter="All",$C2590=TypeFilter)),1,0)</f>
        <v/>
      </c>
    </row>
    <row r="2591" ht="15" customHeight="1" s="20">
      <c r="A2591" s="19" t="inlineStr">
        <is>
          <t>s7940</t>
        </is>
      </c>
      <c r="B2591" s="19" t="inlineStr">
        <is>
          <t>International Movies</t>
        </is>
      </c>
      <c r="C2591" s="19">
        <f>IFERROR(INDEX(tblNetflix[type],MATCH($A2591,tblNetflix[show_id],0)),"")</f>
        <v/>
      </c>
      <c r="D2591" s="19">
        <f>IFERROR(INDEX(tblNetflix[rating],MATCH($A2591,tblNetflix[show_id],0)),"")</f>
        <v/>
      </c>
      <c r="E2591" s="19">
        <f>IFERROR(INDEX(tblNetflix[year_added],MATCH($A2591,tblNetflix[show_id],0)),"")</f>
        <v/>
      </c>
      <c r="F2591" s="19">
        <f>IF(AND(OR(YearFilter="All",$E2591=YearFilter),OR(RatingFilter="All",$D2591=RatingFilter),OR(TypeFilter="All",$C2591=TypeFilter)),1,0)</f>
        <v/>
      </c>
    </row>
    <row r="2592" ht="15" customHeight="1" s="20">
      <c r="A2592" s="19" t="inlineStr">
        <is>
          <t>s7941</t>
        </is>
      </c>
      <c r="B2592" s="19" t="inlineStr">
        <is>
          <t>Dramas</t>
        </is>
      </c>
      <c r="C2592" s="19">
        <f>IFERROR(INDEX(tblNetflix[type],MATCH($A2592,tblNetflix[show_id],0)),"")</f>
        <v/>
      </c>
      <c r="D2592" s="19">
        <f>IFERROR(INDEX(tblNetflix[rating],MATCH($A2592,tblNetflix[show_id],0)),"")</f>
        <v/>
      </c>
      <c r="E2592" s="19">
        <f>IFERROR(INDEX(tblNetflix[year_added],MATCH($A2592,tblNetflix[show_id],0)),"")</f>
        <v/>
      </c>
      <c r="F2592" s="19">
        <f>IF(AND(OR(YearFilter="All",$E2592=YearFilter),OR(RatingFilter="All",$D2592=RatingFilter),OR(TypeFilter="All",$C2592=TypeFilter)),1,0)</f>
        <v/>
      </c>
    </row>
    <row r="2593" ht="15" customHeight="1" s="20">
      <c r="A2593" s="19" t="inlineStr">
        <is>
          <t>s7941</t>
        </is>
      </c>
      <c r="B2593" s="19" t="inlineStr">
        <is>
          <t>Faith &amp; Spirituality</t>
        </is>
      </c>
      <c r="C2593" s="19">
        <f>IFERROR(INDEX(tblNetflix[type],MATCH($A2593,tblNetflix[show_id],0)),"")</f>
        <v/>
      </c>
      <c r="D2593" s="19">
        <f>IFERROR(INDEX(tblNetflix[rating],MATCH($A2593,tblNetflix[show_id],0)),"")</f>
        <v/>
      </c>
      <c r="E2593" s="19">
        <f>IFERROR(INDEX(tblNetflix[year_added],MATCH($A2593,tblNetflix[show_id],0)),"")</f>
        <v/>
      </c>
      <c r="F2593" s="19">
        <f>IF(AND(OR(YearFilter="All",$E2593=YearFilter),OR(RatingFilter="All",$D2593=RatingFilter),OR(TypeFilter="All",$C2593=TypeFilter)),1,0)</f>
        <v/>
      </c>
    </row>
    <row r="2594" ht="15" customHeight="1" s="20">
      <c r="A2594" s="19" t="inlineStr">
        <is>
          <t>s7941</t>
        </is>
      </c>
      <c r="B2594" s="19" t="inlineStr">
        <is>
          <t>International Movies</t>
        </is>
      </c>
      <c r="C2594" s="19">
        <f>IFERROR(INDEX(tblNetflix[type],MATCH($A2594,tblNetflix[show_id],0)),"")</f>
        <v/>
      </c>
      <c r="D2594" s="19">
        <f>IFERROR(INDEX(tblNetflix[rating],MATCH($A2594,tblNetflix[show_id],0)),"")</f>
        <v/>
      </c>
      <c r="E2594" s="19">
        <f>IFERROR(INDEX(tblNetflix[year_added],MATCH($A2594,tblNetflix[show_id],0)),"")</f>
        <v/>
      </c>
      <c r="F2594" s="19">
        <f>IF(AND(OR(YearFilter="All",$E2594=YearFilter),OR(RatingFilter="All",$D2594=RatingFilter),OR(TypeFilter="All",$C2594=TypeFilter)),1,0)</f>
        <v/>
      </c>
    </row>
    <row r="2595" ht="15" customHeight="1" s="20">
      <c r="A2595" s="19" t="inlineStr">
        <is>
          <t>s7944</t>
        </is>
      </c>
      <c r="B2595" s="19" t="inlineStr">
        <is>
          <t>Dramas</t>
        </is>
      </c>
      <c r="C2595" s="19">
        <f>IFERROR(INDEX(tblNetflix[type],MATCH($A2595,tblNetflix[show_id],0)),"")</f>
        <v/>
      </c>
      <c r="D2595" s="19">
        <f>IFERROR(INDEX(tblNetflix[rating],MATCH($A2595,tblNetflix[show_id],0)),"")</f>
        <v/>
      </c>
      <c r="E2595" s="19">
        <f>IFERROR(INDEX(tblNetflix[year_added],MATCH($A2595,tblNetflix[show_id],0)),"")</f>
        <v/>
      </c>
      <c r="F2595" s="19">
        <f>IF(AND(OR(YearFilter="All",$E2595=YearFilter),OR(RatingFilter="All",$D2595=RatingFilter),OR(TypeFilter="All",$C2595=TypeFilter)),1,0)</f>
        <v/>
      </c>
    </row>
    <row r="2596" ht="15" customHeight="1" s="20">
      <c r="A2596" s="19" t="inlineStr">
        <is>
          <t>s7944</t>
        </is>
      </c>
      <c r="B2596" s="19" t="inlineStr">
        <is>
          <t>International Movies</t>
        </is>
      </c>
      <c r="C2596" s="19">
        <f>IFERROR(INDEX(tblNetflix[type],MATCH($A2596,tblNetflix[show_id],0)),"")</f>
        <v/>
      </c>
      <c r="D2596" s="19">
        <f>IFERROR(INDEX(tblNetflix[rating],MATCH($A2596,tblNetflix[show_id],0)),"")</f>
        <v/>
      </c>
      <c r="E2596" s="19">
        <f>IFERROR(INDEX(tblNetflix[year_added],MATCH($A2596,tblNetflix[show_id],0)),"")</f>
        <v/>
      </c>
      <c r="F2596" s="19">
        <f>IF(AND(OR(YearFilter="All",$E2596=YearFilter),OR(RatingFilter="All",$D2596=RatingFilter),OR(TypeFilter="All",$C2596=TypeFilter)),1,0)</f>
        <v/>
      </c>
    </row>
    <row r="2597" ht="15" customHeight="1" s="20">
      <c r="A2597" s="19" t="inlineStr">
        <is>
          <t>s7944</t>
        </is>
      </c>
      <c r="B2597" s="19" t="inlineStr">
        <is>
          <t>Music &amp; Musicals</t>
        </is>
      </c>
      <c r="C2597" s="19">
        <f>IFERROR(INDEX(tblNetflix[type],MATCH($A2597,tblNetflix[show_id],0)),"")</f>
        <v/>
      </c>
      <c r="D2597" s="19">
        <f>IFERROR(INDEX(tblNetflix[rating],MATCH($A2597,tblNetflix[show_id],0)),"")</f>
        <v/>
      </c>
      <c r="E2597" s="19">
        <f>IFERROR(INDEX(tblNetflix[year_added],MATCH($A2597,tblNetflix[show_id],0)),"")</f>
        <v/>
      </c>
      <c r="F2597" s="19">
        <f>IF(AND(OR(YearFilter="All",$E2597=YearFilter),OR(RatingFilter="All",$D2597=RatingFilter),OR(TypeFilter="All",$C2597=TypeFilter)),1,0)</f>
        <v/>
      </c>
    </row>
    <row r="2598" ht="15" customHeight="1" s="20">
      <c r="A2598" s="19" t="inlineStr">
        <is>
          <t>s7945</t>
        </is>
      </c>
      <c r="B2598" s="19" t="inlineStr">
        <is>
          <t>Comedies</t>
        </is>
      </c>
      <c r="C2598" s="19">
        <f>IFERROR(INDEX(tblNetflix[type],MATCH($A2598,tblNetflix[show_id],0)),"")</f>
        <v/>
      </c>
      <c r="D2598" s="19">
        <f>IFERROR(INDEX(tblNetflix[rating],MATCH($A2598,tblNetflix[show_id],0)),"")</f>
        <v/>
      </c>
      <c r="E2598" s="19">
        <f>IFERROR(INDEX(tblNetflix[year_added],MATCH($A2598,tblNetflix[show_id],0)),"")</f>
        <v/>
      </c>
      <c r="F2598" s="19">
        <f>IF(AND(OR(YearFilter="All",$E2598=YearFilter),OR(RatingFilter="All",$D2598=RatingFilter),OR(TypeFilter="All",$C2598=TypeFilter)),1,0)</f>
        <v/>
      </c>
    </row>
    <row r="2599" ht="15" customHeight="1" s="20">
      <c r="A2599" s="19" t="inlineStr">
        <is>
          <t>s7945</t>
        </is>
      </c>
      <c r="B2599" s="19" t="inlineStr">
        <is>
          <t>Cult Movies</t>
        </is>
      </c>
      <c r="C2599" s="19">
        <f>IFERROR(INDEX(tblNetflix[type],MATCH($A2599,tblNetflix[show_id],0)),"")</f>
        <v/>
      </c>
      <c r="D2599" s="19">
        <f>IFERROR(INDEX(tblNetflix[rating],MATCH($A2599,tblNetflix[show_id],0)),"")</f>
        <v/>
      </c>
      <c r="E2599" s="19">
        <f>IFERROR(INDEX(tblNetflix[year_added],MATCH($A2599,tblNetflix[show_id],0)),"")</f>
        <v/>
      </c>
      <c r="F2599" s="19">
        <f>IF(AND(OR(YearFilter="All",$E2599=YearFilter),OR(RatingFilter="All",$D2599=RatingFilter),OR(TypeFilter="All",$C2599=TypeFilter)),1,0)</f>
        <v/>
      </c>
    </row>
    <row r="2600" ht="15" customHeight="1" s="20">
      <c r="A2600" s="19" t="inlineStr">
        <is>
          <t>s7945</t>
        </is>
      </c>
      <c r="B2600" s="19" t="inlineStr">
        <is>
          <t>Dramas</t>
        </is>
      </c>
      <c r="C2600" s="19">
        <f>IFERROR(INDEX(tblNetflix[type],MATCH($A2600,tblNetflix[show_id],0)),"")</f>
        <v/>
      </c>
      <c r="D2600" s="19">
        <f>IFERROR(INDEX(tblNetflix[rating],MATCH($A2600,tblNetflix[show_id],0)),"")</f>
        <v/>
      </c>
      <c r="E2600" s="19">
        <f>IFERROR(INDEX(tblNetflix[year_added],MATCH($A2600,tblNetflix[show_id],0)),"")</f>
        <v/>
      </c>
      <c r="F2600" s="19">
        <f>IF(AND(OR(YearFilter="All",$E2600=YearFilter),OR(RatingFilter="All",$D2600=RatingFilter),OR(TypeFilter="All",$C2600=TypeFilter)),1,0)</f>
        <v/>
      </c>
    </row>
    <row r="2601" ht="15" customHeight="1" s="20">
      <c r="A2601" s="19" t="inlineStr">
        <is>
          <t>s7993</t>
        </is>
      </c>
      <c r="B2601" s="19" t="inlineStr">
        <is>
          <t>Comedies</t>
        </is>
      </c>
      <c r="C2601" s="19">
        <f>IFERROR(INDEX(tblNetflix[type],MATCH($A2601,tblNetflix[show_id],0)),"")</f>
        <v/>
      </c>
      <c r="D2601" s="19">
        <f>IFERROR(INDEX(tblNetflix[rating],MATCH($A2601,tblNetflix[show_id],0)),"")</f>
        <v/>
      </c>
      <c r="E2601" s="19">
        <f>IFERROR(INDEX(tblNetflix[year_added],MATCH($A2601,tblNetflix[show_id],0)),"")</f>
        <v/>
      </c>
      <c r="F2601" s="19">
        <f>IF(AND(OR(YearFilter="All",$E2601=YearFilter),OR(RatingFilter="All",$D2601=RatingFilter),OR(TypeFilter="All",$C2601=TypeFilter)),1,0)</f>
        <v/>
      </c>
    </row>
    <row r="2602" ht="15" customHeight="1" s="20">
      <c r="A2602" s="19" t="inlineStr">
        <is>
          <t>s7993</t>
        </is>
      </c>
      <c r="B2602" s="19" t="inlineStr">
        <is>
          <t>International Movies</t>
        </is>
      </c>
      <c r="C2602" s="19">
        <f>IFERROR(INDEX(tblNetflix[type],MATCH($A2602,tblNetflix[show_id],0)),"")</f>
        <v/>
      </c>
      <c r="D2602" s="19">
        <f>IFERROR(INDEX(tblNetflix[rating],MATCH($A2602,tblNetflix[show_id],0)),"")</f>
        <v/>
      </c>
      <c r="E2602" s="19">
        <f>IFERROR(INDEX(tblNetflix[year_added],MATCH($A2602,tblNetflix[show_id],0)),"")</f>
        <v/>
      </c>
      <c r="F2602" s="19">
        <f>IF(AND(OR(YearFilter="All",$E2602=YearFilter),OR(RatingFilter="All",$D2602=RatingFilter),OR(TypeFilter="All",$C2602=TypeFilter)),1,0)</f>
        <v/>
      </c>
    </row>
    <row r="2603" ht="15" customHeight="1" s="20">
      <c r="A2603" s="19" t="inlineStr">
        <is>
          <t>s7995</t>
        </is>
      </c>
      <c r="B2603" s="19" t="inlineStr">
        <is>
          <t>Dramas</t>
        </is>
      </c>
      <c r="C2603" s="19">
        <f>IFERROR(INDEX(tblNetflix[type],MATCH($A2603,tblNetflix[show_id],0)),"")</f>
        <v/>
      </c>
      <c r="D2603" s="19">
        <f>IFERROR(INDEX(tblNetflix[rating],MATCH($A2603,tblNetflix[show_id],0)),"")</f>
        <v/>
      </c>
      <c r="E2603" s="19">
        <f>IFERROR(INDEX(tblNetflix[year_added],MATCH($A2603,tblNetflix[show_id],0)),"")</f>
        <v/>
      </c>
      <c r="F2603" s="19">
        <f>IF(AND(OR(YearFilter="All",$E2603=YearFilter),OR(RatingFilter="All",$D2603=RatingFilter),OR(TypeFilter="All",$C2603=TypeFilter)),1,0)</f>
        <v/>
      </c>
    </row>
    <row r="2604" ht="15" customHeight="1" s="20">
      <c r="A2604" s="19" t="inlineStr">
        <is>
          <t>s7995</t>
        </is>
      </c>
      <c r="B2604" s="19" t="inlineStr">
        <is>
          <t>International Movies</t>
        </is>
      </c>
      <c r="C2604" s="19">
        <f>IFERROR(INDEX(tblNetflix[type],MATCH($A2604,tblNetflix[show_id],0)),"")</f>
        <v/>
      </c>
      <c r="D2604" s="19">
        <f>IFERROR(INDEX(tblNetflix[rating],MATCH($A2604,tblNetflix[show_id],0)),"")</f>
        <v/>
      </c>
      <c r="E2604" s="19">
        <f>IFERROR(INDEX(tblNetflix[year_added],MATCH($A2604,tblNetflix[show_id],0)),"")</f>
        <v/>
      </c>
      <c r="F2604" s="19">
        <f>IF(AND(OR(YearFilter="All",$E2604=YearFilter),OR(RatingFilter="All",$D2604=RatingFilter),OR(TypeFilter="All",$C2604=TypeFilter)),1,0)</f>
        <v/>
      </c>
    </row>
    <row r="2605" ht="15" customHeight="1" s="20">
      <c r="A2605" s="19" t="inlineStr">
        <is>
          <t>s7995</t>
        </is>
      </c>
      <c r="B2605" s="19" t="inlineStr">
        <is>
          <t>Thrillers</t>
        </is>
      </c>
      <c r="C2605" s="19">
        <f>IFERROR(INDEX(tblNetflix[type],MATCH($A2605,tblNetflix[show_id],0)),"")</f>
        <v/>
      </c>
      <c r="D2605" s="19">
        <f>IFERROR(INDEX(tblNetflix[rating],MATCH($A2605,tblNetflix[show_id],0)),"")</f>
        <v/>
      </c>
      <c r="E2605" s="19">
        <f>IFERROR(INDEX(tblNetflix[year_added],MATCH($A2605,tblNetflix[show_id],0)),"")</f>
        <v/>
      </c>
      <c r="F2605" s="19">
        <f>IF(AND(OR(YearFilter="All",$E2605=YearFilter),OR(RatingFilter="All",$D2605=RatingFilter),OR(TypeFilter="All",$C2605=TypeFilter)),1,0)</f>
        <v/>
      </c>
    </row>
    <row r="2606" ht="15" customHeight="1" s="20">
      <c r="A2606" s="19" t="inlineStr">
        <is>
          <t>s7996</t>
        </is>
      </c>
      <c r="B2606" s="19" t="inlineStr">
        <is>
          <t>Dramas</t>
        </is>
      </c>
      <c r="C2606" s="19">
        <f>IFERROR(INDEX(tblNetflix[type],MATCH($A2606,tblNetflix[show_id],0)),"")</f>
        <v/>
      </c>
      <c r="D2606" s="19">
        <f>IFERROR(INDEX(tblNetflix[rating],MATCH($A2606,tblNetflix[show_id],0)),"")</f>
        <v/>
      </c>
      <c r="E2606" s="19">
        <f>IFERROR(INDEX(tblNetflix[year_added],MATCH($A2606,tblNetflix[show_id],0)),"")</f>
        <v/>
      </c>
      <c r="F2606" s="19">
        <f>IF(AND(OR(YearFilter="All",$E2606=YearFilter),OR(RatingFilter="All",$D2606=RatingFilter),OR(TypeFilter="All",$C2606=TypeFilter)),1,0)</f>
        <v/>
      </c>
    </row>
    <row r="2607" ht="15" customHeight="1" s="20">
      <c r="A2607" s="19" t="inlineStr">
        <is>
          <t>s7996</t>
        </is>
      </c>
      <c r="B2607" s="19" t="inlineStr">
        <is>
          <t>Independent Movies</t>
        </is>
      </c>
      <c r="C2607" s="19">
        <f>IFERROR(INDEX(tblNetflix[type],MATCH($A2607,tblNetflix[show_id],0)),"")</f>
        <v/>
      </c>
      <c r="D2607" s="19">
        <f>IFERROR(INDEX(tblNetflix[rating],MATCH($A2607,tblNetflix[show_id],0)),"")</f>
        <v/>
      </c>
      <c r="E2607" s="19">
        <f>IFERROR(INDEX(tblNetflix[year_added],MATCH($A2607,tblNetflix[show_id],0)),"")</f>
        <v/>
      </c>
      <c r="F2607" s="19">
        <f>IF(AND(OR(YearFilter="All",$E2607=YearFilter),OR(RatingFilter="All",$D2607=RatingFilter),OR(TypeFilter="All",$C2607=TypeFilter)),1,0)</f>
        <v/>
      </c>
    </row>
    <row r="2608" ht="15" customHeight="1" s="20">
      <c r="A2608" s="19" t="inlineStr">
        <is>
          <t>s7996</t>
        </is>
      </c>
      <c r="B2608" s="19" t="inlineStr">
        <is>
          <t>International Movies</t>
        </is>
      </c>
      <c r="C2608" s="19">
        <f>IFERROR(INDEX(tblNetflix[type],MATCH($A2608,tblNetflix[show_id],0)),"")</f>
        <v/>
      </c>
      <c r="D2608" s="19">
        <f>IFERROR(INDEX(tblNetflix[rating],MATCH($A2608,tblNetflix[show_id],0)),"")</f>
        <v/>
      </c>
      <c r="E2608" s="19">
        <f>IFERROR(INDEX(tblNetflix[year_added],MATCH($A2608,tblNetflix[show_id],0)),"")</f>
        <v/>
      </c>
      <c r="F2608" s="19">
        <f>IF(AND(OR(YearFilter="All",$E2608=YearFilter),OR(RatingFilter="All",$D2608=RatingFilter),OR(TypeFilter="All",$C2608=TypeFilter)),1,0)</f>
        <v/>
      </c>
    </row>
    <row r="2609" ht="15" customHeight="1" s="20">
      <c r="A2609" s="19" t="inlineStr">
        <is>
          <t>s7997</t>
        </is>
      </c>
      <c r="B2609" s="19" t="inlineStr">
        <is>
          <t>Comedies</t>
        </is>
      </c>
      <c r="C2609" s="19">
        <f>IFERROR(INDEX(tblNetflix[type],MATCH($A2609,tblNetflix[show_id],0)),"")</f>
        <v/>
      </c>
      <c r="D2609" s="19">
        <f>IFERROR(INDEX(tblNetflix[rating],MATCH($A2609,tblNetflix[show_id],0)),"")</f>
        <v/>
      </c>
      <c r="E2609" s="19">
        <f>IFERROR(INDEX(tblNetflix[year_added],MATCH($A2609,tblNetflix[show_id],0)),"")</f>
        <v/>
      </c>
      <c r="F2609" s="19">
        <f>IF(AND(OR(YearFilter="All",$E2609=YearFilter),OR(RatingFilter="All",$D2609=RatingFilter),OR(TypeFilter="All",$C2609=TypeFilter)),1,0)</f>
        <v/>
      </c>
    </row>
    <row r="2610" ht="15" customHeight="1" s="20">
      <c r="A2610" s="19" t="inlineStr">
        <is>
          <t>s7997</t>
        </is>
      </c>
      <c r="B2610" s="19" t="inlineStr">
        <is>
          <t>International Movies</t>
        </is>
      </c>
      <c r="C2610" s="19">
        <f>IFERROR(INDEX(tblNetflix[type],MATCH($A2610,tblNetflix[show_id],0)),"")</f>
        <v/>
      </c>
      <c r="D2610" s="19">
        <f>IFERROR(INDEX(tblNetflix[rating],MATCH($A2610,tblNetflix[show_id],0)),"")</f>
        <v/>
      </c>
      <c r="E2610" s="19">
        <f>IFERROR(INDEX(tblNetflix[year_added],MATCH($A2610,tblNetflix[show_id],0)),"")</f>
        <v/>
      </c>
      <c r="F2610" s="19">
        <f>IF(AND(OR(YearFilter="All",$E2610=YearFilter),OR(RatingFilter="All",$D2610=RatingFilter),OR(TypeFilter="All",$C2610=TypeFilter)),1,0)</f>
        <v/>
      </c>
    </row>
    <row r="2611" ht="15" customHeight="1" s="20">
      <c r="A2611" s="19" t="inlineStr">
        <is>
          <t>s7997</t>
        </is>
      </c>
      <c r="B2611" s="19" t="inlineStr">
        <is>
          <t>Music &amp; Musicals</t>
        </is>
      </c>
      <c r="C2611" s="19">
        <f>IFERROR(INDEX(tblNetflix[type],MATCH($A2611,tblNetflix[show_id],0)),"")</f>
        <v/>
      </c>
      <c r="D2611" s="19">
        <f>IFERROR(INDEX(tblNetflix[rating],MATCH($A2611,tblNetflix[show_id],0)),"")</f>
        <v/>
      </c>
      <c r="E2611" s="19">
        <f>IFERROR(INDEX(tblNetflix[year_added],MATCH($A2611,tblNetflix[show_id],0)),"")</f>
        <v/>
      </c>
      <c r="F2611" s="19">
        <f>IF(AND(OR(YearFilter="All",$E2611=YearFilter),OR(RatingFilter="All",$D2611=RatingFilter),OR(TypeFilter="All",$C2611=TypeFilter)),1,0)</f>
        <v/>
      </c>
    </row>
    <row r="2612" ht="15" customHeight="1" s="20">
      <c r="A2612" s="19" t="inlineStr">
        <is>
          <t>s8000</t>
        </is>
      </c>
      <c r="B2612" s="19" t="inlineStr">
        <is>
          <t>Dramas</t>
        </is>
      </c>
      <c r="C2612" s="19">
        <f>IFERROR(INDEX(tblNetflix[type],MATCH($A2612,tblNetflix[show_id],0)),"")</f>
        <v/>
      </c>
      <c r="D2612" s="19">
        <f>IFERROR(INDEX(tblNetflix[rating],MATCH($A2612,tblNetflix[show_id],0)),"")</f>
        <v/>
      </c>
      <c r="E2612" s="19">
        <f>IFERROR(INDEX(tblNetflix[year_added],MATCH($A2612,tblNetflix[show_id],0)),"")</f>
        <v/>
      </c>
      <c r="F2612" s="19">
        <f>IF(AND(OR(YearFilter="All",$E2612=YearFilter),OR(RatingFilter="All",$D2612=RatingFilter),OR(TypeFilter="All",$C2612=TypeFilter)),1,0)</f>
        <v/>
      </c>
    </row>
    <row r="2613" ht="15" customHeight="1" s="20">
      <c r="A2613" s="19" t="inlineStr">
        <is>
          <t>s8000</t>
        </is>
      </c>
      <c r="B2613" s="19" t="inlineStr">
        <is>
          <t>International Movies</t>
        </is>
      </c>
      <c r="C2613" s="19">
        <f>IFERROR(INDEX(tblNetflix[type],MATCH($A2613,tblNetflix[show_id],0)),"")</f>
        <v/>
      </c>
      <c r="D2613" s="19">
        <f>IFERROR(INDEX(tblNetflix[rating],MATCH($A2613,tblNetflix[show_id],0)),"")</f>
        <v/>
      </c>
      <c r="E2613" s="19">
        <f>IFERROR(INDEX(tblNetflix[year_added],MATCH($A2613,tblNetflix[show_id],0)),"")</f>
        <v/>
      </c>
      <c r="F2613" s="19">
        <f>IF(AND(OR(YearFilter="All",$E2613=YearFilter),OR(RatingFilter="All",$D2613=RatingFilter),OR(TypeFilter="All",$C2613=TypeFilter)),1,0)</f>
        <v/>
      </c>
    </row>
    <row r="2614" ht="15" customHeight="1" s="20">
      <c r="A2614" s="19" t="inlineStr">
        <is>
          <t>s8005</t>
        </is>
      </c>
      <c r="B2614" s="19" t="inlineStr">
        <is>
          <t>Action &amp; Adventure</t>
        </is>
      </c>
      <c r="C2614" s="19">
        <f>IFERROR(INDEX(tblNetflix[type],MATCH($A2614,tblNetflix[show_id],0)),"")</f>
        <v/>
      </c>
      <c r="D2614" s="19">
        <f>IFERROR(INDEX(tblNetflix[rating],MATCH($A2614,tblNetflix[show_id],0)),"")</f>
        <v/>
      </c>
      <c r="E2614" s="19">
        <f>IFERROR(INDEX(tblNetflix[year_added],MATCH($A2614,tblNetflix[show_id],0)),"")</f>
        <v/>
      </c>
      <c r="F2614" s="19">
        <f>IF(AND(OR(YearFilter="All",$E2614=YearFilter),OR(RatingFilter="All",$D2614=RatingFilter),OR(TypeFilter="All",$C2614=TypeFilter)),1,0)</f>
        <v/>
      </c>
    </row>
    <row r="2615" ht="15" customHeight="1" s="20">
      <c r="A2615" s="19" t="inlineStr">
        <is>
          <t>s8005</t>
        </is>
      </c>
      <c r="B2615" s="19" t="inlineStr">
        <is>
          <t>Dramas</t>
        </is>
      </c>
      <c r="C2615" s="19">
        <f>IFERROR(INDEX(tblNetflix[type],MATCH($A2615,tblNetflix[show_id],0)),"")</f>
        <v/>
      </c>
      <c r="D2615" s="19">
        <f>IFERROR(INDEX(tblNetflix[rating],MATCH($A2615,tblNetflix[show_id],0)),"")</f>
        <v/>
      </c>
      <c r="E2615" s="19">
        <f>IFERROR(INDEX(tblNetflix[year_added],MATCH($A2615,tblNetflix[show_id],0)),"")</f>
        <v/>
      </c>
      <c r="F2615" s="19">
        <f>IF(AND(OR(YearFilter="All",$E2615=YearFilter),OR(RatingFilter="All",$D2615=RatingFilter),OR(TypeFilter="All",$C2615=TypeFilter)),1,0)</f>
        <v/>
      </c>
    </row>
    <row r="2616" ht="15" customHeight="1" s="20">
      <c r="A2616" s="19" t="inlineStr">
        <is>
          <t>s8005</t>
        </is>
      </c>
      <c r="B2616" s="19" t="inlineStr">
        <is>
          <t>International Movies</t>
        </is>
      </c>
      <c r="C2616" s="19">
        <f>IFERROR(INDEX(tblNetflix[type],MATCH($A2616,tblNetflix[show_id],0)),"")</f>
        <v/>
      </c>
      <c r="D2616" s="19">
        <f>IFERROR(INDEX(tblNetflix[rating],MATCH($A2616,tblNetflix[show_id],0)),"")</f>
        <v/>
      </c>
      <c r="E2616" s="19">
        <f>IFERROR(INDEX(tblNetflix[year_added],MATCH($A2616,tblNetflix[show_id],0)),"")</f>
        <v/>
      </c>
      <c r="F2616" s="19">
        <f>IF(AND(OR(YearFilter="All",$E2616=YearFilter),OR(RatingFilter="All",$D2616=RatingFilter),OR(TypeFilter="All",$C2616=TypeFilter)),1,0)</f>
        <v/>
      </c>
    </row>
    <row r="2617" ht="15" customHeight="1" s="20">
      <c r="A2617" s="19" t="inlineStr">
        <is>
          <t>s8009</t>
        </is>
      </c>
      <c r="B2617" s="19" t="inlineStr">
        <is>
          <t>Dramas</t>
        </is>
      </c>
      <c r="C2617" s="19">
        <f>IFERROR(INDEX(tblNetflix[type],MATCH($A2617,tblNetflix[show_id],0)),"")</f>
        <v/>
      </c>
      <c r="D2617" s="19">
        <f>IFERROR(INDEX(tblNetflix[rating],MATCH($A2617,tblNetflix[show_id],0)),"")</f>
        <v/>
      </c>
      <c r="E2617" s="19">
        <f>IFERROR(INDEX(tblNetflix[year_added],MATCH($A2617,tblNetflix[show_id],0)),"")</f>
        <v/>
      </c>
      <c r="F2617" s="19">
        <f>IF(AND(OR(YearFilter="All",$E2617=YearFilter),OR(RatingFilter="All",$D2617=RatingFilter),OR(TypeFilter="All",$C2617=TypeFilter)),1,0)</f>
        <v/>
      </c>
    </row>
    <row r="2618" ht="15" customHeight="1" s="20">
      <c r="A2618" s="19" t="inlineStr">
        <is>
          <t>s8009</t>
        </is>
      </c>
      <c r="B2618" s="19" t="inlineStr">
        <is>
          <t>International Movies</t>
        </is>
      </c>
      <c r="C2618" s="19">
        <f>IFERROR(INDEX(tblNetflix[type],MATCH($A2618,tblNetflix[show_id],0)),"")</f>
        <v/>
      </c>
      <c r="D2618" s="19">
        <f>IFERROR(INDEX(tblNetflix[rating],MATCH($A2618,tblNetflix[show_id],0)),"")</f>
        <v/>
      </c>
      <c r="E2618" s="19">
        <f>IFERROR(INDEX(tblNetflix[year_added],MATCH($A2618,tblNetflix[show_id],0)),"")</f>
        <v/>
      </c>
      <c r="F2618" s="19">
        <f>IF(AND(OR(YearFilter="All",$E2618=YearFilter),OR(RatingFilter="All",$D2618=RatingFilter),OR(TypeFilter="All",$C2618=TypeFilter)),1,0)</f>
        <v/>
      </c>
    </row>
    <row r="2619" ht="15" customHeight="1" s="20">
      <c r="A2619" s="19" t="inlineStr">
        <is>
          <t>s8013</t>
        </is>
      </c>
      <c r="B2619" s="19" t="inlineStr">
        <is>
          <t>Dramas</t>
        </is>
      </c>
      <c r="C2619" s="19">
        <f>IFERROR(INDEX(tblNetflix[type],MATCH($A2619,tblNetflix[show_id],0)),"")</f>
        <v/>
      </c>
      <c r="D2619" s="19">
        <f>IFERROR(INDEX(tblNetflix[rating],MATCH($A2619,tblNetflix[show_id],0)),"")</f>
        <v/>
      </c>
      <c r="E2619" s="19">
        <f>IFERROR(INDEX(tblNetflix[year_added],MATCH($A2619,tblNetflix[show_id],0)),"")</f>
        <v/>
      </c>
      <c r="F2619" s="19">
        <f>IF(AND(OR(YearFilter="All",$E2619=YearFilter),OR(RatingFilter="All",$D2619=RatingFilter),OR(TypeFilter="All",$C2619=TypeFilter)),1,0)</f>
        <v/>
      </c>
    </row>
    <row r="2620" ht="15" customHeight="1" s="20">
      <c r="A2620" s="19" t="inlineStr">
        <is>
          <t>s8013</t>
        </is>
      </c>
      <c r="B2620" s="19" t="inlineStr">
        <is>
          <t>International Movies</t>
        </is>
      </c>
      <c r="C2620" s="19">
        <f>IFERROR(INDEX(tblNetflix[type],MATCH($A2620,tblNetflix[show_id],0)),"")</f>
        <v/>
      </c>
      <c r="D2620" s="19">
        <f>IFERROR(INDEX(tblNetflix[rating],MATCH($A2620,tblNetflix[show_id],0)),"")</f>
        <v/>
      </c>
      <c r="E2620" s="19">
        <f>IFERROR(INDEX(tblNetflix[year_added],MATCH($A2620,tblNetflix[show_id],0)),"")</f>
        <v/>
      </c>
      <c r="F2620" s="19">
        <f>IF(AND(OR(YearFilter="All",$E2620=YearFilter),OR(RatingFilter="All",$D2620=RatingFilter),OR(TypeFilter="All",$C2620=TypeFilter)),1,0)</f>
        <v/>
      </c>
    </row>
    <row r="2621" ht="15" customHeight="1" s="20">
      <c r="A2621" s="19" t="inlineStr">
        <is>
          <t>s8013</t>
        </is>
      </c>
      <c r="B2621" s="19" t="inlineStr">
        <is>
          <t>Thrillers</t>
        </is>
      </c>
      <c r="C2621" s="19">
        <f>IFERROR(INDEX(tblNetflix[type],MATCH($A2621,tblNetflix[show_id],0)),"")</f>
        <v/>
      </c>
      <c r="D2621" s="19">
        <f>IFERROR(INDEX(tblNetflix[rating],MATCH($A2621,tblNetflix[show_id],0)),"")</f>
        <v/>
      </c>
      <c r="E2621" s="19">
        <f>IFERROR(INDEX(tblNetflix[year_added],MATCH($A2621,tblNetflix[show_id],0)),"")</f>
        <v/>
      </c>
      <c r="F2621" s="19">
        <f>IF(AND(OR(YearFilter="All",$E2621=YearFilter),OR(RatingFilter="All",$D2621=RatingFilter),OR(TypeFilter="All",$C2621=TypeFilter)),1,0)</f>
        <v/>
      </c>
    </row>
    <row r="2622" ht="15" customHeight="1" s="20">
      <c r="A2622" s="19" t="inlineStr">
        <is>
          <t>s8017</t>
        </is>
      </c>
      <c r="B2622" s="19" t="inlineStr">
        <is>
          <t>Dramas</t>
        </is>
      </c>
      <c r="C2622" s="19">
        <f>IFERROR(INDEX(tblNetflix[type],MATCH($A2622,tblNetflix[show_id],0)),"")</f>
        <v/>
      </c>
      <c r="D2622" s="19">
        <f>IFERROR(INDEX(tblNetflix[rating],MATCH($A2622,tblNetflix[show_id],0)),"")</f>
        <v/>
      </c>
      <c r="E2622" s="19">
        <f>IFERROR(INDEX(tblNetflix[year_added],MATCH($A2622,tblNetflix[show_id],0)),"")</f>
        <v/>
      </c>
      <c r="F2622" s="19">
        <f>IF(AND(OR(YearFilter="All",$E2622=YearFilter),OR(RatingFilter="All",$D2622=RatingFilter),OR(TypeFilter="All",$C2622=TypeFilter)),1,0)</f>
        <v/>
      </c>
    </row>
    <row r="2623" ht="15" customHeight="1" s="20">
      <c r="A2623" s="19" t="inlineStr">
        <is>
          <t>s8017</t>
        </is>
      </c>
      <c r="B2623" s="19" t="inlineStr">
        <is>
          <t>Independent Movies</t>
        </is>
      </c>
      <c r="C2623" s="19">
        <f>IFERROR(INDEX(tblNetflix[type],MATCH($A2623,tblNetflix[show_id],0)),"")</f>
        <v/>
      </c>
      <c r="D2623" s="19">
        <f>IFERROR(INDEX(tblNetflix[rating],MATCH($A2623,tblNetflix[show_id],0)),"")</f>
        <v/>
      </c>
      <c r="E2623" s="19">
        <f>IFERROR(INDEX(tblNetflix[year_added],MATCH($A2623,tblNetflix[show_id],0)),"")</f>
        <v/>
      </c>
      <c r="F2623" s="19">
        <f>IF(AND(OR(YearFilter="All",$E2623=YearFilter),OR(RatingFilter="All",$D2623=RatingFilter),OR(TypeFilter="All",$C2623=TypeFilter)),1,0)</f>
        <v/>
      </c>
    </row>
    <row r="2624" ht="15" customHeight="1" s="20">
      <c r="A2624" s="19" t="inlineStr">
        <is>
          <t>s8017</t>
        </is>
      </c>
      <c r="B2624" s="19" t="inlineStr">
        <is>
          <t>International Movies</t>
        </is>
      </c>
      <c r="C2624" s="19">
        <f>IFERROR(INDEX(tblNetflix[type],MATCH($A2624,tblNetflix[show_id],0)),"")</f>
        <v/>
      </c>
      <c r="D2624" s="19">
        <f>IFERROR(INDEX(tblNetflix[rating],MATCH($A2624,tblNetflix[show_id],0)),"")</f>
        <v/>
      </c>
      <c r="E2624" s="19">
        <f>IFERROR(INDEX(tblNetflix[year_added],MATCH($A2624,tblNetflix[show_id],0)),"")</f>
        <v/>
      </c>
      <c r="F2624" s="19">
        <f>IF(AND(OR(YearFilter="All",$E2624=YearFilter),OR(RatingFilter="All",$D2624=RatingFilter),OR(TypeFilter="All",$C2624=TypeFilter)),1,0)</f>
        <v/>
      </c>
    </row>
    <row r="2625" ht="15" customHeight="1" s="20">
      <c r="A2625" s="19" t="inlineStr">
        <is>
          <t>s8024</t>
        </is>
      </c>
      <c r="B2625" s="19" t="inlineStr">
        <is>
          <t>Action &amp; Adventure</t>
        </is>
      </c>
      <c r="C2625" s="19">
        <f>IFERROR(INDEX(tblNetflix[type],MATCH($A2625,tblNetflix[show_id],0)),"")</f>
        <v/>
      </c>
      <c r="D2625" s="19">
        <f>IFERROR(INDEX(tblNetflix[rating],MATCH($A2625,tblNetflix[show_id],0)),"")</f>
        <v/>
      </c>
      <c r="E2625" s="19">
        <f>IFERROR(INDEX(tblNetflix[year_added],MATCH($A2625,tblNetflix[show_id],0)),"")</f>
        <v/>
      </c>
      <c r="F2625" s="19">
        <f>IF(AND(OR(YearFilter="All",$E2625=YearFilter),OR(RatingFilter="All",$D2625=RatingFilter),OR(TypeFilter="All",$C2625=TypeFilter)),1,0)</f>
        <v/>
      </c>
    </row>
    <row r="2626" ht="15" customHeight="1" s="20">
      <c r="A2626" s="19" t="inlineStr">
        <is>
          <t>s8024</t>
        </is>
      </c>
      <c r="B2626" s="19" t="inlineStr">
        <is>
          <t>Dramas</t>
        </is>
      </c>
      <c r="C2626" s="19">
        <f>IFERROR(INDEX(tblNetflix[type],MATCH($A2626,tblNetflix[show_id],0)),"")</f>
        <v/>
      </c>
      <c r="D2626" s="19">
        <f>IFERROR(INDEX(tblNetflix[rating],MATCH($A2626,tblNetflix[show_id],0)),"")</f>
        <v/>
      </c>
      <c r="E2626" s="19">
        <f>IFERROR(INDEX(tblNetflix[year_added],MATCH($A2626,tblNetflix[show_id],0)),"")</f>
        <v/>
      </c>
      <c r="F2626" s="19">
        <f>IF(AND(OR(YearFilter="All",$E2626=YearFilter),OR(RatingFilter="All",$D2626=RatingFilter),OR(TypeFilter="All",$C2626=TypeFilter)),1,0)</f>
        <v/>
      </c>
    </row>
    <row r="2627" ht="15" customHeight="1" s="20">
      <c r="A2627" s="19" t="inlineStr">
        <is>
          <t>s8024</t>
        </is>
      </c>
      <c r="B2627" s="19" t="inlineStr">
        <is>
          <t>International Movies</t>
        </is>
      </c>
      <c r="C2627" s="19">
        <f>IFERROR(INDEX(tblNetflix[type],MATCH($A2627,tblNetflix[show_id],0)),"")</f>
        <v/>
      </c>
      <c r="D2627" s="19">
        <f>IFERROR(INDEX(tblNetflix[rating],MATCH($A2627,tblNetflix[show_id],0)),"")</f>
        <v/>
      </c>
      <c r="E2627" s="19">
        <f>IFERROR(INDEX(tblNetflix[year_added],MATCH($A2627,tblNetflix[show_id],0)),"")</f>
        <v/>
      </c>
      <c r="F2627" s="19">
        <f>IF(AND(OR(YearFilter="All",$E2627=YearFilter),OR(RatingFilter="All",$D2627=RatingFilter),OR(TypeFilter="All",$C2627=TypeFilter)),1,0)</f>
        <v/>
      </c>
    </row>
    <row r="2628" ht="15" customHeight="1" s="20">
      <c r="A2628" s="19" t="inlineStr">
        <is>
          <t>s8048</t>
        </is>
      </c>
      <c r="B2628" s="19" t="inlineStr">
        <is>
          <t>Comedies</t>
        </is>
      </c>
      <c r="C2628" s="19">
        <f>IFERROR(INDEX(tblNetflix[type],MATCH($A2628,tblNetflix[show_id],0)),"")</f>
        <v/>
      </c>
      <c r="D2628" s="19">
        <f>IFERROR(INDEX(tblNetflix[rating],MATCH($A2628,tblNetflix[show_id],0)),"")</f>
        <v/>
      </c>
      <c r="E2628" s="19">
        <f>IFERROR(INDEX(tblNetflix[year_added],MATCH($A2628,tblNetflix[show_id],0)),"")</f>
        <v/>
      </c>
      <c r="F2628" s="19">
        <f>IF(AND(OR(YearFilter="All",$E2628=YearFilter),OR(RatingFilter="All",$D2628=RatingFilter),OR(TypeFilter="All",$C2628=TypeFilter)),1,0)</f>
        <v/>
      </c>
    </row>
    <row r="2629" ht="15" customHeight="1" s="20">
      <c r="A2629" s="19" t="inlineStr">
        <is>
          <t>s8048</t>
        </is>
      </c>
      <c r="B2629" s="19" t="inlineStr">
        <is>
          <t>International Movies</t>
        </is>
      </c>
      <c r="C2629" s="19">
        <f>IFERROR(INDEX(tblNetflix[type],MATCH($A2629,tblNetflix[show_id],0)),"")</f>
        <v/>
      </c>
      <c r="D2629" s="19">
        <f>IFERROR(INDEX(tblNetflix[rating],MATCH($A2629,tblNetflix[show_id],0)),"")</f>
        <v/>
      </c>
      <c r="E2629" s="19">
        <f>IFERROR(INDEX(tblNetflix[year_added],MATCH($A2629,tblNetflix[show_id],0)),"")</f>
        <v/>
      </c>
      <c r="F2629" s="19">
        <f>IF(AND(OR(YearFilter="All",$E2629=YearFilter),OR(RatingFilter="All",$D2629=RatingFilter),OR(TypeFilter="All",$C2629=TypeFilter)),1,0)</f>
        <v/>
      </c>
    </row>
    <row r="2630" ht="15" customHeight="1" s="20">
      <c r="A2630" s="19" t="inlineStr">
        <is>
          <t>s8048</t>
        </is>
      </c>
      <c r="B2630" s="19" t="inlineStr">
        <is>
          <t>Romantic Movies</t>
        </is>
      </c>
      <c r="C2630" s="19">
        <f>IFERROR(INDEX(tblNetflix[type],MATCH($A2630,tblNetflix[show_id],0)),"")</f>
        <v/>
      </c>
      <c r="D2630" s="19">
        <f>IFERROR(INDEX(tblNetflix[rating],MATCH($A2630,tblNetflix[show_id],0)),"")</f>
        <v/>
      </c>
      <c r="E2630" s="19">
        <f>IFERROR(INDEX(tblNetflix[year_added],MATCH($A2630,tblNetflix[show_id],0)),"")</f>
        <v/>
      </c>
      <c r="F2630" s="19">
        <f>IF(AND(OR(YearFilter="All",$E2630=YearFilter),OR(RatingFilter="All",$D2630=RatingFilter),OR(TypeFilter="All",$C2630=TypeFilter)),1,0)</f>
        <v/>
      </c>
    </row>
    <row r="2631" ht="15" customHeight="1" s="20">
      <c r="A2631" s="19" t="inlineStr">
        <is>
          <t>s8091</t>
        </is>
      </c>
      <c r="B2631" s="19" t="inlineStr">
        <is>
          <t>Dramas</t>
        </is>
      </c>
      <c r="C2631" s="19">
        <f>IFERROR(INDEX(tblNetflix[type],MATCH($A2631,tblNetflix[show_id],0)),"")</f>
        <v/>
      </c>
      <c r="D2631" s="19">
        <f>IFERROR(INDEX(tblNetflix[rating],MATCH($A2631,tblNetflix[show_id],0)),"")</f>
        <v/>
      </c>
      <c r="E2631" s="19">
        <f>IFERROR(INDEX(tblNetflix[year_added],MATCH($A2631,tblNetflix[show_id],0)),"")</f>
        <v/>
      </c>
      <c r="F2631" s="19">
        <f>IF(AND(OR(YearFilter="All",$E2631=YearFilter),OR(RatingFilter="All",$D2631=RatingFilter),OR(TypeFilter="All",$C2631=TypeFilter)),1,0)</f>
        <v/>
      </c>
    </row>
    <row r="2632" ht="15" customHeight="1" s="20">
      <c r="A2632" s="19" t="inlineStr">
        <is>
          <t>s8091</t>
        </is>
      </c>
      <c r="B2632" s="19" t="inlineStr">
        <is>
          <t>International Movies</t>
        </is>
      </c>
      <c r="C2632" s="19">
        <f>IFERROR(INDEX(tblNetflix[type],MATCH($A2632,tblNetflix[show_id],0)),"")</f>
        <v/>
      </c>
      <c r="D2632" s="19">
        <f>IFERROR(INDEX(tblNetflix[rating],MATCH($A2632,tblNetflix[show_id],0)),"")</f>
        <v/>
      </c>
      <c r="E2632" s="19">
        <f>IFERROR(INDEX(tblNetflix[year_added],MATCH($A2632,tblNetflix[show_id],0)),"")</f>
        <v/>
      </c>
      <c r="F2632" s="19">
        <f>IF(AND(OR(YearFilter="All",$E2632=YearFilter),OR(RatingFilter="All",$D2632=RatingFilter),OR(TypeFilter="All",$C2632=TypeFilter)),1,0)</f>
        <v/>
      </c>
    </row>
    <row r="2633" ht="15" customHeight="1" s="20">
      <c r="A2633" s="19" t="inlineStr">
        <is>
          <t>s8099</t>
        </is>
      </c>
      <c r="B2633" s="19" t="inlineStr">
        <is>
          <t>Comedies</t>
        </is>
      </c>
      <c r="C2633" s="19">
        <f>IFERROR(INDEX(tblNetflix[type],MATCH($A2633,tblNetflix[show_id],0)),"")</f>
        <v/>
      </c>
      <c r="D2633" s="19">
        <f>IFERROR(INDEX(tblNetflix[rating],MATCH($A2633,tblNetflix[show_id],0)),"")</f>
        <v/>
      </c>
      <c r="E2633" s="19">
        <f>IFERROR(INDEX(tblNetflix[year_added],MATCH($A2633,tblNetflix[show_id],0)),"")</f>
        <v/>
      </c>
      <c r="F2633" s="19">
        <f>IF(AND(OR(YearFilter="All",$E2633=YearFilter),OR(RatingFilter="All",$D2633=RatingFilter),OR(TypeFilter="All",$C2633=TypeFilter)),1,0)</f>
        <v/>
      </c>
    </row>
    <row r="2634" ht="15" customHeight="1" s="20">
      <c r="A2634" s="19" t="inlineStr">
        <is>
          <t>s8099</t>
        </is>
      </c>
      <c r="B2634" s="19" t="inlineStr">
        <is>
          <t>International Movies</t>
        </is>
      </c>
      <c r="C2634" s="19">
        <f>IFERROR(INDEX(tblNetflix[type],MATCH($A2634,tblNetflix[show_id],0)),"")</f>
        <v/>
      </c>
      <c r="D2634" s="19">
        <f>IFERROR(INDEX(tblNetflix[rating],MATCH($A2634,tblNetflix[show_id],0)),"")</f>
        <v/>
      </c>
      <c r="E2634" s="19">
        <f>IFERROR(INDEX(tblNetflix[year_added],MATCH($A2634,tblNetflix[show_id],0)),"")</f>
        <v/>
      </c>
      <c r="F2634" s="19">
        <f>IF(AND(OR(YearFilter="All",$E2634=YearFilter),OR(RatingFilter="All",$D2634=RatingFilter),OR(TypeFilter="All",$C2634=TypeFilter)),1,0)</f>
        <v/>
      </c>
    </row>
    <row r="2635" ht="15" customHeight="1" s="20">
      <c r="A2635" s="19" t="inlineStr">
        <is>
          <t>s8099</t>
        </is>
      </c>
      <c r="B2635" s="19" t="inlineStr">
        <is>
          <t>Romantic Movies</t>
        </is>
      </c>
      <c r="C2635" s="19">
        <f>IFERROR(INDEX(tblNetflix[type],MATCH($A2635,tblNetflix[show_id],0)),"")</f>
        <v/>
      </c>
      <c r="D2635" s="19">
        <f>IFERROR(INDEX(tblNetflix[rating],MATCH($A2635,tblNetflix[show_id],0)),"")</f>
        <v/>
      </c>
      <c r="E2635" s="19">
        <f>IFERROR(INDEX(tblNetflix[year_added],MATCH($A2635,tblNetflix[show_id],0)),"")</f>
        <v/>
      </c>
      <c r="F2635" s="19">
        <f>IF(AND(OR(YearFilter="All",$E2635=YearFilter),OR(RatingFilter="All",$D2635=RatingFilter),OR(TypeFilter="All",$C2635=TypeFilter)),1,0)</f>
        <v/>
      </c>
    </row>
    <row r="2636" ht="15" customHeight="1" s="20">
      <c r="A2636" s="19" t="inlineStr">
        <is>
          <t>s8115</t>
        </is>
      </c>
      <c r="B2636" s="19" t="inlineStr">
        <is>
          <t>Comedies</t>
        </is>
      </c>
      <c r="C2636" s="19">
        <f>IFERROR(INDEX(tblNetflix[type],MATCH($A2636,tblNetflix[show_id],0)),"")</f>
        <v/>
      </c>
      <c r="D2636" s="19">
        <f>IFERROR(INDEX(tblNetflix[rating],MATCH($A2636,tblNetflix[show_id],0)),"")</f>
        <v/>
      </c>
      <c r="E2636" s="19">
        <f>IFERROR(INDEX(tblNetflix[year_added],MATCH($A2636,tblNetflix[show_id],0)),"")</f>
        <v/>
      </c>
      <c r="F2636" s="19">
        <f>IF(AND(OR(YearFilter="All",$E2636=YearFilter),OR(RatingFilter="All",$D2636=RatingFilter),OR(TypeFilter="All",$C2636=TypeFilter)),1,0)</f>
        <v/>
      </c>
    </row>
    <row r="2637" ht="15" customHeight="1" s="20">
      <c r="A2637" s="19" t="inlineStr">
        <is>
          <t>s8115</t>
        </is>
      </c>
      <c r="B2637" s="19" t="inlineStr">
        <is>
          <t>Dramas</t>
        </is>
      </c>
      <c r="C2637" s="19">
        <f>IFERROR(INDEX(tblNetflix[type],MATCH($A2637,tblNetflix[show_id],0)),"")</f>
        <v/>
      </c>
      <c r="D2637" s="19">
        <f>IFERROR(INDEX(tblNetflix[rating],MATCH($A2637,tblNetflix[show_id],0)),"")</f>
        <v/>
      </c>
      <c r="E2637" s="19">
        <f>IFERROR(INDEX(tblNetflix[year_added],MATCH($A2637,tblNetflix[show_id],0)),"")</f>
        <v/>
      </c>
      <c r="F2637" s="19">
        <f>IF(AND(OR(YearFilter="All",$E2637=YearFilter),OR(RatingFilter="All",$D2637=RatingFilter),OR(TypeFilter="All",$C2637=TypeFilter)),1,0)</f>
        <v/>
      </c>
    </row>
    <row r="2638" ht="15" customHeight="1" s="20">
      <c r="A2638" s="19" t="inlineStr">
        <is>
          <t>s8115</t>
        </is>
      </c>
      <c r="B2638" s="19" t="inlineStr">
        <is>
          <t>International Movies</t>
        </is>
      </c>
      <c r="C2638" s="19">
        <f>IFERROR(INDEX(tblNetflix[type],MATCH($A2638,tblNetflix[show_id],0)),"")</f>
        <v/>
      </c>
      <c r="D2638" s="19">
        <f>IFERROR(INDEX(tblNetflix[rating],MATCH($A2638,tblNetflix[show_id],0)),"")</f>
        <v/>
      </c>
      <c r="E2638" s="19">
        <f>IFERROR(INDEX(tblNetflix[year_added],MATCH($A2638,tblNetflix[show_id],0)),"")</f>
        <v/>
      </c>
      <c r="F2638" s="19">
        <f>IF(AND(OR(YearFilter="All",$E2638=YearFilter),OR(RatingFilter="All",$D2638=RatingFilter),OR(TypeFilter="All",$C2638=TypeFilter)),1,0)</f>
        <v/>
      </c>
    </row>
    <row r="2639" ht="15" customHeight="1" s="20">
      <c r="A2639" s="19" t="inlineStr">
        <is>
          <t>s8121</t>
        </is>
      </c>
      <c r="B2639" s="19" t="inlineStr">
        <is>
          <t>Dramas</t>
        </is>
      </c>
      <c r="C2639" s="19">
        <f>IFERROR(INDEX(tblNetflix[type],MATCH($A2639,tblNetflix[show_id],0)),"")</f>
        <v/>
      </c>
      <c r="D2639" s="19">
        <f>IFERROR(INDEX(tblNetflix[rating],MATCH($A2639,tblNetflix[show_id],0)),"")</f>
        <v/>
      </c>
      <c r="E2639" s="19">
        <f>IFERROR(INDEX(tblNetflix[year_added],MATCH($A2639,tblNetflix[show_id],0)),"")</f>
        <v/>
      </c>
      <c r="F2639" s="19">
        <f>IF(AND(OR(YearFilter="All",$E2639=YearFilter),OR(RatingFilter="All",$D2639=RatingFilter),OR(TypeFilter="All",$C2639=TypeFilter)),1,0)</f>
        <v/>
      </c>
    </row>
    <row r="2640" ht="15" customHeight="1" s="20">
      <c r="A2640" s="19" t="inlineStr">
        <is>
          <t>s8121</t>
        </is>
      </c>
      <c r="B2640" s="19" t="inlineStr">
        <is>
          <t>Independent Movies</t>
        </is>
      </c>
      <c r="C2640" s="19">
        <f>IFERROR(INDEX(tblNetflix[type],MATCH($A2640,tblNetflix[show_id],0)),"")</f>
        <v/>
      </c>
      <c r="D2640" s="19">
        <f>IFERROR(INDEX(tblNetflix[rating],MATCH($A2640,tblNetflix[show_id],0)),"")</f>
        <v/>
      </c>
      <c r="E2640" s="19">
        <f>IFERROR(INDEX(tblNetflix[year_added],MATCH($A2640,tblNetflix[show_id],0)),"")</f>
        <v/>
      </c>
      <c r="F2640" s="19">
        <f>IF(AND(OR(YearFilter="All",$E2640=YearFilter),OR(RatingFilter="All",$D2640=RatingFilter),OR(TypeFilter="All",$C2640=TypeFilter)),1,0)</f>
        <v/>
      </c>
    </row>
    <row r="2641" ht="15" customHeight="1" s="20">
      <c r="A2641" s="19" t="inlineStr">
        <is>
          <t>s8121</t>
        </is>
      </c>
      <c r="B2641" s="19" t="inlineStr">
        <is>
          <t>International Movies</t>
        </is>
      </c>
      <c r="C2641" s="19">
        <f>IFERROR(INDEX(tblNetflix[type],MATCH($A2641,tblNetflix[show_id],0)),"")</f>
        <v/>
      </c>
      <c r="D2641" s="19">
        <f>IFERROR(INDEX(tblNetflix[rating],MATCH($A2641,tblNetflix[show_id],0)),"")</f>
        <v/>
      </c>
      <c r="E2641" s="19">
        <f>IFERROR(INDEX(tblNetflix[year_added],MATCH($A2641,tblNetflix[show_id],0)),"")</f>
        <v/>
      </c>
      <c r="F2641" s="19">
        <f>IF(AND(OR(YearFilter="All",$E2641=YearFilter),OR(RatingFilter="All",$D2641=RatingFilter),OR(TypeFilter="All",$C2641=TypeFilter)),1,0)</f>
        <v/>
      </c>
    </row>
    <row r="2642" ht="15" customHeight="1" s="20">
      <c r="A2642" s="19" t="inlineStr">
        <is>
          <t>s8122</t>
        </is>
      </c>
      <c r="B2642" s="19" t="inlineStr">
        <is>
          <t>Kids' TV</t>
        </is>
      </c>
      <c r="C2642" s="19">
        <f>IFERROR(INDEX(tblNetflix[type],MATCH($A2642,tblNetflix[show_id],0)),"")</f>
        <v/>
      </c>
      <c r="D2642" s="19">
        <f>IFERROR(INDEX(tblNetflix[rating],MATCH($A2642,tblNetflix[show_id],0)),"")</f>
        <v/>
      </c>
      <c r="E2642" s="19">
        <f>IFERROR(INDEX(tblNetflix[year_added],MATCH($A2642,tblNetflix[show_id],0)),"")</f>
        <v/>
      </c>
      <c r="F2642" s="19">
        <f>IF(AND(OR(YearFilter="All",$E2642=YearFilter),OR(RatingFilter="All",$D2642=RatingFilter),OR(TypeFilter="All",$C2642=TypeFilter)),1,0)</f>
        <v/>
      </c>
    </row>
    <row r="2643" ht="15" customHeight="1" s="20">
      <c r="A2643" s="19" t="inlineStr">
        <is>
          <t>s8123</t>
        </is>
      </c>
      <c r="B2643" s="19" t="inlineStr">
        <is>
          <t>Children &amp; Family Movies</t>
        </is>
      </c>
      <c r="C2643" s="19">
        <f>IFERROR(INDEX(tblNetflix[type],MATCH($A2643,tblNetflix[show_id],0)),"")</f>
        <v/>
      </c>
      <c r="D2643" s="19">
        <f>IFERROR(INDEX(tblNetflix[rating],MATCH($A2643,tblNetflix[show_id],0)),"")</f>
        <v/>
      </c>
      <c r="E2643" s="19">
        <f>IFERROR(INDEX(tblNetflix[year_added],MATCH($A2643,tblNetflix[show_id],0)),"")</f>
        <v/>
      </c>
      <c r="F2643" s="19">
        <f>IF(AND(OR(YearFilter="All",$E2643=YearFilter),OR(RatingFilter="All",$D2643=RatingFilter),OR(TypeFilter="All",$C2643=TypeFilter)),1,0)</f>
        <v/>
      </c>
    </row>
    <row r="2644" ht="15" customHeight="1" s="20">
      <c r="A2644" s="19" t="inlineStr">
        <is>
          <t>s8125</t>
        </is>
      </c>
      <c r="B2644" s="19" t="inlineStr">
        <is>
          <t>Comedies</t>
        </is>
      </c>
      <c r="C2644" s="19">
        <f>IFERROR(INDEX(tblNetflix[type],MATCH($A2644,tblNetflix[show_id],0)),"")</f>
        <v/>
      </c>
      <c r="D2644" s="19">
        <f>IFERROR(INDEX(tblNetflix[rating],MATCH($A2644,tblNetflix[show_id],0)),"")</f>
        <v/>
      </c>
      <c r="E2644" s="19">
        <f>IFERROR(INDEX(tblNetflix[year_added],MATCH($A2644,tblNetflix[show_id],0)),"")</f>
        <v/>
      </c>
      <c r="F2644" s="19">
        <f>IF(AND(OR(YearFilter="All",$E2644=YearFilter),OR(RatingFilter="All",$D2644=RatingFilter),OR(TypeFilter="All",$C2644=TypeFilter)),1,0)</f>
        <v/>
      </c>
    </row>
    <row r="2645" ht="15" customHeight="1" s="20">
      <c r="A2645" s="19" t="inlineStr">
        <is>
          <t>s8125</t>
        </is>
      </c>
      <c r="B2645" s="19" t="inlineStr">
        <is>
          <t>Dramas</t>
        </is>
      </c>
      <c r="C2645" s="19">
        <f>IFERROR(INDEX(tblNetflix[type],MATCH($A2645,tblNetflix[show_id],0)),"")</f>
        <v/>
      </c>
      <c r="D2645" s="19">
        <f>IFERROR(INDEX(tblNetflix[rating],MATCH($A2645,tblNetflix[show_id],0)),"")</f>
        <v/>
      </c>
      <c r="E2645" s="19">
        <f>IFERROR(INDEX(tblNetflix[year_added],MATCH($A2645,tblNetflix[show_id],0)),"")</f>
        <v/>
      </c>
      <c r="F2645" s="19">
        <f>IF(AND(OR(YearFilter="All",$E2645=YearFilter),OR(RatingFilter="All",$D2645=RatingFilter),OR(TypeFilter="All",$C2645=TypeFilter)),1,0)</f>
        <v/>
      </c>
    </row>
    <row r="2646" ht="15" customHeight="1" s="20">
      <c r="A2646" s="19" t="inlineStr">
        <is>
          <t>s8125</t>
        </is>
      </c>
      <c r="B2646" s="19" t="inlineStr">
        <is>
          <t>International Movies</t>
        </is>
      </c>
      <c r="C2646" s="19">
        <f>IFERROR(INDEX(tblNetflix[type],MATCH($A2646,tblNetflix[show_id],0)),"")</f>
        <v/>
      </c>
      <c r="D2646" s="19">
        <f>IFERROR(INDEX(tblNetflix[rating],MATCH($A2646,tblNetflix[show_id],0)),"")</f>
        <v/>
      </c>
      <c r="E2646" s="19">
        <f>IFERROR(INDEX(tblNetflix[year_added],MATCH($A2646,tblNetflix[show_id],0)),"")</f>
        <v/>
      </c>
      <c r="F2646" s="19">
        <f>IF(AND(OR(YearFilter="All",$E2646=YearFilter),OR(RatingFilter="All",$D2646=RatingFilter),OR(TypeFilter="All",$C2646=TypeFilter)),1,0)</f>
        <v/>
      </c>
    </row>
    <row r="2647" ht="15" customHeight="1" s="20">
      <c r="A2647" s="19" t="inlineStr">
        <is>
          <t>s8137</t>
        </is>
      </c>
      <c r="B2647" s="19" t="inlineStr">
        <is>
          <t>Dramas</t>
        </is>
      </c>
      <c r="C2647" s="19">
        <f>IFERROR(INDEX(tblNetflix[type],MATCH($A2647,tblNetflix[show_id],0)),"")</f>
        <v/>
      </c>
      <c r="D2647" s="19">
        <f>IFERROR(INDEX(tblNetflix[rating],MATCH($A2647,tblNetflix[show_id],0)),"")</f>
        <v/>
      </c>
      <c r="E2647" s="19">
        <f>IFERROR(INDEX(tblNetflix[year_added],MATCH($A2647,tblNetflix[show_id],0)),"")</f>
        <v/>
      </c>
      <c r="F2647" s="19">
        <f>IF(AND(OR(YearFilter="All",$E2647=YearFilter),OR(RatingFilter="All",$D2647=RatingFilter),OR(TypeFilter="All",$C2647=TypeFilter)),1,0)</f>
        <v/>
      </c>
    </row>
    <row r="2648" ht="15" customHeight="1" s="20">
      <c r="A2648" s="19" t="inlineStr">
        <is>
          <t>s8137</t>
        </is>
      </c>
      <c r="B2648" s="19" t="inlineStr">
        <is>
          <t>Independent Movies</t>
        </is>
      </c>
      <c r="C2648" s="19">
        <f>IFERROR(INDEX(tblNetflix[type],MATCH($A2648,tblNetflix[show_id],0)),"")</f>
        <v/>
      </c>
      <c r="D2648" s="19">
        <f>IFERROR(INDEX(tblNetflix[rating],MATCH($A2648,tblNetflix[show_id],0)),"")</f>
        <v/>
      </c>
      <c r="E2648" s="19">
        <f>IFERROR(INDEX(tblNetflix[year_added],MATCH($A2648,tblNetflix[show_id],0)),"")</f>
        <v/>
      </c>
      <c r="F2648" s="19">
        <f>IF(AND(OR(YearFilter="All",$E2648=YearFilter),OR(RatingFilter="All",$D2648=RatingFilter),OR(TypeFilter="All",$C2648=TypeFilter)),1,0)</f>
        <v/>
      </c>
    </row>
    <row r="2649" ht="15" customHeight="1" s="20">
      <c r="A2649" s="19" t="inlineStr">
        <is>
          <t>s8137</t>
        </is>
      </c>
      <c r="B2649" s="19" t="inlineStr">
        <is>
          <t>International Movies</t>
        </is>
      </c>
      <c r="C2649" s="19">
        <f>IFERROR(INDEX(tblNetflix[type],MATCH($A2649,tblNetflix[show_id],0)),"")</f>
        <v/>
      </c>
      <c r="D2649" s="19">
        <f>IFERROR(INDEX(tblNetflix[rating],MATCH($A2649,tblNetflix[show_id],0)),"")</f>
        <v/>
      </c>
      <c r="E2649" s="19">
        <f>IFERROR(INDEX(tblNetflix[year_added],MATCH($A2649,tblNetflix[show_id],0)),"")</f>
        <v/>
      </c>
      <c r="F2649" s="19">
        <f>IF(AND(OR(YearFilter="All",$E2649=YearFilter),OR(RatingFilter="All",$D2649=RatingFilter),OR(TypeFilter="All",$C2649=TypeFilter)),1,0)</f>
        <v/>
      </c>
    </row>
    <row r="2650" ht="15" customHeight="1" s="20">
      <c r="A2650" s="19" t="inlineStr">
        <is>
          <t>s8145</t>
        </is>
      </c>
      <c r="B2650" s="19" t="inlineStr">
        <is>
          <t>Dramas</t>
        </is>
      </c>
      <c r="C2650" s="19">
        <f>IFERROR(INDEX(tblNetflix[type],MATCH($A2650,tblNetflix[show_id],0)),"")</f>
        <v/>
      </c>
      <c r="D2650" s="19">
        <f>IFERROR(INDEX(tblNetflix[rating],MATCH($A2650,tblNetflix[show_id],0)),"")</f>
        <v/>
      </c>
      <c r="E2650" s="19">
        <f>IFERROR(INDEX(tblNetflix[year_added],MATCH($A2650,tblNetflix[show_id],0)),"")</f>
        <v/>
      </c>
      <c r="F2650" s="19">
        <f>IF(AND(OR(YearFilter="All",$E2650=YearFilter),OR(RatingFilter="All",$D2650=RatingFilter),OR(TypeFilter="All",$C2650=TypeFilter)),1,0)</f>
        <v/>
      </c>
    </row>
    <row r="2651" ht="15" customHeight="1" s="20">
      <c r="A2651" s="19" t="inlineStr">
        <is>
          <t>s8145</t>
        </is>
      </c>
      <c r="B2651" s="19" t="inlineStr">
        <is>
          <t>International Movies</t>
        </is>
      </c>
      <c r="C2651" s="19">
        <f>IFERROR(INDEX(tblNetflix[type],MATCH($A2651,tblNetflix[show_id],0)),"")</f>
        <v/>
      </c>
      <c r="D2651" s="19">
        <f>IFERROR(INDEX(tblNetflix[rating],MATCH($A2651,tblNetflix[show_id],0)),"")</f>
        <v/>
      </c>
      <c r="E2651" s="19">
        <f>IFERROR(INDEX(tblNetflix[year_added],MATCH($A2651,tblNetflix[show_id],0)),"")</f>
        <v/>
      </c>
      <c r="F2651" s="19">
        <f>IF(AND(OR(YearFilter="All",$E2651=YearFilter),OR(RatingFilter="All",$D2651=RatingFilter),OR(TypeFilter="All",$C2651=TypeFilter)),1,0)</f>
        <v/>
      </c>
    </row>
    <row r="2652" ht="15" customHeight="1" s="20">
      <c r="A2652" s="19" t="inlineStr">
        <is>
          <t>s8145</t>
        </is>
      </c>
      <c r="B2652" s="19" t="inlineStr">
        <is>
          <t>Music &amp; Musicals</t>
        </is>
      </c>
      <c r="C2652" s="19">
        <f>IFERROR(INDEX(tblNetflix[type],MATCH($A2652,tblNetflix[show_id],0)),"")</f>
        <v/>
      </c>
      <c r="D2652" s="19">
        <f>IFERROR(INDEX(tblNetflix[rating],MATCH($A2652,tblNetflix[show_id],0)),"")</f>
        <v/>
      </c>
      <c r="E2652" s="19">
        <f>IFERROR(INDEX(tblNetflix[year_added],MATCH($A2652,tblNetflix[show_id],0)),"")</f>
        <v/>
      </c>
      <c r="F2652" s="19">
        <f>IF(AND(OR(YearFilter="All",$E2652=YearFilter),OR(RatingFilter="All",$D2652=RatingFilter),OR(TypeFilter="All",$C2652=TypeFilter)),1,0)</f>
        <v/>
      </c>
    </row>
    <row r="2653" ht="15" customHeight="1" s="20">
      <c r="A2653" s="19" t="inlineStr">
        <is>
          <t>s8146</t>
        </is>
      </c>
      <c r="B2653" s="19" t="inlineStr">
        <is>
          <t>Dramas</t>
        </is>
      </c>
      <c r="C2653" s="19">
        <f>IFERROR(INDEX(tblNetflix[type],MATCH($A2653,tblNetflix[show_id],0)),"")</f>
        <v/>
      </c>
      <c r="D2653" s="19">
        <f>IFERROR(INDEX(tblNetflix[rating],MATCH($A2653,tblNetflix[show_id],0)),"")</f>
        <v/>
      </c>
      <c r="E2653" s="19">
        <f>IFERROR(INDEX(tblNetflix[year_added],MATCH($A2653,tblNetflix[show_id],0)),"")</f>
        <v/>
      </c>
      <c r="F2653" s="19">
        <f>IF(AND(OR(YearFilter="All",$E2653=YearFilter),OR(RatingFilter="All",$D2653=RatingFilter),OR(TypeFilter="All",$C2653=TypeFilter)),1,0)</f>
        <v/>
      </c>
    </row>
    <row r="2654" ht="15" customHeight="1" s="20">
      <c r="A2654" s="19" t="inlineStr">
        <is>
          <t>s8146</t>
        </is>
      </c>
      <c r="B2654" s="19" t="inlineStr">
        <is>
          <t>International Movies</t>
        </is>
      </c>
      <c r="C2654" s="19">
        <f>IFERROR(INDEX(tblNetflix[type],MATCH($A2654,tblNetflix[show_id],0)),"")</f>
        <v/>
      </c>
      <c r="D2654" s="19">
        <f>IFERROR(INDEX(tblNetflix[rating],MATCH($A2654,tblNetflix[show_id],0)),"")</f>
        <v/>
      </c>
      <c r="E2654" s="19">
        <f>IFERROR(INDEX(tblNetflix[year_added],MATCH($A2654,tblNetflix[show_id],0)),"")</f>
        <v/>
      </c>
      <c r="F2654" s="19">
        <f>IF(AND(OR(YearFilter="All",$E2654=YearFilter),OR(RatingFilter="All",$D2654=RatingFilter),OR(TypeFilter="All",$C2654=TypeFilter)),1,0)</f>
        <v/>
      </c>
    </row>
    <row r="2655" ht="15" customHeight="1" s="20">
      <c r="A2655" s="19" t="inlineStr">
        <is>
          <t>s8150</t>
        </is>
      </c>
      <c r="B2655" s="19" t="inlineStr">
        <is>
          <t>Action &amp; Adventure</t>
        </is>
      </c>
      <c r="C2655" s="19">
        <f>IFERROR(INDEX(tblNetflix[type],MATCH($A2655,tblNetflix[show_id],0)),"")</f>
        <v/>
      </c>
      <c r="D2655" s="19">
        <f>IFERROR(INDEX(tblNetflix[rating],MATCH($A2655,tblNetflix[show_id],0)),"")</f>
        <v/>
      </c>
      <c r="E2655" s="19">
        <f>IFERROR(INDEX(tblNetflix[year_added],MATCH($A2655,tblNetflix[show_id],0)),"")</f>
        <v/>
      </c>
      <c r="F2655" s="19">
        <f>IF(AND(OR(YearFilter="All",$E2655=YearFilter),OR(RatingFilter="All",$D2655=RatingFilter),OR(TypeFilter="All",$C2655=TypeFilter)),1,0)</f>
        <v/>
      </c>
    </row>
    <row r="2656" ht="15" customHeight="1" s="20">
      <c r="A2656" s="19" t="inlineStr">
        <is>
          <t>s8150</t>
        </is>
      </c>
      <c r="B2656" s="19" t="inlineStr">
        <is>
          <t>International Movies</t>
        </is>
      </c>
      <c r="C2656" s="19">
        <f>IFERROR(INDEX(tblNetflix[type],MATCH($A2656,tblNetflix[show_id],0)),"")</f>
        <v/>
      </c>
      <c r="D2656" s="19">
        <f>IFERROR(INDEX(tblNetflix[rating],MATCH($A2656,tblNetflix[show_id],0)),"")</f>
        <v/>
      </c>
      <c r="E2656" s="19">
        <f>IFERROR(INDEX(tblNetflix[year_added],MATCH($A2656,tblNetflix[show_id],0)),"")</f>
        <v/>
      </c>
      <c r="F2656" s="19">
        <f>IF(AND(OR(YearFilter="All",$E2656=YearFilter),OR(RatingFilter="All",$D2656=RatingFilter),OR(TypeFilter="All",$C2656=TypeFilter)),1,0)</f>
        <v/>
      </c>
    </row>
    <row r="2657" ht="15" customHeight="1" s="20">
      <c r="A2657" s="19" t="inlineStr">
        <is>
          <t>s8150</t>
        </is>
      </c>
      <c r="B2657" s="19" t="inlineStr">
        <is>
          <t>Romantic Movies</t>
        </is>
      </c>
      <c r="C2657" s="19">
        <f>IFERROR(INDEX(tblNetflix[type],MATCH($A2657,tblNetflix[show_id],0)),"")</f>
        <v/>
      </c>
      <c r="D2657" s="19">
        <f>IFERROR(INDEX(tblNetflix[rating],MATCH($A2657,tblNetflix[show_id],0)),"")</f>
        <v/>
      </c>
      <c r="E2657" s="19">
        <f>IFERROR(INDEX(tblNetflix[year_added],MATCH($A2657,tblNetflix[show_id],0)),"")</f>
        <v/>
      </c>
      <c r="F2657" s="19">
        <f>IF(AND(OR(YearFilter="All",$E2657=YearFilter),OR(RatingFilter="All",$D2657=RatingFilter),OR(TypeFilter="All",$C2657=TypeFilter)),1,0)</f>
        <v/>
      </c>
    </row>
    <row r="2658" ht="15" customHeight="1" s="20">
      <c r="A2658" s="19" t="inlineStr">
        <is>
          <t>s8157</t>
        </is>
      </c>
      <c r="B2658" s="19" t="inlineStr">
        <is>
          <t>Dramas</t>
        </is>
      </c>
      <c r="C2658" s="19">
        <f>IFERROR(INDEX(tblNetflix[type],MATCH($A2658,tblNetflix[show_id],0)),"")</f>
        <v/>
      </c>
      <c r="D2658" s="19">
        <f>IFERROR(INDEX(tblNetflix[rating],MATCH($A2658,tblNetflix[show_id],0)),"")</f>
        <v/>
      </c>
      <c r="E2658" s="19">
        <f>IFERROR(INDEX(tblNetflix[year_added],MATCH($A2658,tblNetflix[show_id],0)),"")</f>
        <v/>
      </c>
      <c r="F2658" s="19">
        <f>IF(AND(OR(YearFilter="All",$E2658=YearFilter),OR(RatingFilter="All",$D2658=RatingFilter),OR(TypeFilter="All",$C2658=TypeFilter)),1,0)</f>
        <v/>
      </c>
    </row>
    <row r="2659" ht="15" customHeight="1" s="20">
      <c r="A2659" s="19" t="inlineStr">
        <is>
          <t>s8157</t>
        </is>
      </c>
      <c r="B2659" s="19" t="inlineStr">
        <is>
          <t>International Movies</t>
        </is>
      </c>
      <c r="C2659" s="19">
        <f>IFERROR(INDEX(tblNetflix[type],MATCH($A2659,tblNetflix[show_id],0)),"")</f>
        <v/>
      </c>
      <c r="D2659" s="19">
        <f>IFERROR(INDEX(tblNetflix[rating],MATCH($A2659,tblNetflix[show_id],0)),"")</f>
        <v/>
      </c>
      <c r="E2659" s="19">
        <f>IFERROR(INDEX(tblNetflix[year_added],MATCH($A2659,tblNetflix[show_id],0)),"")</f>
        <v/>
      </c>
      <c r="F2659" s="19">
        <f>IF(AND(OR(YearFilter="All",$E2659=YearFilter),OR(RatingFilter="All",$D2659=RatingFilter),OR(TypeFilter="All",$C2659=TypeFilter)),1,0)</f>
        <v/>
      </c>
    </row>
    <row r="2660" ht="15" customHeight="1" s="20">
      <c r="A2660" s="19" t="inlineStr">
        <is>
          <t>s8157</t>
        </is>
      </c>
      <c r="B2660" s="19" t="inlineStr">
        <is>
          <t>Thrillers</t>
        </is>
      </c>
      <c r="C2660" s="19">
        <f>IFERROR(INDEX(tblNetflix[type],MATCH($A2660,tblNetflix[show_id],0)),"")</f>
        <v/>
      </c>
      <c r="D2660" s="19">
        <f>IFERROR(INDEX(tblNetflix[rating],MATCH($A2660,tblNetflix[show_id],0)),"")</f>
        <v/>
      </c>
      <c r="E2660" s="19">
        <f>IFERROR(INDEX(tblNetflix[year_added],MATCH($A2660,tblNetflix[show_id],0)),"")</f>
        <v/>
      </c>
      <c r="F2660" s="19">
        <f>IF(AND(OR(YearFilter="All",$E2660=YearFilter),OR(RatingFilter="All",$D2660=RatingFilter),OR(TypeFilter="All",$C2660=TypeFilter)),1,0)</f>
        <v/>
      </c>
    </row>
    <row r="2661" ht="15" customHeight="1" s="20">
      <c r="A2661" s="19" t="inlineStr">
        <is>
          <t>s8162</t>
        </is>
      </c>
      <c r="B2661" s="19" t="inlineStr">
        <is>
          <t>Comedies</t>
        </is>
      </c>
      <c r="C2661" s="19">
        <f>IFERROR(INDEX(tblNetflix[type],MATCH($A2661,tblNetflix[show_id],0)),"")</f>
        <v/>
      </c>
      <c r="D2661" s="19">
        <f>IFERROR(INDEX(tblNetflix[rating],MATCH($A2661,tblNetflix[show_id],0)),"")</f>
        <v/>
      </c>
      <c r="E2661" s="19">
        <f>IFERROR(INDEX(tblNetflix[year_added],MATCH($A2661,tblNetflix[show_id],0)),"")</f>
        <v/>
      </c>
      <c r="F2661" s="19">
        <f>IF(AND(OR(YearFilter="All",$E2661=YearFilter),OR(RatingFilter="All",$D2661=RatingFilter),OR(TypeFilter="All",$C2661=TypeFilter)),1,0)</f>
        <v/>
      </c>
    </row>
    <row r="2662" ht="15" customHeight="1" s="20">
      <c r="A2662" s="19" t="inlineStr">
        <is>
          <t>s8162</t>
        </is>
      </c>
      <c r="B2662" s="19" t="inlineStr">
        <is>
          <t>International Movies</t>
        </is>
      </c>
      <c r="C2662" s="19">
        <f>IFERROR(INDEX(tblNetflix[type],MATCH($A2662,tblNetflix[show_id],0)),"")</f>
        <v/>
      </c>
      <c r="D2662" s="19">
        <f>IFERROR(INDEX(tblNetflix[rating],MATCH($A2662,tblNetflix[show_id],0)),"")</f>
        <v/>
      </c>
      <c r="E2662" s="19">
        <f>IFERROR(INDEX(tblNetflix[year_added],MATCH($A2662,tblNetflix[show_id],0)),"")</f>
        <v/>
      </c>
      <c r="F2662" s="19">
        <f>IF(AND(OR(YearFilter="All",$E2662=YearFilter),OR(RatingFilter="All",$D2662=RatingFilter),OR(TypeFilter="All",$C2662=TypeFilter)),1,0)</f>
        <v/>
      </c>
    </row>
    <row r="2663" ht="15" customHeight="1" s="20">
      <c r="A2663" s="19" t="inlineStr">
        <is>
          <t>s8162</t>
        </is>
      </c>
      <c r="B2663" s="19" t="inlineStr">
        <is>
          <t>Music &amp; Musicals</t>
        </is>
      </c>
      <c r="C2663" s="19">
        <f>IFERROR(INDEX(tblNetflix[type],MATCH($A2663,tblNetflix[show_id],0)),"")</f>
        <v/>
      </c>
      <c r="D2663" s="19">
        <f>IFERROR(INDEX(tblNetflix[rating],MATCH($A2663,tblNetflix[show_id],0)),"")</f>
        <v/>
      </c>
      <c r="E2663" s="19">
        <f>IFERROR(INDEX(tblNetflix[year_added],MATCH($A2663,tblNetflix[show_id],0)),"")</f>
        <v/>
      </c>
      <c r="F2663" s="19">
        <f>IF(AND(OR(YearFilter="All",$E2663=YearFilter),OR(RatingFilter="All",$D2663=RatingFilter),OR(TypeFilter="All",$C2663=TypeFilter)),1,0)</f>
        <v/>
      </c>
    </row>
    <row r="2664" ht="15" customHeight="1" s="20">
      <c r="A2664" s="19" t="inlineStr">
        <is>
          <t>s8171</t>
        </is>
      </c>
      <c r="B2664" s="19" t="inlineStr">
        <is>
          <t>Comedies</t>
        </is>
      </c>
      <c r="C2664" s="19">
        <f>IFERROR(INDEX(tblNetflix[type],MATCH($A2664,tblNetflix[show_id],0)),"")</f>
        <v/>
      </c>
      <c r="D2664" s="19">
        <f>IFERROR(INDEX(tblNetflix[rating],MATCH($A2664,tblNetflix[show_id],0)),"")</f>
        <v/>
      </c>
      <c r="E2664" s="19">
        <f>IFERROR(INDEX(tblNetflix[year_added],MATCH($A2664,tblNetflix[show_id],0)),"")</f>
        <v/>
      </c>
      <c r="F2664" s="19">
        <f>IF(AND(OR(YearFilter="All",$E2664=YearFilter),OR(RatingFilter="All",$D2664=RatingFilter),OR(TypeFilter="All",$C2664=TypeFilter)),1,0)</f>
        <v/>
      </c>
    </row>
    <row r="2665" ht="15" customHeight="1" s="20">
      <c r="A2665" s="19" t="inlineStr">
        <is>
          <t>s8171</t>
        </is>
      </c>
      <c r="B2665" s="19" t="inlineStr">
        <is>
          <t>International Movies</t>
        </is>
      </c>
      <c r="C2665" s="19">
        <f>IFERROR(INDEX(tblNetflix[type],MATCH($A2665,tblNetflix[show_id],0)),"")</f>
        <v/>
      </c>
      <c r="D2665" s="19">
        <f>IFERROR(INDEX(tblNetflix[rating],MATCH($A2665,tblNetflix[show_id],0)),"")</f>
        <v/>
      </c>
      <c r="E2665" s="19">
        <f>IFERROR(INDEX(tblNetflix[year_added],MATCH($A2665,tblNetflix[show_id],0)),"")</f>
        <v/>
      </c>
      <c r="F2665" s="19">
        <f>IF(AND(OR(YearFilter="All",$E2665=YearFilter),OR(RatingFilter="All",$D2665=RatingFilter),OR(TypeFilter="All",$C2665=TypeFilter)),1,0)</f>
        <v/>
      </c>
    </row>
    <row r="2666" ht="15" customHeight="1" s="20">
      <c r="A2666" s="19" t="inlineStr">
        <is>
          <t>s8171</t>
        </is>
      </c>
      <c r="B2666" s="19" t="inlineStr">
        <is>
          <t>Romantic Movies</t>
        </is>
      </c>
      <c r="C2666" s="19">
        <f>IFERROR(INDEX(tblNetflix[type],MATCH($A2666,tblNetflix[show_id],0)),"")</f>
        <v/>
      </c>
      <c r="D2666" s="19">
        <f>IFERROR(INDEX(tblNetflix[rating],MATCH($A2666,tblNetflix[show_id],0)),"")</f>
        <v/>
      </c>
      <c r="E2666" s="19">
        <f>IFERROR(INDEX(tblNetflix[year_added],MATCH($A2666,tblNetflix[show_id],0)),"")</f>
        <v/>
      </c>
      <c r="F2666" s="19">
        <f>IF(AND(OR(YearFilter="All",$E2666=YearFilter),OR(RatingFilter="All",$D2666=RatingFilter),OR(TypeFilter="All",$C2666=TypeFilter)),1,0)</f>
        <v/>
      </c>
    </row>
    <row r="2667" ht="15" customHeight="1" s="20">
      <c r="A2667" s="19" t="inlineStr">
        <is>
          <t>s8172</t>
        </is>
      </c>
      <c r="B2667" s="19" t="inlineStr">
        <is>
          <t>Action &amp; Adventure</t>
        </is>
      </c>
      <c r="C2667" s="19">
        <f>IFERROR(INDEX(tblNetflix[type],MATCH($A2667,tblNetflix[show_id],0)),"")</f>
        <v/>
      </c>
      <c r="D2667" s="19">
        <f>IFERROR(INDEX(tblNetflix[rating],MATCH($A2667,tblNetflix[show_id],0)),"")</f>
        <v/>
      </c>
      <c r="E2667" s="19">
        <f>IFERROR(INDEX(tblNetflix[year_added],MATCH($A2667,tblNetflix[show_id],0)),"")</f>
        <v/>
      </c>
      <c r="F2667" s="19">
        <f>IF(AND(OR(YearFilter="All",$E2667=YearFilter),OR(RatingFilter="All",$D2667=RatingFilter),OR(TypeFilter="All",$C2667=TypeFilter)),1,0)</f>
        <v/>
      </c>
    </row>
    <row r="2668" ht="15" customHeight="1" s="20">
      <c r="A2668" s="19" t="inlineStr">
        <is>
          <t>s8172</t>
        </is>
      </c>
      <c r="B2668" s="19" t="inlineStr">
        <is>
          <t>International Movies</t>
        </is>
      </c>
      <c r="C2668" s="19">
        <f>IFERROR(INDEX(tblNetflix[type],MATCH($A2668,tblNetflix[show_id],0)),"")</f>
        <v/>
      </c>
      <c r="D2668" s="19">
        <f>IFERROR(INDEX(tblNetflix[rating],MATCH($A2668,tblNetflix[show_id],0)),"")</f>
        <v/>
      </c>
      <c r="E2668" s="19">
        <f>IFERROR(INDEX(tblNetflix[year_added],MATCH($A2668,tblNetflix[show_id],0)),"")</f>
        <v/>
      </c>
      <c r="F2668" s="19">
        <f>IF(AND(OR(YearFilter="All",$E2668=YearFilter),OR(RatingFilter="All",$D2668=RatingFilter),OR(TypeFilter="All",$C2668=TypeFilter)),1,0)</f>
        <v/>
      </c>
    </row>
    <row r="2669" ht="15" customHeight="1" s="20">
      <c r="A2669" s="19" t="inlineStr">
        <is>
          <t>s8172</t>
        </is>
      </c>
      <c r="B2669" s="19" t="inlineStr">
        <is>
          <t>Music &amp; Musicals</t>
        </is>
      </c>
      <c r="C2669" s="19">
        <f>IFERROR(INDEX(tblNetflix[type],MATCH($A2669,tblNetflix[show_id],0)),"")</f>
        <v/>
      </c>
      <c r="D2669" s="19">
        <f>IFERROR(INDEX(tblNetflix[rating],MATCH($A2669,tblNetflix[show_id],0)),"")</f>
        <v/>
      </c>
      <c r="E2669" s="19">
        <f>IFERROR(INDEX(tblNetflix[year_added],MATCH($A2669,tblNetflix[show_id],0)),"")</f>
        <v/>
      </c>
      <c r="F2669" s="19">
        <f>IF(AND(OR(YearFilter="All",$E2669=YearFilter),OR(RatingFilter="All",$D2669=RatingFilter),OR(TypeFilter="All",$C2669=TypeFilter)),1,0)</f>
        <v/>
      </c>
    </row>
    <row r="2670" ht="15" customHeight="1" s="20">
      <c r="A2670" s="19" t="inlineStr">
        <is>
          <t>s8173</t>
        </is>
      </c>
      <c r="B2670" s="19" t="inlineStr">
        <is>
          <t>Kids' TV</t>
        </is>
      </c>
      <c r="C2670" s="19">
        <f>IFERROR(INDEX(tblNetflix[type],MATCH($A2670,tblNetflix[show_id],0)),"")</f>
        <v/>
      </c>
      <c r="D2670" s="19">
        <f>IFERROR(INDEX(tblNetflix[rating],MATCH($A2670,tblNetflix[show_id],0)),"")</f>
        <v/>
      </c>
      <c r="E2670" s="19">
        <f>IFERROR(INDEX(tblNetflix[year_added],MATCH($A2670,tblNetflix[show_id],0)),"")</f>
        <v/>
      </c>
      <c r="F2670" s="19">
        <f>IF(AND(OR(YearFilter="All",$E2670=YearFilter),OR(RatingFilter="All",$D2670=RatingFilter),OR(TypeFilter="All",$C2670=TypeFilter)),1,0)</f>
        <v/>
      </c>
    </row>
    <row r="2671" ht="15" customHeight="1" s="20">
      <c r="A2671" s="19" t="inlineStr">
        <is>
          <t>s8173</t>
        </is>
      </c>
      <c r="B2671" s="19" t="inlineStr">
        <is>
          <t>TV Comedies</t>
        </is>
      </c>
      <c r="C2671" s="19">
        <f>IFERROR(INDEX(tblNetflix[type],MATCH($A2671,tblNetflix[show_id],0)),"")</f>
        <v/>
      </c>
      <c r="D2671" s="19">
        <f>IFERROR(INDEX(tblNetflix[rating],MATCH($A2671,tblNetflix[show_id],0)),"")</f>
        <v/>
      </c>
      <c r="E2671" s="19">
        <f>IFERROR(INDEX(tblNetflix[year_added],MATCH($A2671,tblNetflix[show_id],0)),"")</f>
        <v/>
      </c>
      <c r="F2671" s="19">
        <f>IF(AND(OR(YearFilter="All",$E2671=YearFilter),OR(RatingFilter="All",$D2671=RatingFilter),OR(TypeFilter="All",$C2671=TypeFilter)),1,0)</f>
        <v/>
      </c>
    </row>
    <row r="2672" ht="15" customHeight="1" s="20">
      <c r="A2672" s="19" t="inlineStr">
        <is>
          <t>s8174</t>
        </is>
      </c>
      <c r="B2672" s="19" t="inlineStr">
        <is>
          <t>TV Shows</t>
        </is>
      </c>
      <c r="C2672" s="19">
        <f>IFERROR(INDEX(tblNetflix[type],MATCH($A2672,tblNetflix[show_id],0)),"")</f>
        <v/>
      </c>
      <c r="D2672" s="19">
        <f>IFERROR(INDEX(tblNetflix[rating],MATCH($A2672,tblNetflix[show_id],0)),"")</f>
        <v/>
      </c>
      <c r="E2672" s="19">
        <f>IFERROR(INDEX(tblNetflix[year_added],MATCH($A2672,tblNetflix[show_id],0)),"")</f>
        <v/>
      </c>
      <c r="F2672" s="19">
        <f>IF(AND(OR(YearFilter="All",$E2672=YearFilter),OR(RatingFilter="All",$D2672=RatingFilter),OR(TypeFilter="All",$C2672=TypeFilter)),1,0)</f>
        <v/>
      </c>
    </row>
    <row r="2673" ht="15" customHeight="1" s="20">
      <c r="A2673" s="19" t="inlineStr">
        <is>
          <t>s8226</t>
        </is>
      </c>
      <c r="B2673" s="19" t="inlineStr">
        <is>
          <t>Children &amp; Family Movies</t>
        </is>
      </c>
      <c r="C2673" s="19">
        <f>IFERROR(INDEX(tblNetflix[type],MATCH($A2673,tblNetflix[show_id],0)),"")</f>
        <v/>
      </c>
      <c r="D2673" s="19">
        <f>IFERROR(INDEX(tblNetflix[rating],MATCH($A2673,tblNetflix[show_id],0)),"")</f>
        <v/>
      </c>
      <c r="E2673" s="19">
        <f>IFERROR(INDEX(tblNetflix[year_added],MATCH($A2673,tblNetflix[show_id],0)),"")</f>
        <v/>
      </c>
      <c r="F2673" s="19">
        <f>IF(AND(OR(YearFilter="All",$E2673=YearFilter),OR(RatingFilter="All",$D2673=RatingFilter),OR(TypeFilter="All",$C2673=TypeFilter)),1,0)</f>
        <v/>
      </c>
    </row>
    <row r="2674" ht="15" customHeight="1" s="20">
      <c r="A2674" s="19" t="inlineStr">
        <is>
          <t>s8226</t>
        </is>
      </c>
      <c r="B2674" s="19" t="inlineStr">
        <is>
          <t>Dramas</t>
        </is>
      </c>
      <c r="C2674" s="19">
        <f>IFERROR(INDEX(tblNetflix[type],MATCH($A2674,tblNetflix[show_id],0)),"")</f>
        <v/>
      </c>
      <c r="D2674" s="19">
        <f>IFERROR(INDEX(tblNetflix[rating],MATCH($A2674,tblNetflix[show_id],0)),"")</f>
        <v/>
      </c>
      <c r="E2674" s="19">
        <f>IFERROR(INDEX(tblNetflix[year_added],MATCH($A2674,tblNetflix[show_id],0)),"")</f>
        <v/>
      </c>
      <c r="F2674" s="19">
        <f>IF(AND(OR(YearFilter="All",$E2674=YearFilter),OR(RatingFilter="All",$D2674=RatingFilter),OR(TypeFilter="All",$C2674=TypeFilter)),1,0)</f>
        <v/>
      </c>
    </row>
    <row r="2675" ht="15" customHeight="1" s="20">
      <c r="A2675" s="19" t="inlineStr">
        <is>
          <t>s8226</t>
        </is>
      </c>
      <c r="B2675" s="19" t="inlineStr">
        <is>
          <t>International Movies</t>
        </is>
      </c>
      <c r="C2675" s="19">
        <f>IFERROR(INDEX(tblNetflix[type],MATCH($A2675,tblNetflix[show_id],0)),"")</f>
        <v/>
      </c>
      <c r="D2675" s="19">
        <f>IFERROR(INDEX(tblNetflix[rating],MATCH($A2675,tblNetflix[show_id],0)),"")</f>
        <v/>
      </c>
      <c r="E2675" s="19">
        <f>IFERROR(INDEX(tblNetflix[year_added],MATCH($A2675,tblNetflix[show_id],0)),"")</f>
        <v/>
      </c>
      <c r="F2675" s="19">
        <f>IF(AND(OR(YearFilter="All",$E2675=YearFilter),OR(RatingFilter="All",$D2675=RatingFilter),OR(TypeFilter="All",$C2675=TypeFilter)),1,0)</f>
        <v/>
      </c>
    </row>
    <row r="2676" ht="15" customHeight="1" s="20">
      <c r="A2676" s="19" t="inlineStr">
        <is>
          <t>s8236</t>
        </is>
      </c>
      <c r="B2676" s="19" t="inlineStr">
        <is>
          <t>International TV Shows</t>
        </is>
      </c>
      <c r="C2676" s="19">
        <f>IFERROR(INDEX(tblNetflix[type],MATCH($A2676,tblNetflix[show_id],0)),"")</f>
        <v/>
      </c>
      <c r="D2676" s="19">
        <f>IFERROR(INDEX(tblNetflix[rating],MATCH($A2676,tblNetflix[show_id],0)),"")</f>
        <v/>
      </c>
      <c r="E2676" s="19">
        <f>IFERROR(INDEX(tblNetflix[year_added],MATCH($A2676,tblNetflix[show_id],0)),"")</f>
        <v/>
      </c>
      <c r="F2676" s="19">
        <f>IF(AND(OR(YearFilter="All",$E2676=YearFilter),OR(RatingFilter="All",$D2676=RatingFilter),OR(TypeFilter="All",$C2676=TypeFilter)),1,0)</f>
        <v/>
      </c>
    </row>
    <row r="2677" ht="15" customHeight="1" s="20">
      <c r="A2677" s="19" t="inlineStr">
        <is>
          <t>s8236</t>
        </is>
      </c>
      <c r="B2677" s="19" t="inlineStr">
        <is>
          <t>Reality TV</t>
        </is>
      </c>
      <c r="C2677" s="19">
        <f>IFERROR(INDEX(tblNetflix[type],MATCH($A2677,tblNetflix[show_id],0)),"")</f>
        <v/>
      </c>
      <c r="D2677" s="19">
        <f>IFERROR(INDEX(tblNetflix[rating],MATCH($A2677,tblNetflix[show_id],0)),"")</f>
        <v/>
      </c>
      <c r="E2677" s="19">
        <f>IFERROR(INDEX(tblNetflix[year_added],MATCH($A2677,tblNetflix[show_id],0)),"")</f>
        <v/>
      </c>
      <c r="F2677" s="19">
        <f>IF(AND(OR(YearFilter="All",$E2677=YearFilter),OR(RatingFilter="All",$D2677=RatingFilter),OR(TypeFilter="All",$C2677=TypeFilter)),1,0)</f>
        <v/>
      </c>
    </row>
    <row r="2678" ht="15" customHeight="1" s="20">
      <c r="A2678" s="19" t="inlineStr">
        <is>
          <t>s8265</t>
        </is>
      </c>
      <c r="B2678" s="19" t="inlineStr">
        <is>
          <t>Dramas</t>
        </is>
      </c>
      <c r="C2678" s="19">
        <f>IFERROR(INDEX(tblNetflix[type],MATCH($A2678,tblNetflix[show_id],0)),"")</f>
        <v/>
      </c>
      <c r="D2678" s="19">
        <f>IFERROR(INDEX(tblNetflix[rating],MATCH($A2678,tblNetflix[show_id],0)),"")</f>
        <v/>
      </c>
      <c r="E2678" s="19">
        <f>IFERROR(INDEX(tblNetflix[year_added],MATCH($A2678,tblNetflix[show_id],0)),"")</f>
        <v/>
      </c>
      <c r="F2678" s="19">
        <f>IF(AND(OR(YearFilter="All",$E2678=YearFilter),OR(RatingFilter="All",$D2678=RatingFilter),OR(TypeFilter="All",$C2678=TypeFilter)),1,0)</f>
        <v/>
      </c>
    </row>
    <row r="2679" ht="15" customHeight="1" s="20">
      <c r="A2679" s="19" t="inlineStr">
        <is>
          <t>s8265</t>
        </is>
      </c>
      <c r="B2679" s="19" t="inlineStr">
        <is>
          <t>International Movies</t>
        </is>
      </c>
      <c r="C2679" s="19">
        <f>IFERROR(INDEX(tblNetflix[type],MATCH($A2679,tblNetflix[show_id],0)),"")</f>
        <v/>
      </c>
      <c r="D2679" s="19">
        <f>IFERROR(INDEX(tblNetflix[rating],MATCH($A2679,tblNetflix[show_id],0)),"")</f>
        <v/>
      </c>
      <c r="E2679" s="19">
        <f>IFERROR(INDEX(tblNetflix[year_added],MATCH($A2679,tblNetflix[show_id],0)),"")</f>
        <v/>
      </c>
      <c r="F2679" s="19">
        <f>IF(AND(OR(YearFilter="All",$E2679=YearFilter),OR(RatingFilter="All",$D2679=RatingFilter),OR(TypeFilter="All",$C2679=TypeFilter)),1,0)</f>
        <v/>
      </c>
    </row>
    <row r="2680" ht="15" customHeight="1" s="20">
      <c r="A2680" s="19" t="inlineStr">
        <is>
          <t>s8268</t>
        </is>
      </c>
      <c r="B2680" s="19" t="inlineStr">
        <is>
          <t>Dramas</t>
        </is>
      </c>
      <c r="C2680" s="19">
        <f>IFERROR(INDEX(tblNetflix[type],MATCH($A2680,tblNetflix[show_id],0)),"")</f>
        <v/>
      </c>
      <c r="D2680" s="19">
        <f>IFERROR(INDEX(tblNetflix[rating],MATCH($A2680,tblNetflix[show_id],0)),"")</f>
        <v/>
      </c>
      <c r="E2680" s="19">
        <f>IFERROR(INDEX(tblNetflix[year_added],MATCH($A2680,tblNetflix[show_id],0)),"")</f>
        <v/>
      </c>
      <c r="F2680" s="19">
        <f>IF(AND(OR(YearFilter="All",$E2680=YearFilter),OR(RatingFilter="All",$D2680=RatingFilter),OR(TypeFilter="All",$C2680=TypeFilter)),1,0)</f>
        <v/>
      </c>
    </row>
    <row r="2681" ht="15" customHeight="1" s="20">
      <c r="A2681" s="19" t="inlineStr">
        <is>
          <t>s8268</t>
        </is>
      </c>
      <c r="B2681" s="19" t="inlineStr">
        <is>
          <t>International Movies</t>
        </is>
      </c>
      <c r="C2681" s="19">
        <f>IFERROR(INDEX(tblNetflix[type],MATCH($A2681,tblNetflix[show_id],0)),"")</f>
        <v/>
      </c>
      <c r="D2681" s="19">
        <f>IFERROR(INDEX(tblNetflix[rating],MATCH($A2681,tblNetflix[show_id],0)),"")</f>
        <v/>
      </c>
      <c r="E2681" s="19">
        <f>IFERROR(INDEX(tblNetflix[year_added],MATCH($A2681,tblNetflix[show_id],0)),"")</f>
        <v/>
      </c>
      <c r="F2681" s="19">
        <f>IF(AND(OR(YearFilter="All",$E2681=YearFilter),OR(RatingFilter="All",$D2681=RatingFilter),OR(TypeFilter="All",$C2681=TypeFilter)),1,0)</f>
        <v/>
      </c>
    </row>
    <row r="2682" ht="15" customHeight="1" s="20">
      <c r="A2682" s="19" t="inlineStr">
        <is>
          <t>s8310</t>
        </is>
      </c>
      <c r="B2682" s="19" t="inlineStr">
        <is>
          <t>Action &amp; Adventure</t>
        </is>
      </c>
      <c r="C2682" s="19">
        <f>IFERROR(INDEX(tblNetflix[type],MATCH($A2682,tblNetflix[show_id],0)),"")</f>
        <v/>
      </c>
      <c r="D2682" s="19">
        <f>IFERROR(INDEX(tblNetflix[rating],MATCH($A2682,tblNetflix[show_id],0)),"")</f>
        <v/>
      </c>
      <c r="E2682" s="19">
        <f>IFERROR(INDEX(tblNetflix[year_added],MATCH($A2682,tblNetflix[show_id],0)),"")</f>
        <v/>
      </c>
      <c r="F2682" s="19">
        <f>IF(AND(OR(YearFilter="All",$E2682=YearFilter),OR(RatingFilter="All",$D2682=RatingFilter),OR(TypeFilter="All",$C2682=TypeFilter)),1,0)</f>
        <v/>
      </c>
    </row>
    <row r="2683" ht="15" customHeight="1" s="20">
      <c r="A2683" s="19" t="inlineStr">
        <is>
          <t>s8310</t>
        </is>
      </c>
      <c r="B2683" s="19" t="inlineStr">
        <is>
          <t>International Movies</t>
        </is>
      </c>
      <c r="C2683" s="19">
        <f>IFERROR(INDEX(tblNetflix[type],MATCH($A2683,tblNetflix[show_id],0)),"")</f>
        <v/>
      </c>
      <c r="D2683" s="19">
        <f>IFERROR(INDEX(tblNetflix[rating],MATCH($A2683,tblNetflix[show_id],0)),"")</f>
        <v/>
      </c>
      <c r="E2683" s="19">
        <f>IFERROR(INDEX(tblNetflix[year_added],MATCH($A2683,tblNetflix[show_id],0)),"")</f>
        <v/>
      </c>
      <c r="F2683" s="19">
        <f>IF(AND(OR(YearFilter="All",$E2683=YearFilter),OR(RatingFilter="All",$D2683=RatingFilter),OR(TypeFilter="All",$C2683=TypeFilter)),1,0)</f>
        <v/>
      </c>
    </row>
    <row r="2684" ht="15" customHeight="1" s="20">
      <c r="A2684" s="19" t="inlineStr">
        <is>
          <t>s8322</t>
        </is>
      </c>
      <c r="B2684" s="19" t="inlineStr">
        <is>
          <t>Docuseries</t>
        </is>
      </c>
      <c r="C2684" s="19">
        <f>IFERROR(INDEX(tblNetflix[type],MATCH($A2684,tblNetflix[show_id],0)),"")</f>
        <v/>
      </c>
      <c r="D2684" s="19">
        <f>IFERROR(INDEX(tblNetflix[rating],MATCH($A2684,tblNetflix[show_id],0)),"")</f>
        <v/>
      </c>
      <c r="E2684" s="19">
        <f>IFERROR(INDEX(tblNetflix[year_added],MATCH($A2684,tblNetflix[show_id],0)),"")</f>
        <v/>
      </c>
      <c r="F2684" s="19">
        <f>IF(AND(OR(YearFilter="All",$E2684=YearFilter),OR(RatingFilter="All",$D2684=RatingFilter),OR(TypeFilter="All",$C2684=TypeFilter)),1,0)</f>
        <v/>
      </c>
    </row>
    <row r="2685" ht="15" customHeight="1" s="20">
      <c r="A2685" s="19" t="inlineStr">
        <is>
          <t>s8322</t>
        </is>
      </c>
      <c r="B2685" s="19" t="inlineStr">
        <is>
          <t>International TV Shows</t>
        </is>
      </c>
      <c r="C2685" s="19">
        <f>IFERROR(INDEX(tblNetflix[type],MATCH($A2685,tblNetflix[show_id],0)),"")</f>
        <v/>
      </c>
      <c r="D2685" s="19">
        <f>IFERROR(INDEX(tblNetflix[rating],MATCH($A2685,tblNetflix[show_id],0)),"")</f>
        <v/>
      </c>
      <c r="E2685" s="19">
        <f>IFERROR(INDEX(tblNetflix[year_added],MATCH($A2685,tblNetflix[show_id],0)),"")</f>
        <v/>
      </c>
      <c r="F2685" s="19">
        <f>IF(AND(OR(YearFilter="All",$E2685=YearFilter),OR(RatingFilter="All",$D2685=RatingFilter),OR(TypeFilter="All",$C2685=TypeFilter)),1,0)</f>
        <v/>
      </c>
    </row>
    <row r="2686" ht="15" customHeight="1" s="20">
      <c r="A2686" s="19" t="inlineStr">
        <is>
          <t>s8333</t>
        </is>
      </c>
      <c r="B2686" s="19" t="inlineStr">
        <is>
          <t>Action &amp; Adventure</t>
        </is>
      </c>
      <c r="C2686" s="19">
        <f>IFERROR(INDEX(tblNetflix[type],MATCH($A2686,tblNetflix[show_id],0)),"")</f>
        <v/>
      </c>
      <c r="D2686" s="19">
        <f>IFERROR(INDEX(tblNetflix[rating],MATCH($A2686,tblNetflix[show_id],0)),"")</f>
        <v/>
      </c>
      <c r="E2686" s="19">
        <f>IFERROR(INDEX(tblNetflix[year_added],MATCH($A2686,tblNetflix[show_id],0)),"")</f>
        <v/>
      </c>
      <c r="F2686" s="19">
        <f>IF(AND(OR(YearFilter="All",$E2686=YearFilter),OR(RatingFilter="All",$D2686=RatingFilter),OR(TypeFilter="All",$C2686=TypeFilter)),1,0)</f>
        <v/>
      </c>
    </row>
    <row r="2687" ht="15" customHeight="1" s="20">
      <c r="A2687" s="19" t="inlineStr">
        <is>
          <t>s8333</t>
        </is>
      </c>
      <c r="B2687" s="19" t="inlineStr">
        <is>
          <t>Classic Movies</t>
        </is>
      </c>
      <c r="C2687" s="19">
        <f>IFERROR(INDEX(tblNetflix[type],MATCH($A2687,tblNetflix[show_id],0)),"")</f>
        <v/>
      </c>
      <c r="D2687" s="19">
        <f>IFERROR(INDEX(tblNetflix[rating],MATCH($A2687,tblNetflix[show_id],0)),"")</f>
        <v/>
      </c>
      <c r="E2687" s="19">
        <f>IFERROR(INDEX(tblNetflix[year_added],MATCH($A2687,tblNetflix[show_id],0)),"")</f>
        <v/>
      </c>
      <c r="F2687" s="19">
        <f>IF(AND(OR(YearFilter="All",$E2687=YearFilter),OR(RatingFilter="All",$D2687=RatingFilter),OR(TypeFilter="All",$C2687=TypeFilter)),1,0)</f>
        <v/>
      </c>
    </row>
    <row r="2688" ht="15" customHeight="1" s="20">
      <c r="A2688" s="19" t="inlineStr">
        <is>
          <t>s8333</t>
        </is>
      </c>
      <c r="B2688" s="19" t="inlineStr">
        <is>
          <t>Cult Movies</t>
        </is>
      </c>
      <c r="C2688" s="19">
        <f>IFERROR(INDEX(tblNetflix[type],MATCH($A2688,tblNetflix[show_id],0)),"")</f>
        <v/>
      </c>
      <c r="D2688" s="19">
        <f>IFERROR(INDEX(tblNetflix[rating],MATCH($A2688,tblNetflix[show_id],0)),"")</f>
        <v/>
      </c>
      <c r="E2688" s="19">
        <f>IFERROR(INDEX(tblNetflix[year_added],MATCH($A2688,tblNetflix[show_id],0)),"")</f>
        <v/>
      </c>
      <c r="F2688" s="19">
        <f>IF(AND(OR(YearFilter="All",$E2688=YearFilter),OR(RatingFilter="All",$D2688=RatingFilter),OR(TypeFilter="All",$C2688=TypeFilter)),1,0)</f>
        <v/>
      </c>
    </row>
    <row r="2689" ht="15" customHeight="1" s="20">
      <c r="A2689" s="19" t="inlineStr">
        <is>
          <t>s8350</t>
        </is>
      </c>
      <c r="B2689" s="19" t="inlineStr">
        <is>
          <t>International TV Shows</t>
        </is>
      </c>
      <c r="C2689" s="19">
        <f>IFERROR(INDEX(tblNetflix[type],MATCH($A2689,tblNetflix[show_id],0)),"")</f>
        <v/>
      </c>
      <c r="D2689" s="19">
        <f>IFERROR(INDEX(tblNetflix[rating],MATCH($A2689,tblNetflix[show_id],0)),"")</f>
        <v/>
      </c>
      <c r="E2689" s="19">
        <f>IFERROR(INDEX(tblNetflix[year_added],MATCH($A2689,tblNetflix[show_id],0)),"")</f>
        <v/>
      </c>
      <c r="F2689" s="19">
        <f>IF(AND(OR(YearFilter="All",$E2689=YearFilter),OR(RatingFilter="All",$D2689=RatingFilter),OR(TypeFilter="All",$C2689=TypeFilter)),1,0)</f>
        <v/>
      </c>
    </row>
    <row r="2690" ht="15" customHeight="1" s="20">
      <c r="A2690" s="19" t="inlineStr">
        <is>
          <t>s8350</t>
        </is>
      </c>
      <c r="B2690" s="19" t="inlineStr">
        <is>
          <t>Reality TV</t>
        </is>
      </c>
      <c r="C2690" s="19">
        <f>IFERROR(INDEX(tblNetflix[type],MATCH($A2690,tblNetflix[show_id],0)),"")</f>
        <v/>
      </c>
      <c r="D2690" s="19">
        <f>IFERROR(INDEX(tblNetflix[rating],MATCH($A2690,tblNetflix[show_id],0)),"")</f>
        <v/>
      </c>
      <c r="E2690" s="19">
        <f>IFERROR(INDEX(tblNetflix[year_added],MATCH($A2690,tblNetflix[show_id],0)),"")</f>
        <v/>
      </c>
      <c r="F2690" s="19">
        <f>IF(AND(OR(YearFilter="All",$E2690=YearFilter),OR(RatingFilter="All",$D2690=RatingFilter),OR(TypeFilter="All",$C2690=TypeFilter)),1,0)</f>
        <v/>
      </c>
    </row>
    <row r="2691" ht="15" customHeight="1" s="20">
      <c r="A2691" s="19" t="inlineStr">
        <is>
          <t>s8351</t>
        </is>
      </c>
      <c r="B2691" s="19" t="inlineStr">
        <is>
          <t>Documentaries</t>
        </is>
      </c>
      <c r="C2691" s="19">
        <f>IFERROR(INDEX(tblNetflix[type],MATCH($A2691,tblNetflix[show_id],0)),"")</f>
        <v/>
      </c>
      <c r="D2691" s="19">
        <f>IFERROR(INDEX(tblNetflix[rating],MATCH($A2691,tblNetflix[show_id],0)),"")</f>
        <v/>
      </c>
      <c r="E2691" s="19">
        <f>IFERROR(INDEX(tblNetflix[year_added],MATCH($A2691,tblNetflix[show_id],0)),"")</f>
        <v/>
      </c>
      <c r="F2691" s="19">
        <f>IF(AND(OR(YearFilter="All",$E2691=YearFilter),OR(RatingFilter="All",$D2691=RatingFilter),OR(TypeFilter="All",$C2691=TypeFilter)),1,0)</f>
        <v/>
      </c>
    </row>
    <row r="2692" ht="15" customHeight="1" s="20">
      <c r="A2692" s="19" t="inlineStr">
        <is>
          <t>s8351</t>
        </is>
      </c>
      <c r="B2692" s="19" t="inlineStr">
        <is>
          <t>International Movies</t>
        </is>
      </c>
      <c r="C2692" s="19">
        <f>IFERROR(INDEX(tblNetflix[type],MATCH($A2692,tblNetflix[show_id],0)),"")</f>
        <v/>
      </c>
      <c r="D2692" s="19">
        <f>IFERROR(INDEX(tblNetflix[rating],MATCH($A2692,tblNetflix[show_id],0)),"")</f>
        <v/>
      </c>
      <c r="E2692" s="19">
        <f>IFERROR(INDEX(tblNetflix[year_added],MATCH($A2692,tblNetflix[show_id],0)),"")</f>
        <v/>
      </c>
      <c r="F2692" s="19">
        <f>IF(AND(OR(YearFilter="All",$E2692=YearFilter),OR(RatingFilter="All",$D2692=RatingFilter),OR(TypeFilter="All",$C2692=TypeFilter)),1,0)</f>
        <v/>
      </c>
    </row>
    <row r="2693" ht="15" customHeight="1" s="20">
      <c r="A2693" s="19" t="inlineStr">
        <is>
          <t>s8351</t>
        </is>
      </c>
      <c r="B2693" s="19" t="inlineStr">
        <is>
          <t>Music &amp; Musicals</t>
        </is>
      </c>
      <c r="C2693" s="19">
        <f>IFERROR(INDEX(tblNetflix[type],MATCH($A2693,tblNetflix[show_id],0)),"")</f>
        <v/>
      </c>
      <c r="D2693" s="19">
        <f>IFERROR(INDEX(tblNetflix[rating],MATCH($A2693,tblNetflix[show_id],0)),"")</f>
        <v/>
      </c>
      <c r="E2693" s="19">
        <f>IFERROR(INDEX(tblNetflix[year_added],MATCH($A2693,tblNetflix[show_id],0)),"")</f>
        <v/>
      </c>
      <c r="F2693" s="19">
        <f>IF(AND(OR(YearFilter="All",$E2693=YearFilter),OR(RatingFilter="All",$D2693=RatingFilter),OR(TypeFilter="All",$C2693=TypeFilter)),1,0)</f>
        <v/>
      </c>
    </row>
    <row r="2694" ht="15" customHeight="1" s="20">
      <c r="A2694" s="19" t="inlineStr">
        <is>
          <t>s8353</t>
        </is>
      </c>
      <c r="B2694" s="19" t="inlineStr">
        <is>
          <t>Comedies</t>
        </is>
      </c>
      <c r="C2694" s="19">
        <f>IFERROR(INDEX(tblNetflix[type],MATCH($A2694,tblNetflix[show_id],0)),"")</f>
        <v/>
      </c>
      <c r="D2694" s="19">
        <f>IFERROR(INDEX(tblNetflix[rating],MATCH($A2694,tblNetflix[show_id],0)),"")</f>
        <v/>
      </c>
      <c r="E2694" s="19">
        <f>IFERROR(INDEX(tblNetflix[year_added],MATCH($A2694,tblNetflix[show_id],0)),"")</f>
        <v/>
      </c>
      <c r="F2694" s="19">
        <f>IF(AND(OR(YearFilter="All",$E2694=YearFilter),OR(RatingFilter="All",$D2694=RatingFilter),OR(TypeFilter="All",$C2694=TypeFilter)),1,0)</f>
        <v/>
      </c>
    </row>
    <row r="2695" ht="15" customHeight="1" s="20">
      <c r="A2695" s="19" t="inlineStr">
        <is>
          <t>s8353</t>
        </is>
      </c>
      <c r="B2695" s="19" t="inlineStr">
        <is>
          <t>Dramas</t>
        </is>
      </c>
      <c r="C2695" s="19">
        <f>IFERROR(INDEX(tblNetflix[type],MATCH($A2695,tblNetflix[show_id],0)),"")</f>
        <v/>
      </c>
      <c r="D2695" s="19">
        <f>IFERROR(INDEX(tblNetflix[rating],MATCH($A2695,tblNetflix[show_id],0)),"")</f>
        <v/>
      </c>
      <c r="E2695" s="19">
        <f>IFERROR(INDEX(tblNetflix[year_added],MATCH($A2695,tblNetflix[show_id],0)),"")</f>
        <v/>
      </c>
      <c r="F2695" s="19">
        <f>IF(AND(OR(YearFilter="All",$E2695=YearFilter),OR(RatingFilter="All",$D2695=RatingFilter),OR(TypeFilter="All",$C2695=TypeFilter)),1,0)</f>
        <v/>
      </c>
    </row>
    <row r="2696" ht="15" customHeight="1" s="20">
      <c r="A2696" s="19" t="inlineStr">
        <is>
          <t>s8374</t>
        </is>
      </c>
      <c r="B2696" s="19" t="inlineStr">
        <is>
          <t>Kids' TV</t>
        </is>
      </c>
      <c r="C2696" s="19">
        <f>IFERROR(INDEX(tblNetflix[type],MATCH($A2696,tblNetflix[show_id],0)),"")</f>
        <v/>
      </c>
      <c r="D2696" s="19">
        <f>IFERROR(INDEX(tblNetflix[rating],MATCH($A2696,tblNetflix[show_id],0)),"")</f>
        <v/>
      </c>
      <c r="E2696" s="19">
        <f>IFERROR(INDEX(tblNetflix[year_added],MATCH($A2696,tblNetflix[show_id],0)),"")</f>
        <v/>
      </c>
      <c r="F2696" s="19">
        <f>IF(AND(OR(YearFilter="All",$E2696=YearFilter),OR(RatingFilter="All",$D2696=RatingFilter),OR(TypeFilter="All",$C2696=TypeFilter)),1,0)</f>
        <v/>
      </c>
    </row>
    <row r="2697" ht="15" customHeight="1" s="20">
      <c r="A2697" s="19" t="inlineStr">
        <is>
          <t>s8392</t>
        </is>
      </c>
      <c r="B2697" s="19" t="inlineStr">
        <is>
          <t>Comedies</t>
        </is>
      </c>
      <c r="C2697" s="19">
        <f>IFERROR(INDEX(tblNetflix[type],MATCH($A2697,tblNetflix[show_id],0)),"")</f>
        <v/>
      </c>
      <c r="D2697" s="19">
        <f>IFERROR(INDEX(tblNetflix[rating],MATCH($A2697,tblNetflix[show_id],0)),"")</f>
        <v/>
      </c>
      <c r="E2697" s="19">
        <f>IFERROR(INDEX(tblNetflix[year_added],MATCH($A2697,tblNetflix[show_id],0)),"")</f>
        <v/>
      </c>
      <c r="F2697" s="19">
        <f>IF(AND(OR(YearFilter="All",$E2697=YearFilter),OR(RatingFilter="All",$D2697=RatingFilter),OR(TypeFilter="All",$C2697=TypeFilter)),1,0)</f>
        <v/>
      </c>
    </row>
    <row r="2698" ht="15" customHeight="1" s="20">
      <c r="A2698" s="19" t="inlineStr">
        <is>
          <t>s8392</t>
        </is>
      </c>
      <c r="B2698" s="19" t="inlineStr">
        <is>
          <t>Dramas</t>
        </is>
      </c>
      <c r="C2698" s="19">
        <f>IFERROR(INDEX(tblNetflix[type],MATCH($A2698,tblNetflix[show_id],0)),"")</f>
        <v/>
      </c>
      <c r="D2698" s="19">
        <f>IFERROR(INDEX(tblNetflix[rating],MATCH($A2698,tblNetflix[show_id],0)),"")</f>
        <v/>
      </c>
      <c r="E2698" s="19">
        <f>IFERROR(INDEX(tblNetflix[year_added],MATCH($A2698,tblNetflix[show_id],0)),"")</f>
        <v/>
      </c>
      <c r="F2698" s="19">
        <f>IF(AND(OR(YearFilter="All",$E2698=YearFilter),OR(RatingFilter="All",$D2698=RatingFilter),OR(TypeFilter="All",$C2698=TypeFilter)),1,0)</f>
        <v/>
      </c>
    </row>
    <row r="2699" ht="15" customHeight="1" s="20">
      <c r="A2699" s="19" t="inlineStr">
        <is>
          <t>s8392</t>
        </is>
      </c>
      <c r="B2699" s="19" t="inlineStr">
        <is>
          <t>International Movies</t>
        </is>
      </c>
      <c r="C2699" s="19">
        <f>IFERROR(INDEX(tblNetflix[type],MATCH($A2699,tblNetflix[show_id],0)),"")</f>
        <v/>
      </c>
      <c r="D2699" s="19">
        <f>IFERROR(INDEX(tblNetflix[rating],MATCH($A2699,tblNetflix[show_id],0)),"")</f>
        <v/>
      </c>
      <c r="E2699" s="19">
        <f>IFERROR(INDEX(tblNetflix[year_added],MATCH($A2699,tblNetflix[show_id],0)),"")</f>
        <v/>
      </c>
      <c r="F2699" s="19">
        <f>IF(AND(OR(YearFilter="All",$E2699=YearFilter),OR(RatingFilter="All",$D2699=RatingFilter),OR(TypeFilter="All",$C2699=TypeFilter)),1,0)</f>
        <v/>
      </c>
    </row>
    <row r="2700" ht="15" customHeight="1" s="20">
      <c r="A2700" s="19" t="inlineStr">
        <is>
          <t>s8460</t>
        </is>
      </c>
      <c r="B2700" s="19" t="inlineStr">
        <is>
          <t>Dramas</t>
        </is>
      </c>
      <c r="C2700" s="19">
        <f>IFERROR(INDEX(tblNetflix[type],MATCH($A2700,tblNetflix[show_id],0)),"")</f>
        <v/>
      </c>
      <c r="D2700" s="19">
        <f>IFERROR(INDEX(tblNetflix[rating],MATCH($A2700,tblNetflix[show_id],0)),"")</f>
        <v/>
      </c>
      <c r="E2700" s="19">
        <f>IFERROR(INDEX(tblNetflix[year_added],MATCH($A2700,tblNetflix[show_id],0)),"")</f>
        <v/>
      </c>
      <c r="F2700" s="19">
        <f>IF(AND(OR(YearFilter="All",$E2700=YearFilter),OR(RatingFilter="All",$D2700=RatingFilter),OR(TypeFilter="All",$C2700=TypeFilter)),1,0)</f>
        <v/>
      </c>
    </row>
    <row r="2701" ht="15" customHeight="1" s="20">
      <c r="A2701" s="19" t="inlineStr">
        <is>
          <t>s8460</t>
        </is>
      </c>
      <c r="B2701" s="19" t="inlineStr">
        <is>
          <t>International Movies</t>
        </is>
      </c>
      <c r="C2701" s="19">
        <f>IFERROR(INDEX(tblNetflix[type],MATCH($A2701,tblNetflix[show_id],0)),"")</f>
        <v/>
      </c>
      <c r="D2701" s="19">
        <f>IFERROR(INDEX(tblNetflix[rating],MATCH($A2701,tblNetflix[show_id],0)),"")</f>
        <v/>
      </c>
      <c r="E2701" s="19">
        <f>IFERROR(INDEX(tblNetflix[year_added],MATCH($A2701,tblNetflix[show_id],0)),"")</f>
        <v/>
      </c>
      <c r="F2701" s="19">
        <f>IF(AND(OR(YearFilter="All",$E2701=YearFilter),OR(RatingFilter="All",$D2701=RatingFilter),OR(TypeFilter="All",$C2701=TypeFilter)),1,0)</f>
        <v/>
      </c>
    </row>
    <row r="2702" ht="15" customHeight="1" s="20">
      <c r="A2702" s="19" t="inlineStr">
        <is>
          <t>s8460</t>
        </is>
      </c>
      <c r="B2702" s="19" t="inlineStr">
        <is>
          <t>Thrillers</t>
        </is>
      </c>
      <c r="C2702" s="19">
        <f>IFERROR(INDEX(tblNetflix[type],MATCH($A2702,tblNetflix[show_id],0)),"")</f>
        <v/>
      </c>
      <c r="D2702" s="19">
        <f>IFERROR(INDEX(tblNetflix[rating],MATCH($A2702,tblNetflix[show_id],0)),"")</f>
        <v/>
      </c>
      <c r="E2702" s="19">
        <f>IFERROR(INDEX(tblNetflix[year_added],MATCH($A2702,tblNetflix[show_id],0)),"")</f>
        <v/>
      </c>
      <c r="F2702" s="19">
        <f>IF(AND(OR(YearFilter="All",$E2702=YearFilter),OR(RatingFilter="All",$D2702=RatingFilter),OR(TypeFilter="All",$C2702=TypeFilter)),1,0)</f>
        <v/>
      </c>
    </row>
    <row r="2703" ht="15" customHeight="1" s="20">
      <c r="A2703" s="19" t="inlineStr">
        <is>
          <t>s8476</t>
        </is>
      </c>
      <c r="B2703" s="19" t="inlineStr">
        <is>
          <t>Documentaries</t>
        </is>
      </c>
      <c r="C2703" s="19">
        <f>IFERROR(INDEX(tblNetflix[type],MATCH($A2703,tblNetflix[show_id],0)),"")</f>
        <v/>
      </c>
      <c r="D2703" s="19">
        <f>IFERROR(INDEX(tblNetflix[rating],MATCH($A2703,tblNetflix[show_id],0)),"")</f>
        <v/>
      </c>
      <c r="E2703" s="19">
        <f>IFERROR(INDEX(tblNetflix[year_added],MATCH($A2703,tblNetflix[show_id],0)),"")</f>
        <v/>
      </c>
      <c r="F2703" s="19">
        <f>IF(AND(OR(YearFilter="All",$E2703=YearFilter),OR(RatingFilter="All",$D2703=RatingFilter),OR(TypeFilter="All",$C2703=TypeFilter)),1,0)</f>
        <v/>
      </c>
    </row>
    <row r="2704" ht="15" customHeight="1" s="20">
      <c r="A2704" s="19" t="inlineStr">
        <is>
          <t>s8476</t>
        </is>
      </c>
      <c r="B2704" s="19" t="inlineStr">
        <is>
          <t>International Movies</t>
        </is>
      </c>
      <c r="C2704" s="19">
        <f>IFERROR(INDEX(tblNetflix[type],MATCH($A2704,tblNetflix[show_id],0)),"")</f>
        <v/>
      </c>
      <c r="D2704" s="19">
        <f>IFERROR(INDEX(tblNetflix[rating],MATCH($A2704,tblNetflix[show_id],0)),"")</f>
        <v/>
      </c>
      <c r="E2704" s="19">
        <f>IFERROR(INDEX(tblNetflix[year_added],MATCH($A2704,tblNetflix[show_id],0)),"")</f>
        <v/>
      </c>
      <c r="F2704" s="19">
        <f>IF(AND(OR(YearFilter="All",$E2704=YearFilter),OR(RatingFilter="All",$D2704=RatingFilter),OR(TypeFilter="All",$C2704=TypeFilter)),1,0)</f>
        <v/>
      </c>
    </row>
    <row r="2705" ht="15" customHeight="1" s="20">
      <c r="A2705" s="19" t="inlineStr">
        <is>
          <t>s8505</t>
        </is>
      </c>
      <c r="B2705" s="19" t="inlineStr">
        <is>
          <t>Comedies</t>
        </is>
      </c>
      <c r="C2705" s="19">
        <f>IFERROR(INDEX(tblNetflix[type],MATCH($A2705,tblNetflix[show_id],0)),"")</f>
        <v/>
      </c>
      <c r="D2705" s="19">
        <f>IFERROR(INDEX(tblNetflix[rating],MATCH($A2705,tblNetflix[show_id],0)),"")</f>
        <v/>
      </c>
      <c r="E2705" s="19">
        <f>IFERROR(INDEX(tblNetflix[year_added],MATCH($A2705,tblNetflix[show_id],0)),"")</f>
        <v/>
      </c>
      <c r="F2705" s="19">
        <f>IF(AND(OR(YearFilter="All",$E2705=YearFilter),OR(RatingFilter="All",$D2705=RatingFilter),OR(TypeFilter="All",$C2705=TypeFilter)),1,0)</f>
        <v/>
      </c>
    </row>
    <row r="2706" ht="15" customHeight="1" s="20">
      <c r="A2706" s="19" t="inlineStr">
        <is>
          <t>s8505</t>
        </is>
      </c>
      <c r="B2706" s="19" t="inlineStr">
        <is>
          <t>International Movies</t>
        </is>
      </c>
      <c r="C2706" s="19">
        <f>IFERROR(INDEX(tblNetflix[type],MATCH($A2706,tblNetflix[show_id],0)),"")</f>
        <v/>
      </c>
      <c r="D2706" s="19">
        <f>IFERROR(INDEX(tblNetflix[rating],MATCH($A2706,tblNetflix[show_id],0)),"")</f>
        <v/>
      </c>
      <c r="E2706" s="19">
        <f>IFERROR(INDEX(tblNetflix[year_added],MATCH($A2706,tblNetflix[show_id],0)),"")</f>
        <v/>
      </c>
      <c r="F2706" s="19">
        <f>IF(AND(OR(YearFilter="All",$E2706=YearFilter),OR(RatingFilter="All",$D2706=RatingFilter),OR(TypeFilter="All",$C2706=TypeFilter)),1,0)</f>
        <v/>
      </c>
    </row>
    <row r="2707" ht="15" customHeight="1" s="20">
      <c r="A2707" s="19" t="inlineStr">
        <is>
          <t>s8505</t>
        </is>
      </c>
      <c r="B2707" s="19" t="inlineStr">
        <is>
          <t>Music &amp; Musicals</t>
        </is>
      </c>
      <c r="C2707" s="19">
        <f>IFERROR(INDEX(tblNetflix[type],MATCH($A2707,tblNetflix[show_id],0)),"")</f>
        <v/>
      </c>
      <c r="D2707" s="19">
        <f>IFERROR(INDEX(tblNetflix[rating],MATCH($A2707,tblNetflix[show_id],0)),"")</f>
        <v/>
      </c>
      <c r="E2707" s="19">
        <f>IFERROR(INDEX(tblNetflix[year_added],MATCH($A2707,tblNetflix[show_id],0)),"")</f>
        <v/>
      </c>
      <c r="F2707" s="19">
        <f>IF(AND(OR(YearFilter="All",$E2707=YearFilter),OR(RatingFilter="All",$D2707=RatingFilter),OR(TypeFilter="All",$C2707=TypeFilter)),1,0)</f>
        <v/>
      </c>
    </row>
    <row r="2708" ht="15" customHeight="1" s="20">
      <c r="A2708" s="19" t="inlineStr">
        <is>
          <t>s8572</t>
        </is>
      </c>
      <c r="B2708" s="19" t="inlineStr">
        <is>
          <t>Dramas</t>
        </is>
      </c>
      <c r="C2708" s="19">
        <f>IFERROR(INDEX(tblNetflix[type],MATCH($A2708,tblNetflix[show_id],0)),"")</f>
        <v/>
      </c>
      <c r="D2708" s="19">
        <f>IFERROR(INDEX(tblNetflix[rating],MATCH($A2708,tblNetflix[show_id],0)),"")</f>
        <v/>
      </c>
      <c r="E2708" s="19">
        <f>IFERROR(INDEX(tblNetflix[year_added],MATCH($A2708,tblNetflix[show_id],0)),"")</f>
        <v/>
      </c>
      <c r="F2708" s="19">
        <f>IF(AND(OR(YearFilter="All",$E2708=YearFilter),OR(RatingFilter="All",$D2708=RatingFilter),OR(TypeFilter="All",$C2708=TypeFilter)),1,0)</f>
        <v/>
      </c>
    </row>
    <row r="2709" ht="15" customHeight="1" s="20">
      <c r="A2709" s="19" t="inlineStr">
        <is>
          <t>s8572</t>
        </is>
      </c>
      <c r="B2709" s="19" t="inlineStr">
        <is>
          <t>International Movies</t>
        </is>
      </c>
      <c r="C2709" s="19">
        <f>IFERROR(INDEX(tblNetflix[type],MATCH($A2709,tblNetflix[show_id],0)),"")</f>
        <v/>
      </c>
      <c r="D2709" s="19">
        <f>IFERROR(INDEX(tblNetflix[rating],MATCH($A2709,tblNetflix[show_id],0)),"")</f>
        <v/>
      </c>
      <c r="E2709" s="19">
        <f>IFERROR(INDEX(tblNetflix[year_added],MATCH($A2709,tblNetflix[show_id],0)),"")</f>
        <v/>
      </c>
      <c r="F2709" s="19">
        <f>IF(AND(OR(YearFilter="All",$E2709=YearFilter),OR(RatingFilter="All",$D2709=RatingFilter),OR(TypeFilter="All",$C2709=TypeFilter)),1,0)</f>
        <v/>
      </c>
    </row>
    <row r="2710" ht="15" customHeight="1" s="20">
      <c r="A2710" s="19" t="inlineStr">
        <is>
          <t>s8572</t>
        </is>
      </c>
      <c r="B2710" s="19" t="inlineStr">
        <is>
          <t>Romantic Movies</t>
        </is>
      </c>
      <c r="C2710" s="19">
        <f>IFERROR(INDEX(tblNetflix[type],MATCH($A2710,tblNetflix[show_id],0)),"")</f>
        <v/>
      </c>
      <c r="D2710" s="19">
        <f>IFERROR(INDEX(tblNetflix[rating],MATCH($A2710,tblNetflix[show_id],0)),"")</f>
        <v/>
      </c>
      <c r="E2710" s="19">
        <f>IFERROR(INDEX(tblNetflix[year_added],MATCH($A2710,tblNetflix[show_id],0)),"")</f>
        <v/>
      </c>
      <c r="F2710" s="19">
        <f>IF(AND(OR(YearFilter="All",$E2710=YearFilter),OR(RatingFilter="All",$D2710=RatingFilter),OR(TypeFilter="All",$C2710=TypeFilter)),1,0)</f>
        <v/>
      </c>
    </row>
    <row r="2711" ht="15" customHeight="1" s="20">
      <c r="A2711" s="19" t="inlineStr">
        <is>
          <t>s8579</t>
        </is>
      </c>
      <c r="B2711" s="19" t="inlineStr">
        <is>
          <t>Dramas</t>
        </is>
      </c>
      <c r="C2711" s="19">
        <f>IFERROR(INDEX(tblNetflix[type],MATCH($A2711,tblNetflix[show_id],0)),"")</f>
        <v/>
      </c>
      <c r="D2711" s="19">
        <f>IFERROR(INDEX(tblNetflix[rating],MATCH($A2711,tblNetflix[show_id],0)),"")</f>
        <v/>
      </c>
      <c r="E2711" s="19">
        <f>IFERROR(INDEX(tblNetflix[year_added],MATCH($A2711,tblNetflix[show_id],0)),"")</f>
        <v/>
      </c>
      <c r="F2711" s="19">
        <f>IF(AND(OR(YearFilter="All",$E2711=YearFilter),OR(RatingFilter="All",$D2711=RatingFilter),OR(TypeFilter="All",$C2711=TypeFilter)),1,0)</f>
        <v/>
      </c>
    </row>
    <row r="2712" ht="15" customHeight="1" s="20">
      <c r="A2712" s="19" t="inlineStr">
        <is>
          <t>s8579</t>
        </is>
      </c>
      <c r="B2712" s="19" t="inlineStr">
        <is>
          <t>Independent Movies</t>
        </is>
      </c>
      <c r="C2712" s="19">
        <f>IFERROR(INDEX(tblNetflix[type],MATCH($A2712,tblNetflix[show_id],0)),"")</f>
        <v/>
      </c>
      <c r="D2712" s="19">
        <f>IFERROR(INDEX(tblNetflix[rating],MATCH($A2712,tblNetflix[show_id],0)),"")</f>
        <v/>
      </c>
      <c r="E2712" s="19">
        <f>IFERROR(INDEX(tblNetflix[year_added],MATCH($A2712,tblNetflix[show_id],0)),"")</f>
        <v/>
      </c>
      <c r="F2712" s="19">
        <f>IF(AND(OR(YearFilter="All",$E2712=YearFilter),OR(RatingFilter="All",$D2712=RatingFilter),OR(TypeFilter="All",$C2712=TypeFilter)),1,0)</f>
        <v/>
      </c>
    </row>
    <row r="2713" ht="15" customHeight="1" s="20">
      <c r="A2713" s="19" t="inlineStr">
        <is>
          <t>s8579</t>
        </is>
      </c>
      <c r="B2713" s="19" t="inlineStr">
        <is>
          <t>International Movies</t>
        </is>
      </c>
      <c r="C2713" s="19">
        <f>IFERROR(INDEX(tblNetflix[type],MATCH($A2713,tblNetflix[show_id],0)),"")</f>
        <v/>
      </c>
      <c r="D2713" s="19">
        <f>IFERROR(INDEX(tblNetflix[rating],MATCH($A2713,tblNetflix[show_id],0)),"")</f>
        <v/>
      </c>
      <c r="E2713" s="19">
        <f>IFERROR(INDEX(tblNetflix[year_added],MATCH($A2713,tblNetflix[show_id],0)),"")</f>
        <v/>
      </c>
      <c r="F2713" s="19">
        <f>IF(AND(OR(YearFilter="All",$E2713=YearFilter),OR(RatingFilter="All",$D2713=RatingFilter),OR(TypeFilter="All",$C2713=TypeFilter)),1,0)</f>
        <v/>
      </c>
    </row>
    <row r="2714" ht="15" customHeight="1" s="20">
      <c r="A2714" s="19" t="inlineStr">
        <is>
          <t>s8591</t>
        </is>
      </c>
      <c r="B2714" s="19" t="inlineStr">
        <is>
          <t>Dramas</t>
        </is>
      </c>
      <c r="C2714" s="19">
        <f>IFERROR(INDEX(tblNetflix[type],MATCH($A2714,tblNetflix[show_id],0)),"")</f>
        <v/>
      </c>
      <c r="D2714" s="19">
        <f>IFERROR(INDEX(tblNetflix[rating],MATCH($A2714,tblNetflix[show_id],0)),"")</f>
        <v/>
      </c>
      <c r="E2714" s="19">
        <f>IFERROR(INDEX(tblNetflix[year_added],MATCH($A2714,tblNetflix[show_id],0)),"")</f>
        <v/>
      </c>
      <c r="F2714" s="19">
        <f>IF(AND(OR(YearFilter="All",$E2714=YearFilter),OR(RatingFilter="All",$D2714=RatingFilter),OR(TypeFilter="All",$C2714=TypeFilter)),1,0)</f>
        <v/>
      </c>
    </row>
    <row r="2715" ht="15" customHeight="1" s="20">
      <c r="A2715" s="19" t="inlineStr">
        <is>
          <t>s8591</t>
        </is>
      </c>
      <c r="B2715" s="19" t="inlineStr">
        <is>
          <t>International Movies</t>
        </is>
      </c>
      <c r="C2715" s="19">
        <f>IFERROR(INDEX(tblNetflix[type],MATCH($A2715,tblNetflix[show_id],0)),"")</f>
        <v/>
      </c>
      <c r="D2715" s="19">
        <f>IFERROR(INDEX(tblNetflix[rating],MATCH($A2715,tblNetflix[show_id],0)),"")</f>
        <v/>
      </c>
      <c r="E2715" s="19">
        <f>IFERROR(INDEX(tblNetflix[year_added],MATCH($A2715,tblNetflix[show_id],0)),"")</f>
        <v/>
      </c>
      <c r="F2715" s="19">
        <f>IF(AND(OR(YearFilter="All",$E2715=YearFilter),OR(RatingFilter="All",$D2715=RatingFilter),OR(TypeFilter="All",$C2715=TypeFilter)),1,0)</f>
        <v/>
      </c>
    </row>
    <row r="2716" ht="15" customHeight="1" s="20">
      <c r="A2716" s="19" t="inlineStr">
        <is>
          <t>s8592</t>
        </is>
      </c>
      <c r="B2716" s="19" t="inlineStr">
        <is>
          <t>Comedies</t>
        </is>
      </c>
      <c r="C2716" s="19">
        <f>IFERROR(INDEX(tblNetflix[type],MATCH($A2716,tblNetflix[show_id],0)),"")</f>
        <v/>
      </c>
      <c r="D2716" s="19">
        <f>IFERROR(INDEX(tblNetflix[rating],MATCH($A2716,tblNetflix[show_id],0)),"")</f>
        <v/>
      </c>
      <c r="E2716" s="19">
        <f>IFERROR(INDEX(tblNetflix[year_added],MATCH($A2716,tblNetflix[show_id],0)),"")</f>
        <v/>
      </c>
      <c r="F2716" s="19">
        <f>IF(AND(OR(YearFilter="All",$E2716=YearFilter),OR(RatingFilter="All",$D2716=RatingFilter),OR(TypeFilter="All",$C2716=TypeFilter)),1,0)</f>
        <v/>
      </c>
    </row>
    <row r="2717" ht="15" customHeight="1" s="20">
      <c r="A2717" s="19" t="inlineStr">
        <is>
          <t>s8592</t>
        </is>
      </c>
      <c r="B2717" s="19" t="inlineStr">
        <is>
          <t>Dramas</t>
        </is>
      </c>
      <c r="C2717" s="19">
        <f>IFERROR(INDEX(tblNetflix[type],MATCH($A2717,tblNetflix[show_id],0)),"")</f>
        <v/>
      </c>
      <c r="D2717" s="19">
        <f>IFERROR(INDEX(tblNetflix[rating],MATCH($A2717,tblNetflix[show_id],0)),"")</f>
        <v/>
      </c>
      <c r="E2717" s="19">
        <f>IFERROR(INDEX(tblNetflix[year_added],MATCH($A2717,tblNetflix[show_id],0)),"")</f>
        <v/>
      </c>
      <c r="F2717" s="19">
        <f>IF(AND(OR(YearFilter="All",$E2717=YearFilter),OR(RatingFilter="All",$D2717=RatingFilter),OR(TypeFilter="All",$C2717=TypeFilter)),1,0)</f>
        <v/>
      </c>
    </row>
    <row r="2718" ht="15" customHeight="1" s="20">
      <c r="A2718" s="19" t="inlineStr">
        <is>
          <t>s8592</t>
        </is>
      </c>
      <c r="B2718" s="19" t="inlineStr">
        <is>
          <t>International Movies</t>
        </is>
      </c>
      <c r="C2718" s="19">
        <f>IFERROR(INDEX(tblNetflix[type],MATCH($A2718,tblNetflix[show_id],0)),"")</f>
        <v/>
      </c>
      <c r="D2718" s="19">
        <f>IFERROR(INDEX(tblNetflix[rating],MATCH($A2718,tblNetflix[show_id],0)),"")</f>
        <v/>
      </c>
      <c r="E2718" s="19">
        <f>IFERROR(INDEX(tblNetflix[year_added],MATCH($A2718,tblNetflix[show_id],0)),"")</f>
        <v/>
      </c>
      <c r="F2718" s="19">
        <f>IF(AND(OR(YearFilter="All",$E2718=YearFilter),OR(RatingFilter="All",$D2718=RatingFilter),OR(TypeFilter="All",$C2718=TypeFilter)),1,0)</f>
        <v/>
      </c>
    </row>
    <row r="2719" ht="15" customHeight="1" s="20">
      <c r="A2719" s="19" t="inlineStr">
        <is>
          <t>s8607</t>
        </is>
      </c>
      <c r="B2719" s="19" t="inlineStr">
        <is>
          <t>Dramas</t>
        </is>
      </c>
      <c r="C2719" s="19">
        <f>IFERROR(INDEX(tblNetflix[type],MATCH($A2719,tblNetflix[show_id],0)),"")</f>
        <v/>
      </c>
      <c r="D2719" s="19">
        <f>IFERROR(INDEX(tblNetflix[rating],MATCH($A2719,tblNetflix[show_id],0)),"")</f>
        <v/>
      </c>
      <c r="E2719" s="19">
        <f>IFERROR(INDEX(tblNetflix[year_added],MATCH($A2719,tblNetflix[show_id],0)),"")</f>
        <v/>
      </c>
      <c r="F2719" s="19">
        <f>IF(AND(OR(YearFilter="All",$E2719=YearFilter),OR(RatingFilter="All",$D2719=RatingFilter),OR(TypeFilter="All",$C2719=TypeFilter)),1,0)</f>
        <v/>
      </c>
    </row>
    <row r="2720" ht="15" customHeight="1" s="20">
      <c r="A2720" s="19" t="inlineStr">
        <is>
          <t>s8607</t>
        </is>
      </c>
      <c r="B2720" s="19" t="inlineStr">
        <is>
          <t>Independent Movies</t>
        </is>
      </c>
      <c r="C2720" s="19">
        <f>IFERROR(INDEX(tblNetflix[type],MATCH($A2720,tblNetflix[show_id],0)),"")</f>
        <v/>
      </c>
      <c r="D2720" s="19">
        <f>IFERROR(INDEX(tblNetflix[rating],MATCH($A2720,tblNetflix[show_id],0)),"")</f>
        <v/>
      </c>
      <c r="E2720" s="19">
        <f>IFERROR(INDEX(tblNetflix[year_added],MATCH($A2720,tblNetflix[show_id],0)),"")</f>
        <v/>
      </c>
      <c r="F2720" s="19">
        <f>IF(AND(OR(YearFilter="All",$E2720=YearFilter),OR(RatingFilter="All",$D2720=RatingFilter),OR(TypeFilter="All",$C2720=TypeFilter)),1,0)</f>
        <v/>
      </c>
    </row>
    <row r="2721" ht="15" customHeight="1" s="20">
      <c r="A2721" s="19" t="inlineStr">
        <is>
          <t>s8607</t>
        </is>
      </c>
      <c r="B2721" s="19" t="inlineStr">
        <is>
          <t>International Movies</t>
        </is>
      </c>
      <c r="C2721" s="19">
        <f>IFERROR(INDEX(tblNetflix[type],MATCH($A2721,tblNetflix[show_id],0)),"")</f>
        <v/>
      </c>
      <c r="D2721" s="19">
        <f>IFERROR(INDEX(tblNetflix[rating],MATCH($A2721,tblNetflix[show_id],0)),"")</f>
        <v/>
      </c>
      <c r="E2721" s="19">
        <f>IFERROR(INDEX(tblNetflix[year_added],MATCH($A2721,tblNetflix[show_id],0)),"")</f>
        <v/>
      </c>
      <c r="F2721" s="19">
        <f>IF(AND(OR(YearFilter="All",$E2721=YearFilter),OR(RatingFilter="All",$D2721=RatingFilter),OR(TypeFilter="All",$C2721=TypeFilter)),1,0)</f>
        <v/>
      </c>
    </row>
    <row r="2722" ht="15" customHeight="1" s="20">
      <c r="A2722" s="19" t="inlineStr">
        <is>
          <t>s8612</t>
        </is>
      </c>
      <c r="B2722" s="19" t="inlineStr">
        <is>
          <t>Dramas</t>
        </is>
      </c>
      <c r="C2722" s="19">
        <f>IFERROR(INDEX(tblNetflix[type],MATCH($A2722,tblNetflix[show_id],0)),"")</f>
        <v/>
      </c>
      <c r="D2722" s="19">
        <f>IFERROR(INDEX(tblNetflix[rating],MATCH($A2722,tblNetflix[show_id],0)),"")</f>
        <v/>
      </c>
      <c r="E2722" s="19">
        <f>IFERROR(INDEX(tblNetflix[year_added],MATCH($A2722,tblNetflix[show_id],0)),"")</f>
        <v/>
      </c>
      <c r="F2722" s="19">
        <f>IF(AND(OR(YearFilter="All",$E2722=YearFilter),OR(RatingFilter="All",$D2722=RatingFilter),OR(TypeFilter="All",$C2722=TypeFilter)),1,0)</f>
        <v/>
      </c>
    </row>
    <row r="2723" ht="15" customHeight="1" s="20">
      <c r="A2723" s="19" t="inlineStr">
        <is>
          <t>s8612</t>
        </is>
      </c>
      <c r="B2723" s="19" t="inlineStr">
        <is>
          <t>Independent Movies</t>
        </is>
      </c>
      <c r="C2723" s="19">
        <f>IFERROR(INDEX(tblNetflix[type],MATCH($A2723,tblNetflix[show_id],0)),"")</f>
        <v/>
      </c>
      <c r="D2723" s="19">
        <f>IFERROR(INDEX(tblNetflix[rating],MATCH($A2723,tblNetflix[show_id],0)),"")</f>
        <v/>
      </c>
      <c r="E2723" s="19">
        <f>IFERROR(INDEX(tblNetflix[year_added],MATCH($A2723,tblNetflix[show_id],0)),"")</f>
        <v/>
      </c>
      <c r="F2723" s="19">
        <f>IF(AND(OR(YearFilter="All",$E2723=YearFilter),OR(RatingFilter="All",$D2723=RatingFilter),OR(TypeFilter="All",$C2723=TypeFilter)),1,0)</f>
        <v/>
      </c>
    </row>
    <row r="2724" ht="15" customHeight="1" s="20">
      <c r="A2724" s="19" t="inlineStr">
        <is>
          <t>s8612</t>
        </is>
      </c>
      <c r="B2724" s="19" t="inlineStr">
        <is>
          <t>International Movies</t>
        </is>
      </c>
      <c r="C2724" s="19">
        <f>IFERROR(INDEX(tblNetflix[type],MATCH($A2724,tblNetflix[show_id],0)),"")</f>
        <v/>
      </c>
      <c r="D2724" s="19">
        <f>IFERROR(INDEX(tblNetflix[rating],MATCH($A2724,tblNetflix[show_id],0)),"")</f>
        <v/>
      </c>
      <c r="E2724" s="19">
        <f>IFERROR(INDEX(tblNetflix[year_added],MATCH($A2724,tblNetflix[show_id],0)),"")</f>
        <v/>
      </c>
      <c r="F2724" s="19">
        <f>IF(AND(OR(YearFilter="All",$E2724=YearFilter),OR(RatingFilter="All",$D2724=RatingFilter),OR(TypeFilter="All",$C2724=TypeFilter)),1,0)</f>
        <v/>
      </c>
    </row>
    <row r="2725" ht="15" customHeight="1" s="20">
      <c r="A2725" s="19" t="inlineStr">
        <is>
          <t>s8629</t>
        </is>
      </c>
      <c r="B2725" s="19" t="inlineStr">
        <is>
          <t>Comedies</t>
        </is>
      </c>
      <c r="C2725" s="19">
        <f>IFERROR(INDEX(tblNetflix[type],MATCH($A2725,tblNetflix[show_id],0)),"")</f>
        <v/>
      </c>
      <c r="D2725" s="19">
        <f>IFERROR(INDEX(tblNetflix[rating],MATCH($A2725,tblNetflix[show_id],0)),"")</f>
        <v/>
      </c>
      <c r="E2725" s="19">
        <f>IFERROR(INDEX(tblNetflix[year_added],MATCH($A2725,tblNetflix[show_id],0)),"")</f>
        <v/>
      </c>
      <c r="F2725" s="19">
        <f>IF(AND(OR(YearFilter="All",$E2725=YearFilter),OR(RatingFilter="All",$D2725=RatingFilter),OR(TypeFilter="All",$C2725=TypeFilter)),1,0)</f>
        <v/>
      </c>
    </row>
    <row r="2726" ht="15" customHeight="1" s="20">
      <c r="A2726" s="19" t="inlineStr">
        <is>
          <t>s8629</t>
        </is>
      </c>
      <c r="B2726" s="19" t="inlineStr">
        <is>
          <t>Dramas</t>
        </is>
      </c>
      <c r="C2726" s="19">
        <f>IFERROR(INDEX(tblNetflix[type],MATCH($A2726,tblNetflix[show_id],0)),"")</f>
        <v/>
      </c>
      <c r="D2726" s="19">
        <f>IFERROR(INDEX(tblNetflix[rating],MATCH($A2726,tblNetflix[show_id],0)),"")</f>
        <v/>
      </c>
      <c r="E2726" s="19">
        <f>IFERROR(INDEX(tblNetflix[year_added],MATCH($A2726,tblNetflix[show_id],0)),"")</f>
        <v/>
      </c>
      <c r="F2726" s="19">
        <f>IF(AND(OR(YearFilter="All",$E2726=YearFilter),OR(RatingFilter="All",$D2726=RatingFilter),OR(TypeFilter="All",$C2726=TypeFilter)),1,0)</f>
        <v/>
      </c>
    </row>
    <row r="2727" ht="15" customHeight="1" s="20">
      <c r="A2727" s="19" t="inlineStr">
        <is>
          <t>s8629</t>
        </is>
      </c>
      <c r="B2727" s="19" t="inlineStr">
        <is>
          <t>Independent Movies</t>
        </is>
      </c>
      <c r="C2727" s="19">
        <f>IFERROR(INDEX(tblNetflix[type],MATCH($A2727,tblNetflix[show_id],0)),"")</f>
        <v/>
      </c>
      <c r="D2727" s="19">
        <f>IFERROR(INDEX(tblNetflix[rating],MATCH($A2727,tblNetflix[show_id],0)),"")</f>
        <v/>
      </c>
      <c r="E2727" s="19">
        <f>IFERROR(INDEX(tblNetflix[year_added],MATCH($A2727,tblNetflix[show_id],0)),"")</f>
        <v/>
      </c>
      <c r="F2727" s="19">
        <f>IF(AND(OR(YearFilter="All",$E2727=YearFilter),OR(RatingFilter="All",$D2727=RatingFilter),OR(TypeFilter="All",$C2727=TypeFilter)),1,0)</f>
        <v/>
      </c>
    </row>
    <row r="2728" ht="15" customHeight="1" s="20">
      <c r="A2728" s="19" t="inlineStr">
        <is>
          <t>s8630</t>
        </is>
      </c>
      <c r="B2728" s="19" t="inlineStr">
        <is>
          <t>Action &amp; Adventure</t>
        </is>
      </c>
      <c r="C2728" s="19">
        <f>IFERROR(INDEX(tblNetflix[type],MATCH($A2728,tblNetflix[show_id],0)),"")</f>
        <v/>
      </c>
      <c r="D2728" s="19">
        <f>IFERROR(INDEX(tblNetflix[rating],MATCH($A2728,tblNetflix[show_id],0)),"")</f>
        <v/>
      </c>
      <c r="E2728" s="19">
        <f>IFERROR(INDEX(tblNetflix[year_added],MATCH($A2728,tblNetflix[show_id],0)),"")</f>
        <v/>
      </c>
      <c r="F2728" s="19">
        <f>IF(AND(OR(YearFilter="All",$E2728=YearFilter),OR(RatingFilter="All",$D2728=RatingFilter),OR(TypeFilter="All",$C2728=TypeFilter)),1,0)</f>
        <v/>
      </c>
    </row>
    <row r="2729" ht="15" customHeight="1" s="20">
      <c r="A2729" s="19" t="inlineStr">
        <is>
          <t>s8630</t>
        </is>
      </c>
      <c r="B2729" s="19" t="inlineStr">
        <is>
          <t>Dramas</t>
        </is>
      </c>
      <c r="C2729" s="19">
        <f>IFERROR(INDEX(tblNetflix[type],MATCH($A2729,tblNetflix[show_id],0)),"")</f>
        <v/>
      </c>
      <c r="D2729" s="19">
        <f>IFERROR(INDEX(tblNetflix[rating],MATCH($A2729,tblNetflix[show_id],0)),"")</f>
        <v/>
      </c>
      <c r="E2729" s="19">
        <f>IFERROR(INDEX(tblNetflix[year_added],MATCH($A2729,tblNetflix[show_id],0)),"")</f>
        <v/>
      </c>
      <c r="F2729" s="19">
        <f>IF(AND(OR(YearFilter="All",$E2729=YearFilter),OR(RatingFilter="All",$D2729=RatingFilter),OR(TypeFilter="All",$C2729=TypeFilter)),1,0)</f>
        <v/>
      </c>
    </row>
    <row r="2730" ht="15" customHeight="1" s="20">
      <c r="A2730" s="19" t="inlineStr">
        <is>
          <t>s8630</t>
        </is>
      </c>
      <c r="B2730" s="19" t="inlineStr">
        <is>
          <t>International Movies</t>
        </is>
      </c>
      <c r="C2730" s="19">
        <f>IFERROR(INDEX(tblNetflix[type],MATCH($A2730,tblNetflix[show_id],0)),"")</f>
        <v/>
      </c>
      <c r="D2730" s="19">
        <f>IFERROR(INDEX(tblNetflix[rating],MATCH($A2730,tblNetflix[show_id],0)),"")</f>
        <v/>
      </c>
      <c r="E2730" s="19">
        <f>IFERROR(INDEX(tblNetflix[year_added],MATCH($A2730,tblNetflix[show_id],0)),"")</f>
        <v/>
      </c>
      <c r="F2730" s="19">
        <f>IF(AND(OR(YearFilter="All",$E2730=YearFilter),OR(RatingFilter="All",$D2730=RatingFilter),OR(TypeFilter="All",$C2730=TypeFilter)),1,0)</f>
        <v/>
      </c>
    </row>
    <row r="2731" ht="15" customHeight="1" s="20">
      <c r="A2731" s="19" t="inlineStr">
        <is>
          <t>s8631</t>
        </is>
      </c>
      <c r="B2731" s="19" t="inlineStr">
        <is>
          <t>International Movies</t>
        </is>
      </c>
      <c r="C2731" s="19">
        <f>IFERROR(INDEX(tblNetflix[type],MATCH($A2731,tblNetflix[show_id],0)),"")</f>
        <v/>
      </c>
      <c r="D2731" s="19">
        <f>IFERROR(INDEX(tblNetflix[rating],MATCH($A2731,tblNetflix[show_id],0)),"")</f>
        <v/>
      </c>
      <c r="E2731" s="19">
        <f>IFERROR(INDEX(tblNetflix[year_added],MATCH($A2731,tblNetflix[show_id],0)),"")</f>
        <v/>
      </c>
      <c r="F2731" s="19">
        <f>IF(AND(OR(YearFilter="All",$E2731=YearFilter),OR(RatingFilter="All",$D2731=RatingFilter),OR(TypeFilter="All",$C2731=TypeFilter)),1,0)</f>
        <v/>
      </c>
    </row>
    <row r="2732" ht="15" customHeight="1" s="20">
      <c r="A2732" s="19" t="inlineStr">
        <is>
          <t>s8631</t>
        </is>
      </c>
      <c r="B2732" s="19" t="inlineStr">
        <is>
          <t>Thrillers</t>
        </is>
      </c>
      <c r="C2732" s="19">
        <f>IFERROR(INDEX(tblNetflix[type],MATCH($A2732,tblNetflix[show_id],0)),"")</f>
        <v/>
      </c>
      <c r="D2732" s="19">
        <f>IFERROR(INDEX(tblNetflix[rating],MATCH($A2732,tblNetflix[show_id],0)),"")</f>
        <v/>
      </c>
      <c r="E2732" s="19">
        <f>IFERROR(INDEX(tblNetflix[year_added],MATCH($A2732,tblNetflix[show_id],0)),"")</f>
        <v/>
      </c>
      <c r="F2732" s="19">
        <f>IF(AND(OR(YearFilter="All",$E2732=YearFilter),OR(RatingFilter="All",$D2732=RatingFilter),OR(TypeFilter="All",$C2732=TypeFilter)),1,0)</f>
        <v/>
      </c>
    </row>
    <row r="2733" ht="15" customHeight="1" s="20">
      <c r="A2733" s="19" t="inlineStr">
        <is>
          <t>s8639</t>
        </is>
      </c>
      <c r="B2733" s="19" t="inlineStr">
        <is>
          <t>Comedies</t>
        </is>
      </c>
      <c r="C2733" s="19">
        <f>IFERROR(INDEX(tblNetflix[type],MATCH($A2733,tblNetflix[show_id],0)),"")</f>
        <v/>
      </c>
      <c r="D2733" s="19">
        <f>IFERROR(INDEX(tblNetflix[rating],MATCH($A2733,tblNetflix[show_id],0)),"")</f>
        <v/>
      </c>
      <c r="E2733" s="19">
        <f>IFERROR(INDEX(tblNetflix[year_added],MATCH($A2733,tblNetflix[show_id],0)),"")</f>
        <v/>
      </c>
      <c r="F2733" s="19">
        <f>IF(AND(OR(YearFilter="All",$E2733=YearFilter),OR(RatingFilter="All",$D2733=RatingFilter),OR(TypeFilter="All",$C2733=TypeFilter)),1,0)</f>
        <v/>
      </c>
    </row>
    <row r="2734" ht="15" customHeight="1" s="20">
      <c r="A2734" s="19" t="inlineStr">
        <is>
          <t>s8639</t>
        </is>
      </c>
      <c r="B2734" s="19" t="inlineStr">
        <is>
          <t>Horror Movies</t>
        </is>
      </c>
      <c r="C2734" s="19">
        <f>IFERROR(INDEX(tblNetflix[type],MATCH($A2734,tblNetflix[show_id],0)),"")</f>
        <v/>
      </c>
      <c r="D2734" s="19">
        <f>IFERROR(INDEX(tblNetflix[rating],MATCH($A2734,tblNetflix[show_id],0)),"")</f>
        <v/>
      </c>
      <c r="E2734" s="19">
        <f>IFERROR(INDEX(tblNetflix[year_added],MATCH($A2734,tblNetflix[show_id],0)),"")</f>
        <v/>
      </c>
      <c r="F2734" s="19">
        <f>IF(AND(OR(YearFilter="All",$E2734=YearFilter),OR(RatingFilter="All",$D2734=RatingFilter),OR(TypeFilter="All",$C2734=TypeFilter)),1,0)</f>
        <v/>
      </c>
    </row>
    <row r="2735" ht="15" customHeight="1" s="20">
      <c r="A2735" s="19" t="inlineStr">
        <is>
          <t>s8639</t>
        </is>
      </c>
      <c r="B2735" s="19" t="inlineStr">
        <is>
          <t>Independent Movies</t>
        </is>
      </c>
      <c r="C2735" s="19">
        <f>IFERROR(INDEX(tblNetflix[type],MATCH($A2735,tblNetflix[show_id],0)),"")</f>
        <v/>
      </c>
      <c r="D2735" s="19">
        <f>IFERROR(INDEX(tblNetflix[rating],MATCH($A2735,tblNetflix[show_id],0)),"")</f>
        <v/>
      </c>
      <c r="E2735" s="19">
        <f>IFERROR(INDEX(tblNetflix[year_added],MATCH($A2735,tblNetflix[show_id],0)),"")</f>
        <v/>
      </c>
      <c r="F2735" s="19">
        <f>IF(AND(OR(YearFilter="All",$E2735=YearFilter),OR(RatingFilter="All",$D2735=RatingFilter),OR(TypeFilter="All",$C2735=TypeFilter)),1,0)</f>
        <v/>
      </c>
    </row>
    <row r="2736" ht="15" customHeight="1" s="20">
      <c r="A2736" s="19" t="inlineStr">
        <is>
          <t>s8640</t>
        </is>
      </c>
      <c r="B2736" s="19" t="inlineStr">
        <is>
          <t>Dramas</t>
        </is>
      </c>
      <c r="C2736" s="19">
        <f>IFERROR(INDEX(tblNetflix[type],MATCH($A2736,tblNetflix[show_id],0)),"")</f>
        <v/>
      </c>
      <c r="D2736" s="19">
        <f>IFERROR(INDEX(tblNetflix[rating],MATCH($A2736,tblNetflix[show_id],0)),"")</f>
        <v/>
      </c>
      <c r="E2736" s="19">
        <f>IFERROR(INDEX(tblNetflix[year_added],MATCH($A2736,tblNetflix[show_id],0)),"")</f>
        <v/>
      </c>
      <c r="F2736" s="19">
        <f>IF(AND(OR(YearFilter="All",$E2736=YearFilter),OR(RatingFilter="All",$D2736=RatingFilter),OR(TypeFilter="All",$C2736=TypeFilter)),1,0)</f>
        <v/>
      </c>
    </row>
    <row r="2737" ht="15" customHeight="1" s="20">
      <c r="A2737" s="19" t="inlineStr">
        <is>
          <t>s8640</t>
        </is>
      </c>
      <c r="B2737" s="19" t="inlineStr">
        <is>
          <t>Faith &amp; Spirituality</t>
        </is>
      </c>
      <c r="C2737" s="19">
        <f>IFERROR(INDEX(tblNetflix[type],MATCH($A2737,tblNetflix[show_id],0)),"")</f>
        <v/>
      </c>
      <c r="D2737" s="19">
        <f>IFERROR(INDEX(tblNetflix[rating],MATCH($A2737,tblNetflix[show_id],0)),"")</f>
        <v/>
      </c>
      <c r="E2737" s="19">
        <f>IFERROR(INDEX(tblNetflix[year_added],MATCH($A2737,tblNetflix[show_id],0)),"")</f>
        <v/>
      </c>
      <c r="F2737" s="19">
        <f>IF(AND(OR(YearFilter="All",$E2737=YearFilter),OR(RatingFilter="All",$D2737=RatingFilter),OR(TypeFilter="All",$C2737=TypeFilter)),1,0)</f>
        <v/>
      </c>
    </row>
    <row r="2738" ht="15" customHeight="1" s="20">
      <c r="A2738" s="19" t="inlineStr">
        <is>
          <t>s8640</t>
        </is>
      </c>
      <c r="B2738" s="19" t="inlineStr">
        <is>
          <t>International Movies</t>
        </is>
      </c>
      <c r="C2738" s="19">
        <f>IFERROR(INDEX(tblNetflix[type],MATCH($A2738,tblNetflix[show_id],0)),"")</f>
        <v/>
      </c>
      <c r="D2738" s="19">
        <f>IFERROR(INDEX(tblNetflix[rating],MATCH($A2738,tblNetflix[show_id],0)),"")</f>
        <v/>
      </c>
      <c r="E2738" s="19">
        <f>IFERROR(INDEX(tblNetflix[year_added],MATCH($A2738,tblNetflix[show_id],0)),"")</f>
        <v/>
      </c>
      <c r="F2738" s="19">
        <f>IF(AND(OR(YearFilter="All",$E2738=YearFilter),OR(RatingFilter="All",$D2738=RatingFilter),OR(TypeFilter="All",$C2738=TypeFilter)),1,0)</f>
        <v/>
      </c>
    </row>
    <row r="2739" ht="15" customHeight="1" s="20">
      <c r="A2739" s="19" t="inlineStr">
        <is>
          <t>s8648</t>
        </is>
      </c>
      <c r="B2739" s="19" t="inlineStr">
        <is>
          <t>Dramas</t>
        </is>
      </c>
      <c r="C2739" s="19">
        <f>IFERROR(INDEX(tblNetflix[type],MATCH($A2739,tblNetflix[show_id],0)),"")</f>
        <v/>
      </c>
      <c r="D2739" s="19">
        <f>IFERROR(INDEX(tblNetflix[rating],MATCH($A2739,tblNetflix[show_id],0)),"")</f>
        <v/>
      </c>
      <c r="E2739" s="19">
        <f>IFERROR(INDEX(tblNetflix[year_added],MATCH($A2739,tblNetflix[show_id],0)),"")</f>
        <v/>
      </c>
      <c r="F2739" s="19">
        <f>IF(AND(OR(YearFilter="All",$E2739=YearFilter),OR(RatingFilter="All",$D2739=RatingFilter),OR(TypeFilter="All",$C2739=TypeFilter)),1,0)</f>
        <v/>
      </c>
    </row>
    <row r="2740" ht="15" customHeight="1" s="20">
      <c r="A2740" s="19" t="inlineStr">
        <is>
          <t>s8648</t>
        </is>
      </c>
      <c r="B2740" s="19" t="inlineStr">
        <is>
          <t>International Movies</t>
        </is>
      </c>
      <c r="C2740" s="19">
        <f>IFERROR(INDEX(tblNetflix[type],MATCH($A2740,tblNetflix[show_id],0)),"")</f>
        <v/>
      </c>
      <c r="D2740" s="19">
        <f>IFERROR(INDEX(tblNetflix[rating],MATCH($A2740,tblNetflix[show_id],0)),"")</f>
        <v/>
      </c>
      <c r="E2740" s="19">
        <f>IFERROR(INDEX(tblNetflix[year_added],MATCH($A2740,tblNetflix[show_id],0)),"")</f>
        <v/>
      </c>
      <c r="F2740" s="19">
        <f>IF(AND(OR(YearFilter="All",$E2740=YearFilter),OR(RatingFilter="All",$D2740=RatingFilter),OR(TypeFilter="All",$C2740=TypeFilter)),1,0)</f>
        <v/>
      </c>
    </row>
    <row r="2741" ht="15" customHeight="1" s="20">
      <c r="A2741" s="19" t="inlineStr">
        <is>
          <t>s8653</t>
        </is>
      </c>
      <c r="B2741" s="19" t="inlineStr">
        <is>
          <t>Dramas</t>
        </is>
      </c>
      <c r="C2741" s="19">
        <f>IFERROR(INDEX(tblNetflix[type],MATCH($A2741,tblNetflix[show_id],0)),"")</f>
        <v/>
      </c>
      <c r="D2741" s="19">
        <f>IFERROR(INDEX(tblNetflix[rating],MATCH($A2741,tblNetflix[show_id],0)),"")</f>
        <v/>
      </c>
      <c r="E2741" s="19">
        <f>IFERROR(INDEX(tblNetflix[year_added],MATCH($A2741,tblNetflix[show_id],0)),"")</f>
        <v/>
      </c>
      <c r="F2741" s="19">
        <f>IF(AND(OR(YearFilter="All",$E2741=YearFilter),OR(RatingFilter="All",$D2741=RatingFilter),OR(TypeFilter="All",$C2741=TypeFilter)),1,0)</f>
        <v/>
      </c>
    </row>
    <row r="2742" ht="15" customHeight="1" s="20">
      <c r="A2742" s="19" t="inlineStr">
        <is>
          <t>s8653</t>
        </is>
      </c>
      <c r="B2742" s="19" t="inlineStr">
        <is>
          <t>International Movies</t>
        </is>
      </c>
      <c r="C2742" s="19">
        <f>IFERROR(INDEX(tblNetflix[type],MATCH($A2742,tblNetflix[show_id],0)),"")</f>
        <v/>
      </c>
      <c r="D2742" s="19">
        <f>IFERROR(INDEX(tblNetflix[rating],MATCH($A2742,tblNetflix[show_id],0)),"")</f>
        <v/>
      </c>
      <c r="E2742" s="19">
        <f>IFERROR(INDEX(tblNetflix[year_added],MATCH($A2742,tblNetflix[show_id],0)),"")</f>
        <v/>
      </c>
      <c r="F2742" s="19">
        <f>IF(AND(OR(YearFilter="All",$E2742=YearFilter),OR(RatingFilter="All",$D2742=RatingFilter),OR(TypeFilter="All",$C2742=TypeFilter)),1,0)</f>
        <v/>
      </c>
    </row>
    <row r="2743" ht="15" customHeight="1" s="20">
      <c r="A2743" s="19" t="inlineStr">
        <is>
          <t>s8653</t>
        </is>
      </c>
      <c r="B2743" s="19" t="inlineStr">
        <is>
          <t>Thrillers</t>
        </is>
      </c>
      <c r="C2743" s="19">
        <f>IFERROR(INDEX(tblNetflix[type],MATCH($A2743,tblNetflix[show_id],0)),"")</f>
        <v/>
      </c>
      <c r="D2743" s="19">
        <f>IFERROR(INDEX(tblNetflix[rating],MATCH($A2743,tblNetflix[show_id],0)),"")</f>
        <v/>
      </c>
      <c r="E2743" s="19">
        <f>IFERROR(INDEX(tblNetflix[year_added],MATCH($A2743,tblNetflix[show_id],0)),"")</f>
        <v/>
      </c>
      <c r="F2743" s="19">
        <f>IF(AND(OR(YearFilter="All",$E2743=YearFilter),OR(RatingFilter="All",$D2743=RatingFilter),OR(TypeFilter="All",$C2743=TypeFilter)),1,0)</f>
        <v/>
      </c>
    </row>
    <row r="2744" ht="15" customHeight="1" s="20">
      <c r="A2744" s="19" t="inlineStr">
        <is>
          <t>s8663</t>
        </is>
      </c>
      <c r="B2744" s="19" t="inlineStr">
        <is>
          <t>Dramas</t>
        </is>
      </c>
      <c r="C2744" s="19">
        <f>IFERROR(INDEX(tblNetflix[type],MATCH($A2744,tblNetflix[show_id],0)),"")</f>
        <v/>
      </c>
      <c r="D2744" s="19">
        <f>IFERROR(INDEX(tblNetflix[rating],MATCH($A2744,tblNetflix[show_id],0)),"")</f>
        <v/>
      </c>
      <c r="E2744" s="19">
        <f>IFERROR(INDEX(tblNetflix[year_added],MATCH($A2744,tblNetflix[show_id],0)),"")</f>
        <v/>
      </c>
      <c r="F2744" s="19">
        <f>IF(AND(OR(YearFilter="All",$E2744=YearFilter),OR(RatingFilter="All",$D2744=RatingFilter),OR(TypeFilter="All",$C2744=TypeFilter)),1,0)</f>
        <v/>
      </c>
    </row>
    <row r="2745" ht="15" customHeight="1" s="20">
      <c r="A2745" s="19" t="inlineStr">
        <is>
          <t>s8663</t>
        </is>
      </c>
      <c r="B2745" s="19" t="inlineStr">
        <is>
          <t>Independent Movies</t>
        </is>
      </c>
      <c r="C2745" s="19">
        <f>IFERROR(INDEX(tblNetflix[type],MATCH($A2745,tblNetflix[show_id],0)),"")</f>
        <v/>
      </c>
      <c r="D2745" s="19">
        <f>IFERROR(INDEX(tblNetflix[rating],MATCH($A2745,tblNetflix[show_id],0)),"")</f>
        <v/>
      </c>
      <c r="E2745" s="19">
        <f>IFERROR(INDEX(tblNetflix[year_added],MATCH($A2745,tblNetflix[show_id],0)),"")</f>
        <v/>
      </c>
      <c r="F2745" s="19">
        <f>IF(AND(OR(YearFilter="All",$E2745=YearFilter),OR(RatingFilter="All",$D2745=RatingFilter),OR(TypeFilter="All",$C2745=TypeFilter)),1,0)</f>
        <v/>
      </c>
    </row>
    <row r="2746" ht="15" customHeight="1" s="20">
      <c r="A2746" s="19" t="inlineStr">
        <is>
          <t>s8663</t>
        </is>
      </c>
      <c r="B2746" s="19" t="inlineStr">
        <is>
          <t>International Movies</t>
        </is>
      </c>
      <c r="C2746" s="19">
        <f>IFERROR(INDEX(tblNetflix[type],MATCH($A2746,tblNetflix[show_id],0)),"")</f>
        <v/>
      </c>
      <c r="D2746" s="19">
        <f>IFERROR(INDEX(tblNetflix[rating],MATCH($A2746,tblNetflix[show_id],0)),"")</f>
        <v/>
      </c>
      <c r="E2746" s="19">
        <f>IFERROR(INDEX(tblNetflix[year_added],MATCH($A2746,tblNetflix[show_id],0)),"")</f>
        <v/>
      </c>
      <c r="F2746" s="19">
        <f>IF(AND(OR(YearFilter="All",$E2746=YearFilter),OR(RatingFilter="All",$D2746=RatingFilter),OR(TypeFilter="All",$C2746=TypeFilter)),1,0)</f>
        <v/>
      </c>
    </row>
    <row r="2747" ht="15" customHeight="1" s="20">
      <c r="A2747" s="19" t="inlineStr">
        <is>
          <t>s8666</t>
        </is>
      </c>
      <c r="B2747" s="19" t="inlineStr">
        <is>
          <t>Dramas</t>
        </is>
      </c>
      <c r="C2747" s="19">
        <f>IFERROR(INDEX(tblNetflix[type],MATCH($A2747,tblNetflix[show_id],0)),"")</f>
        <v/>
      </c>
      <c r="D2747" s="19">
        <f>IFERROR(INDEX(tblNetflix[rating],MATCH($A2747,tblNetflix[show_id],0)),"")</f>
        <v/>
      </c>
      <c r="E2747" s="19">
        <f>IFERROR(INDEX(tblNetflix[year_added],MATCH($A2747,tblNetflix[show_id],0)),"")</f>
        <v/>
      </c>
      <c r="F2747" s="19">
        <f>IF(AND(OR(YearFilter="All",$E2747=YearFilter),OR(RatingFilter="All",$D2747=RatingFilter),OR(TypeFilter="All",$C2747=TypeFilter)),1,0)</f>
        <v/>
      </c>
    </row>
    <row r="2748" ht="15" customHeight="1" s="20">
      <c r="A2748" s="19" t="inlineStr">
        <is>
          <t>s8666</t>
        </is>
      </c>
      <c r="B2748" s="19" t="inlineStr">
        <is>
          <t>Independent Movies</t>
        </is>
      </c>
      <c r="C2748" s="19">
        <f>IFERROR(INDEX(tblNetflix[type],MATCH($A2748,tblNetflix[show_id],0)),"")</f>
        <v/>
      </c>
      <c r="D2748" s="19">
        <f>IFERROR(INDEX(tblNetflix[rating],MATCH($A2748,tblNetflix[show_id],0)),"")</f>
        <v/>
      </c>
      <c r="E2748" s="19">
        <f>IFERROR(INDEX(tblNetflix[year_added],MATCH($A2748,tblNetflix[show_id],0)),"")</f>
        <v/>
      </c>
      <c r="F2748" s="19">
        <f>IF(AND(OR(YearFilter="All",$E2748=YearFilter),OR(RatingFilter="All",$D2748=RatingFilter),OR(TypeFilter="All",$C2748=TypeFilter)),1,0)</f>
        <v/>
      </c>
    </row>
    <row r="2749" ht="15" customHeight="1" s="20">
      <c r="A2749" s="19" t="inlineStr">
        <is>
          <t>s8666</t>
        </is>
      </c>
      <c r="B2749" s="19" t="inlineStr">
        <is>
          <t>International Movies</t>
        </is>
      </c>
      <c r="C2749" s="19">
        <f>IFERROR(INDEX(tblNetflix[type],MATCH($A2749,tblNetflix[show_id],0)),"")</f>
        <v/>
      </c>
      <c r="D2749" s="19">
        <f>IFERROR(INDEX(tblNetflix[rating],MATCH($A2749,tblNetflix[show_id],0)),"")</f>
        <v/>
      </c>
      <c r="E2749" s="19">
        <f>IFERROR(INDEX(tblNetflix[year_added],MATCH($A2749,tblNetflix[show_id],0)),"")</f>
        <v/>
      </c>
      <c r="F2749" s="19">
        <f>IF(AND(OR(YearFilter="All",$E2749=YearFilter),OR(RatingFilter="All",$D2749=RatingFilter),OR(TypeFilter="All",$C2749=TypeFilter)),1,0)</f>
        <v/>
      </c>
    </row>
    <row r="2750" ht="15" customHeight="1" s="20">
      <c r="A2750" s="19" t="inlineStr">
        <is>
          <t>s8672</t>
        </is>
      </c>
      <c r="B2750" s="19" t="inlineStr">
        <is>
          <t>Action &amp; Adventure</t>
        </is>
      </c>
      <c r="C2750" s="19">
        <f>IFERROR(INDEX(tblNetflix[type],MATCH($A2750,tblNetflix[show_id],0)),"")</f>
        <v/>
      </c>
      <c r="D2750" s="19">
        <f>IFERROR(INDEX(tblNetflix[rating],MATCH($A2750,tblNetflix[show_id],0)),"")</f>
        <v/>
      </c>
      <c r="E2750" s="19">
        <f>IFERROR(INDEX(tblNetflix[year_added],MATCH($A2750,tblNetflix[show_id],0)),"")</f>
        <v/>
      </c>
      <c r="F2750" s="19">
        <f>IF(AND(OR(YearFilter="All",$E2750=YearFilter),OR(RatingFilter="All",$D2750=RatingFilter),OR(TypeFilter="All",$C2750=TypeFilter)),1,0)</f>
        <v/>
      </c>
    </row>
    <row r="2751" ht="15" customHeight="1" s="20">
      <c r="A2751" s="19" t="inlineStr">
        <is>
          <t>s8672</t>
        </is>
      </c>
      <c r="B2751" s="19" t="inlineStr">
        <is>
          <t>Dramas</t>
        </is>
      </c>
      <c r="C2751" s="19">
        <f>IFERROR(INDEX(tblNetflix[type],MATCH($A2751,tblNetflix[show_id],0)),"")</f>
        <v/>
      </c>
      <c r="D2751" s="19">
        <f>IFERROR(INDEX(tblNetflix[rating],MATCH($A2751,tblNetflix[show_id],0)),"")</f>
        <v/>
      </c>
      <c r="E2751" s="19">
        <f>IFERROR(INDEX(tblNetflix[year_added],MATCH($A2751,tblNetflix[show_id],0)),"")</f>
        <v/>
      </c>
      <c r="F2751" s="19">
        <f>IF(AND(OR(YearFilter="All",$E2751=YearFilter),OR(RatingFilter="All",$D2751=RatingFilter),OR(TypeFilter="All",$C2751=TypeFilter)),1,0)</f>
        <v/>
      </c>
    </row>
    <row r="2752" ht="15" customHeight="1" s="20">
      <c r="A2752" s="19" t="inlineStr">
        <is>
          <t>s8672</t>
        </is>
      </c>
      <c r="B2752" s="19" t="inlineStr">
        <is>
          <t>International Movies</t>
        </is>
      </c>
      <c r="C2752" s="19">
        <f>IFERROR(INDEX(tblNetflix[type],MATCH($A2752,tblNetflix[show_id],0)),"")</f>
        <v/>
      </c>
      <c r="D2752" s="19">
        <f>IFERROR(INDEX(tblNetflix[rating],MATCH($A2752,tblNetflix[show_id],0)),"")</f>
        <v/>
      </c>
      <c r="E2752" s="19">
        <f>IFERROR(INDEX(tblNetflix[year_added],MATCH($A2752,tblNetflix[show_id],0)),"")</f>
        <v/>
      </c>
      <c r="F2752" s="19">
        <f>IF(AND(OR(YearFilter="All",$E2752=YearFilter),OR(RatingFilter="All",$D2752=RatingFilter),OR(TypeFilter="All",$C2752=TypeFilter)),1,0)</f>
        <v/>
      </c>
    </row>
    <row r="2753" ht="15" customHeight="1" s="20">
      <c r="A2753" s="19" t="inlineStr">
        <is>
          <t>s8673</t>
        </is>
      </c>
      <c r="B2753" s="19" t="inlineStr">
        <is>
          <t>Comedies</t>
        </is>
      </c>
      <c r="C2753" s="19">
        <f>IFERROR(INDEX(tblNetflix[type],MATCH($A2753,tblNetflix[show_id],0)),"")</f>
        <v/>
      </c>
      <c r="D2753" s="19">
        <f>IFERROR(INDEX(tblNetflix[rating],MATCH($A2753,tblNetflix[show_id],0)),"")</f>
        <v/>
      </c>
      <c r="E2753" s="19">
        <f>IFERROR(INDEX(tblNetflix[year_added],MATCH($A2753,tblNetflix[show_id],0)),"")</f>
        <v/>
      </c>
      <c r="F2753" s="19">
        <f>IF(AND(OR(YearFilter="All",$E2753=YearFilter),OR(RatingFilter="All",$D2753=RatingFilter),OR(TypeFilter="All",$C2753=TypeFilter)),1,0)</f>
        <v/>
      </c>
    </row>
    <row r="2754" ht="15" customHeight="1" s="20">
      <c r="A2754" s="19" t="inlineStr">
        <is>
          <t>s8673</t>
        </is>
      </c>
      <c r="B2754" s="19" t="inlineStr">
        <is>
          <t>Dramas</t>
        </is>
      </c>
      <c r="C2754" s="19">
        <f>IFERROR(INDEX(tblNetflix[type],MATCH($A2754,tblNetflix[show_id],0)),"")</f>
        <v/>
      </c>
      <c r="D2754" s="19">
        <f>IFERROR(INDEX(tblNetflix[rating],MATCH($A2754,tblNetflix[show_id],0)),"")</f>
        <v/>
      </c>
      <c r="E2754" s="19">
        <f>IFERROR(INDEX(tblNetflix[year_added],MATCH($A2754,tblNetflix[show_id],0)),"")</f>
        <v/>
      </c>
      <c r="F2754" s="19">
        <f>IF(AND(OR(YearFilter="All",$E2754=YearFilter),OR(RatingFilter="All",$D2754=RatingFilter),OR(TypeFilter="All",$C2754=TypeFilter)),1,0)</f>
        <v/>
      </c>
    </row>
    <row r="2755" ht="15" customHeight="1" s="20">
      <c r="A2755" s="19" t="inlineStr">
        <is>
          <t>s8673</t>
        </is>
      </c>
      <c r="B2755" s="19" t="inlineStr">
        <is>
          <t>International Movies</t>
        </is>
      </c>
      <c r="C2755" s="19">
        <f>IFERROR(INDEX(tblNetflix[type],MATCH($A2755,tblNetflix[show_id],0)),"")</f>
        <v/>
      </c>
      <c r="D2755" s="19">
        <f>IFERROR(INDEX(tblNetflix[rating],MATCH($A2755,tblNetflix[show_id],0)),"")</f>
        <v/>
      </c>
      <c r="E2755" s="19">
        <f>IFERROR(INDEX(tblNetflix[year_added],MATCH($A2755,tblNetflix[show_id],0)),"")</f>
        <v/>
      </c>
      <c r="F2755" s="19">
        <f>IF(AND(OR(YearFilter="All",$E2755=YearFilter),OR(RatingFilter="All",$D2755=RatingFilter),OR(TypeFilter="All",$C2755=TypeFilter)),1,0)</f>
        <v/>
      </c>
    </row>
    <row r="2756" ht="15" customHeight="1" s="20">
      <c r="A2756" s="19" t="inlineStr">
        <is>
          <t>s8675</t>
        </is>
      </c>
      <c r="B2756" s="19" t="inlineStr">
        <is>
          <t>Dramas</t>
        </is>
      </c>
      <c r="C2756" s="19">
        <f>IFERROR(INDEX(tblNetflix[type],MATCH($A2756,tblNetflix[show_id],0)),"")</f>
        <v/>
      </c>
      <c r="D2756" s="19">
        <f>IFERROR(INDEX(tblNetflix[rating],MATCH($A2756,tblNetflix[show_id],0)),"")</f>
        <v/>
      </c>
      <c r="E2756" s="19">
        <f>IFERROR(INDEX(tblNetflix[year_added],MATCH($A2756,tblNetflix[show_id],0)),"")</f>
        <v/>
      </c>
      <c r="F2756" s="19">
        <f>IF(AND(OR(YearFilter="All",$E2756=YearFilter),OR(RatingFilter="All",$D2756=RatingFilter),OR(TypeFilter="All",$C2756=TypeFilter)),1,0)</f>
        <v/>
      </c>
    </row>
    <row r="2757" ht="15" customHeight="1" s="20">
      <c r="A2757" s="19" t="inlineStr">
        <is>
          <t>s8681</t>
        </is>
      </c>
      <c r="B2757" s="19" t="inlineStr">
        <is>
          <t>Dramas</t>
        </is>
      </c>
      <c r="C2757" s="19">
        <f>IFERROR(INDEX(tblNetflix[type],MATCH($A2757,tblNetflix[show_id],0)),"")</f>
        <v/>
      </c>
      <c r="D2757" s="19">
        <f>IFERROR(INDEX(tblNetflix[rating],MATCH($A2757,tblNetflix[show_id],0)),"")</f>
        <v/>
      </c>
      <c r="E2757" s="19">
        <f>IFERROR(INDEX(tblNetflix[year_added],MATCH($A2757,tblNetflix[show_id],0)),"")</f>
        <v/>
      </c>
      <c r="F2757" s="19">
        <f>IF(AND(OR(YearFilter="All",$E2757=YearFilter),OR(RatingFilter="All",$D2757=RatingFilter),OR(TypeFilter="All",$C2757=TypeFilter)),1,0)</f>
        <v/>
      </c>
    </row>
    <row r="2758" ht="15" customHeight="1" s="20">
      <c r="A2758" s="19" t="inlineStr">
        <is>
          <t>s8681</t>
        </is>
      </c>
      <c r="B2758" s="19" t="inlineStr">
        <is>
          <t>International Movies</t>
        </is>
      </c>
      <c r="C2758" s="19">
        <f>IFERROR(INDEX(tblNetflix[type],MATCH($A2758,tblNetflix[show_id],0)),"")</f>
        <v/>
      </c>
      <c r="D2758" s="19">
        <f>IFERROR(INDEX(tblNetflix[rating],MATCH($A2758,tblNetflix[show_id],0)),"")</f>
        <v/>
      </c>
      <c r="E2758" s="19">
        <f>IFERROR(INDEX(tblNetflix[year_added],MATCH($A2758,tblNetflix[show_id],0)),"")</f>
        <v/>
      </c>
      <c r="F2758" s="19">
        <f>IF(AND(OR(YearFilter="All",$E2758=YearFilter),OR(RatingFilter="All",$D2758=RatingFilter),OR(TypeFilter="All",$C2758=TypeFilter)),1,0)</f>
        <v/>
      </c>
    </row>
    <row r="2759" ht="15" customHeight="1" s="20">
      <c r="A2759" s="19" t="inlineStr">
        <is>
          <t>s8682</t>
        </is>
      </c>
      <c r="B2759" s="19" t="inlineStr">
        <is>
          <t>Dramas</t>
        </is>
      </c>
      <c r="C2759" s="19">
        <f>IFERROR(INDEX(tblNetflix[type],MATCH($A2759,tblNetflix[show_id],0)),"")</f>
        <v/>
      </c>
      <c r="D2759" s="19">
        <f>IFERROR(INDEX(tblNetflix[rating],MATCH($A2759,tblNetflix[show_id],0)),"")</f>
        <v/>
      </c>
      <c r="E2759" s="19">
        <f>IFERROR(INDEX(tblNetflix[year_added],MATCH($A2759,tblNetflix[show_id],0)),"")</f>
        <v/>
      </c>
      <c r="F2759" s="19">
        <f>IF(AND(OR(YearFilter="All",$E2759=YearFilter),OR(RatingFilter="All",$D2759=RatingFilter),OR(TypeFilter="All",$C2759=TypeFilter)),1,0)</f>
        <v/>
      </c>
    </row>
    <row r="2760" ht="15" customHeight="1" s="20">
      <c r="A2760" s="19" t="inlineStr">
        <is>
          <t>s8682</t>
        </is>
      </c>
      <c r="B2760" s="19" t="inlineStr">
        <is>
          <t>International Movies</t>
        </is>
      </c>
      <c r="C2760" s="19">
        <f>IFERROR(INDEX(tblNetflix[type],MATCH($A2760,tblNetflix[show_id],0)),"")</f>
        <v/>
      </c>
      <c r="D2760" s="19">
        <f>IFERROR(INDEX(tblNetflix[rating],MATCH($A2760,tblNetflix[show_id],0)),"")</f>
        <v/>
      </c>
      <c r="E2760" s="19">
        <f>IFERROR(INDEX(tblNetflix[year_added],MATCH($A2760,tblNetflix[show_id],0)),"")</f>
        <v/>
      </c>
      <c r="F2760" s="19">
        <f>IF(AND(OR(YearFilter="All",$E2760=YearFilter),OR(RatingFilter="All",$D2760=RatingFilter),OR(TypeFilter="All",$C2760=TypeFilter)),1,0)</f>
        <v/>
      </c>
    </row>
    <row r="2761" ht="15" customHeight="1" s="20">
      <c r="A2761" s="19" t="inlineStr">
        <is>
          <t>s8684</t>
        </is>
      </c>
      <c r="B2761" s="19" t="inlineStr">
        <is>
          <t>Dramas</t>
        </is>
      </c>
      <c r="C2761" s="19">
        <f>IFERROR(INDEX(tblNetflix[type],MATCH($A2761,tblNetflix[show_id],0)),"")</f>
        <v/>
      </c>
      <c r="D2761" s="19">
        <f>IFERROR(INDEX(tblNetflix[rating],MATCH($A2761,tblNetflix[show_id],0)),"")</f>
        <v/>
      </c>
      <c r="E2761" s="19">
        <f>IFERROR(INDEX(tblNetflix[year_added],MATCH($A2761,tblNetflix[show_id],0)),"")</f>
        <v/>
      </c>
      <c r="F2761" s="19">
        <f>IF(AND(OR(YearFilter="All",$E2761=YearFilter),OR(RatingFilter="All",$D2761=RatingFilter),OR(TypeFilter="All",$C2761=TypeFilter)),1,0)</f>
        <v/>
      </c>
    </row>
    <row r="2762" ht="15" customHeight="1" s="20">
      <c r="A2762" s="19" t="inlineStr">
        <is>
          <t>s8684</t>
        </is>
      </c>
      <c r="B2762" s="19" t="inlineStr">
        <is>
          <t>International Movies</t>
        </is>
      </c>
      <c r="C2762" s="19">
        <f>IFERROR(INDEX(tblNetflix[type],MATCH($A2762,tblNetflix[show_id],0)),"")</f>
        <v/>
      </c>
      <c r="D2762" s="19">
        <f>IFERROR(INDEX(tblNetflix[rating],MATCH($A2762,tblNetflix[show_id],0)),"")</f>
        <v/>
      </c>
      <c r="E2762" s="19">
        <f>IFERROR(INDEX(tblNetflix[year_added],MATCH($A2762,tblNetflix[show_id],0)),"")</f>
        <v/>
      </c>
      <c r="F2762" s="19">
        <f>IF(AND(OR(YearFilter="All",$E2762=YearFilter),OR(RatingFilter="All",$D2762=RatingFilter),OR(TypeFilter="All",$C2762=TypeFilter)),1,0)</f>
        <v/>
      </c>
    </row>
    <row r="2763" ht="15" customHeight="1" s="20">
      <c r="A2763" s="19" t="inlineStr">
        <is>
          <t>s8684</t>
        </is>
      </c>
      <c r="B2763" s="19" t="inlineStr">
        <is>
          <t>Thrillers</t>
        </is>
      </c>
      <c r="C2763" s="19">
        <f>IFERROR(INDEX(tblNetflix[type],MATCH($A2763,tblNetflix[show_id],0)),"")</f>
        <v/>
      </c>
      <c r="D2763" s="19">
        <f>IFERROR(INDEX(tblNetflix[rating],MATCH($A2763,tblNetflix[show_id],0)),"")</f>
        <v/>
      </c>
      <c r="E2763" s="19">
        <f>IFERROR(INDEX(tblNetflix[year_added],MATCH($A2763,tblNetflix[show_id],0)),"")</f>
        <v/>
      </c>
      <c r="F2763" s="19">
        <f>IF(AND(OR(YearFilter="All",$E2763=YearFilter),OR(RatingFilter="All",$D2763=RatingFilter),OR(TypeFilter="All",$C2763=TypeFilter)),1,0)</f>
        <v/>
      </c>
    </row>
    <row r="2764" ht="15" customHeight="1" s="20">
      <c r="A2764" s="19" t="inlineStr">
        <is>
          <t>s8688</t>
        </is>
      </c>
      <c r="B2764" s="19" t="inlineStr">
        <is>
          <t>Action &amp; Adventure</t>
        </is>
      </c>
      <c r="C2764" s="19">
        <f>IFERROR(INDEX(tblNetflix[type],MATCH($A2764,tblNetflix[show_id],0)),"")</f>
        <v/>
      </c>
      <c r="D2764" s="19">
        <f>IFERROR(INDEX(tblNetflix[rating],MATCH($A2764,tblNetflix[show_id],0)),"")</f>
        <v/>
      </c>
      <c r="E2764" s="19">
        <f>IFERROR(INDEX(tblNetflix[year_added],MATCH($A2764,tblNetflix[show_id],0)),"")</f>
        <v/>
      </c>
      <c r="F2764" s="19">
        <f>IF(AND(OR(YearFilter="All",$E2764=YearFilter),OR(RatingFilter="All",$D2764=RatingFilter),OR(TypeFilter="All",$C2764=TypeFilter)),1,0)</f>
        <v/>
      </c>
    </row>
    <row r="2765" ht="15" customHeight="1" s="20">
      <c r="A2765" s="19" t="inlineStr">
        <is>
          <t>s8688</t>
        </is>
      </c>
      <c r="B2765" s="19" t="inlineStr">
        <is>
          <t>International Movies</t>
        </is>
      </c>
      <c r="C2765" s="19">
        <f>IFERROR(INDEX(tblNetflix[type],MATCH($A2765,tblNetflix[show_id],0)),"")</f>
        <v/>
      </c>
      <c r="D2765" s="19">
        <f>IFERROR(INDEX(tblNetflix[rating],MATCH($A2765,tblNetflix[show_id],0)),"")</f>
        <v/>
      </c>
      <c r="E2765" s="19">
        <f>IFERROR(INDEX(tblNetflix[year_added],MATCH($A2765,tblNetflix[show_id],0)),"")</f>
        <v/>
      </c>
      <c r="F2765" s="19">
        <f>IF(AND(OR(YearFilter="All",$E2765=YearFilter),OR(RatingFilter="All",$D2765=RatingFilter),OR(TypeFilter="All",$C2765=TypeFilter)),1,0)</f>
        <v/>
      </c>
    </row>
    <row r="2766" ht="15" customHeight="1" s="20">
      <c r="A2766" s="19" t="inlineStr">
        <is>
          <t>s8688</t>
        </is>
      </c>
      <c r="B2766" s="19" t="inlineStr">
        <is>
          <t>Sci-Fi &amp; Fantasy</t>
        </is>
      </c>
      <c r="C2766" s="19">
        <f>IFERROR(INDEX(tblNetflix[type],MATCH($A2766,tblNetflix[show_id],0)),"")</f>
        <v/>
      </c>
      <c r="D2766" s="19">
        <f>IFERROR(INDEX(tblNetflix[rating],MATCH($A2766,tblNetflix[show_id],0)),"")</f>
        <v/>
      </c>
      <c r="E2766" s="19">
        <f>IFERROR(INDEX(tblNetflix[year_added],MATCH($A2766,tblNetflix[show_id],0)),"")</f>
        <v/>
      </c>
      <c r="F2766" s="19">
        <f>IF(AND(OR(YearFilter="All",$E2766=YearFilter),OR(RatingFilter="All",$D2766=RatingFilter),OR(TypeFilter="All",$C2766=TypeFilter)),1,0)</f>
        <v/>
      </c>
    </row>
    <row r="2767" ht="15" customHeight="1" s="20">
      <c r="A2767" s="19" t="inlineStr">
        <is>
          <t>s8689</t>
        </is>
      </c>
      <c r="B2767" s="19" t="inlineStr">
        <is>
          <t>Dramas</t>
        </is>
      </c>
      <c r="C2767" s="19">
        <f>IFERROR(INDEX(tblNetflix[type],MATCH($A2767,tblNetflix[show_id],0)),"")</f>
        <v/>
      </c>
      <c r="D2767" s="19">
        <f>IFERROR(INDEX(tblNetflix[rating],MATCH($A2767,tblNetflix[show_id],0)),"")</f>
        <v/>
      </c>
      <c r="E2767" s="19">
        <f>IFERROR(INDEX(tblNetflix[year_added],MATCH($A2767,tblNetflix[show_id],0)),"")</f>
        <v/>
      </c>
      <c r="F2767" s="19">
        <f>IF(AND(OR(YearFilter="All",$E2767=YearFilter),OR(RatingFilter="All",$D2767=RatingFilter),OR(TypeFilter="All",$C2767=TypeFilter)),1,0)</f>
        <v/>
      </c>
    </row>
    <row r="2768" ht="15" customHeight="1" s="20">
      <c r="A2768" s="19" t="inlineStr">
        <is>
          <t>s8689</t>
        </is>
      </c>
      <c r="B2768" s="19" t="inlineStr">
        <is>
          <t>International Movies</t>
        </is>
      </c>
      <c r="C2768" s="19">
        <f>IFERROR(INDEX(tblNetflix[type],MATCH($A2768,tblNetflix[show_id],0)),"")</f>
        <v/>
      </c>
      <c r="D2768" s="19">
        <f>IFERROR(INDEX(tblNetflix[rating],MATCH($A2768,tblNetflix[show_id],0)),"")</f>
        <v/>
      </c>
      <c r="E2768" s="19">
        <f>IFERROR(INDEX(tblNetflix[year_added],MATCH($A2768,tblNetflix[show_id],0)),"")</f>
        <v/>
      </c>
      <c r="F2768" s="19">
        <f>IF(AND(OR(YearFilter="All",$E2768=YearFilter),OR(RatingFilter="All",$D2768=RatingFilter),OR(TypeFilter="All",$C2768=TypeFilter)),1,0)</f>
        <v/>
      </c>
    </row>
    <row r="2769" ht="15" customHeight="1" s="20">
      <c r="A2769" s="19" t="inlineStr">
        <is>
          <t>s8696</t>
        </is>
      </c>
      <c r="B2769" s="19" t="inlineStr">
        <is>
          <t>Comedies</t>
        </is>
      </c>
      <c r="C2769" s="19">
        <f>IFERROR(INDEX(tblNetflix[type],MATCH($A2769,tblNetflix[show_id],0)),"")</f>
        <v/>
      </c>
      <c r="D2769" s="19">
        <f>IFERROR(INDEX(tblNetflix[rating],MATCH($A2769,tblNetflix[show_id],0)),"")</f>
        <v/>
      </c>
      <c r="E2769" s="19">
        <f>IFERROR(INDEX(tblNetflix[year_added],MATCH($A2769,tblNetflix[show_id],0)),"")</f>
        <v/>
      </c>
      <c r="F2769" s="19">
        <f>IF(AND(OR(YearFilter="All",$E2769=YearFilter),OR(RatingFilter="All",$D2769=RatingFilter),OR(TypeFilter="All",$C2769=TypeFilter)),1,0)</f>
        <v/>
      </c>
    </row>
    <row r="2770" ht="15" customHeight="1" s="20">
      <c r="A2770" s="19" t="inlineStr">
        <is>
          <t>s8696</t>
        </is>
      </c>
      <c r="B2770" s="19" t="inlineStr">
        <is>
          <t>Dramas</t>
        </is>
      </c>
      <c r="C2770" s="19">
        <f>IFERROR(INDEX(tblNetflix[type],MATCH($A2770,tblNetflix[show_id],0)),"")</f>
        <v/>
      </c>
      <c r="D2770" s="19">
        <f>IFERROR(INDEX(tblNetflix[rating],MATCH($A2770,tblNetflix[show_id],0)),"")</f>
        <v/>
      </c>
      <c r="E2770" s="19">
        <f>IFERROR(INDEX(tblNetflix[year_added],MATCH($A2770,tblNetflix[show_id],0)),"")</f>
        <v/>
      </c>
      <c r="F2770" s="19">
        <f>IF(AND(OR(YearFilter="All",$E2770=YearFilter),OR(RatingFilter="All",$D2770=RatingFilter),OR(TypeFilter="All",$C2770=TypeFilter)),1,0)</f>
        <v/>
      </c>
    </row>
    <row r="2771" ht="15" customHeight="1" s="20">
      <c r="A2771" s="19" t="inlineStr">
        <is>
          <t>s8696</t>
        </is>
      </c>
      <c r="B2771" s="19" t="inlineStr">
        <is>
          <t>International Movies</t>
        </is>
      </c>
      <c r="C2771" s="19">
        <f>IFERROR(INDEX(tblNetflix[type],MATCH($A2771,tblNetflix[show_id],0)),"")</f>
        <v/>
      </c>
      <c r="D2771" s="19">
        <f>IFERROR(INDEX(tblNetflix[rating],MATCH($A2771,tblNetflix[show_id],0)),"")</f>
        <v/>
      </c>
      <c r="E2771" s="19">
        <f>IFERROR(INDEX(tblNetflix[year_added],MATCH($A2771,tblNetflix[show_id],0)),"")</f>
        <v/>
      </c>
      <c r="F2771" s="19">
        <f>IF(AND(OR(YearFilter="All",$E2771=YearFilter),OR(RatingFilter="All",$D2771=RatingFilter),OR(TypeFilter="All",$C2771=TypeFilter)),1,0)</f>
        <v/>
      </c>
    </row>
    <row r="2772" ht="15" customHeight="1" s="20">
      <c r="A2772" s="19" t="inlineStr">
        <is>
          <t>s8697</t>
        </is>
      </c>
      <c r="B2772" s="19" t="inlineStr">
        <is>
          <t>Dramas</t>
        </is>
      </c>
      <c r="C2772" s="19">
        <f>IFERROR(INDEX(tblNetflix[type],MATCH($A2772,tblNetflix[show_id],0)),"")</f>
        <v/>
      </c>
      <c r="D2772" s="19">
        <f>IFERROR(INDEX(tblNetflix[rating],MATCH($A2772,tblNetflix[show_id],0)),"")</f>
        <v/>
      </c>
      <c r="E2772" s="19">
        <f>IFERROR(INDEX(tblNetflix[year_added],MATCH($A2772,tblNetflix[show_id],0)),"")</f>
        <v/>
      </c>
      <c r="F2772" s="19">
        <f>IF(AND(OR(YearFilter="All",$E2772=YearFilter),OR(RatingFilter="All",$D2772=RatingFilter),OR(TypeFilter="All",$C2772=TypeFilter)),1,0)</f>
        <v/>
      </c>
    </row>
    <row r="2773" ht="15" customHeight="1" s="20">
      <c r="A2773" s="19" t="inlineStr">
        <is>
          <t>s8703</t>
        </is>
      </c>
      <c r="B2773" s="19" t="inlineStr">
        <is>
          <t>Documentaries</t>
        </is>
      </c>
      <c r="C2773" s="19">
        <f>IFERROR(INDEX(tblNetflix[type],MATCH($A2773,tblNetflix[show_id],0)),"")</f>
        <v/>
      </c>
      <c r="D2773" s="19">
        <f>IFERROR(INDEX(tblNetflix[rating],MATCH($A2773,tblNetflix[show_id],0)),"")</f>
        <v/>
      </c>
      <c r="E2773" s="19">
        <f>IFERROR(INDEX(tblNetflix[year_added],MATCH($A2773,tblNetflix[show_id],0)),"")</f>
        <v/>
      </c>
      <c r="F2773" s="19">
        <f>IF(AND(OR(YearFilter="All",$E2773=YearFilter),OR(RatingFilter="All",$D2773=RatingFilter),OR(TypeFilter="All",$C2773=TypeFilter)),1,0)</f>
        <v/>
      </c>
    </row>
    <row r="2774" ht="15" customHeight="1" s="20">
      <c r="A2774" s="19" t="inlineStr">
        <is>
          <t>s8714</t>
        </is>
      </c>
      <c r="B2774" s="19" t="inlineStr">
        <is>
          <t>Comedies</t>
        </is>
      </c>
      <c r="C2774" s="19">
        <f>IFERROR(INDEX(tblNetflix[type],MATCH($A2774,tblNetflix[show_id],0)),"")</f>
        <v/>
      </c>
      <c r="D2774" s="19">
        <f>IFERROR(INDEX(tblNetflix[rating],MATCH($A2774,tblNetflix[show_id],0)),"")</f>
        <v/>
      </c>
      <c r="E2774" s="19">
        <f>IFERROR(INDEX(tblNetflix[year_added],MATCH($A2774,tblNetflix[show_id],0)),"")</f>
        <v/>
      </c>
      <c r="F2774" s="19">
        <f>IF(AND(OR(YearFilter="All",$E2774=YearFilter),OR(RatingFilter="All",$D2774=RatingFilter),OR(TypeFilter="All",$C2774=TypeFilter)),1,0)</f>
        <v/>
      </c>
    </row>
    <row r="2775" ht="15" customHeight="1" s="20">
      <c r="A2775" s="19" t="inlineStr">
        <is>
          <t>s8714</t>
        </is>
      </c>
      <c r="B2775" s="19" t="inlineStr">
        <is>
          <t>International Movies</t>
        </is>
      </c>
      <c r="C2775" s="19">
        <f>IFERROR(INDEX(tblNetflix[type],MATCH($A2775,tblNetflix[show_id],0)),"")</f>
        <v/>
      </c>
      <c r="D2775" s="19">
        <f>IFERROR(INDEX(tblNetflix[rating],MATCH($A2775,tblNetflix[show_id],0)),"")</f>
        <v/>
      </c>
      <c r="E2775" s="19">
        <f>IFERROR(INDEX(tblNetflix[year_added],MATCH($A2775,tblNetflix[show_id],0)),"")</f>
        <v/>
      </c>
      <c r="F2775" s="19">
        <f>IF(AND(OR(YearFilter="All",$E2775=YearFilter),OR(RatingFilter="All",$D2775=RatingFilter),OR(TypeFilter="All",$C2775=TypeFilter)),1,0)</f>
        <v/>
      </c>
    </row>
    <row r="2776" ht="15" customHeight="1" s="20">
      <c r="A2776" s="19" t="inlineStr">
        <is>
          <t>s8728</t>
        </is>
      </c>
      <c r="B2776" s="19" t="inlineStr">
        <is>
          <t>Documentaries</t>
        </is>
      </c>
      <c r="C2776" s="19">
        <f>IFERROR(INDEX(tblNetflix[type],MATCH($A2776,tblNetflix[show_id],0)),"")</f>
        <v/>
      </c>
      <c r="D2776" s="19">
        <f>IFERROR(INDEX(tblNetflix[rating],MATCH($A2776,tblNetflix[show_id],0)),"")</f>
        <v/>
      </c>
      <c r="E2776" s="19">
        <f>IFERROR(INDEX(tblNetflix[year_added],MATCH($A2776,tblNetflix[show_id],0)),"")</f>
        <v/>
      </c>
      <c r="F2776" s="19">
        <f>IF(AND(OR(YearFilter="All",$E2776=YearFilter),OR(RatingFilter="All",$D2776=RatingFilter),OR(TypeFilter="All",$C2776=TypeFilter)),1,0)</f>
        <v/>
      </c>
    </row>
    <row r="2777" ht="15" customHeight="1" s="20">
      <c r="A2777" s="19" t="inlineStr">
        <is>
          <t>s8728</t>
        </is>
      </c>
      <c r="B2777" s="19" t="inlineStr">
        <is>
          <t>International Movies</t>
        </is>
      </c>
      <c r="C2777" s="19">
        <f>IFERROR(INDEX(tblNetflix[type],MATCH($A2777,tblNetflix[show_id],0)),"")</f>
        <v/>
      </c>
      <c r="D2777" s="19">
        <f>IFERROR(INDEX(tblNetflix[rating],MATCH($A2777,tblNetflix[show_id],0)),"")</f>
        <v/>
      </c>
      <c r="E2777" s="19">
        <f>IFERROR(INDEX(tblNetflix[year_added],MATCH($A2777,tblNetflix[show_id],0)),"")</f>
        <v/>
      </c>
      <c r="F2777" s="19">
        <f>IF(AND(OR(YearFilter="All",$E2777=YearFilter),OR(RatingFilter="All",$D2777=RatingFilter),OR(TypeFilter="All",$C2777=TypeFilter)),1,0)</f>
        <v/>
      </c>
    </row>
    <row r="2778" ht="15" customHeight="1" s="20">
      <c r="A2778" s="19" t="inlineStr">
        <is>
          <t>s8739</t>
        </is>
      </c>
      <c r="B2778" s="19" t="inlineStr">
        <is>
          <t>Documentaries</t>
        </is>
      </c>
      <c r="C2778" s="19">
        <f>IFERROR(INDEX(tblNetflix[type],MATCH($A2778,tblNetflix[show_id],0)),"")</f>
        <v/>
      </c>
      <c r="D2778" s="19">
        <f>IFERROR(INDEX(tblNetflix[rating],MATCH($A2778,tblNetflix[show_id],0)),"")</f>
        <v/>
      </c>
      <c r="E2778" s="19">
        <f>IFERROR(INDEX(tblNetflix[year_added],MATCH($A2778,tblNetflix[show_id],0)),"")</f>
        <v/>
      </c>
      <c r="F2778" s="19">
        <f>IF(AND(OR(YearFilter="All",$E2778=YearFilter),OR(RatingFilter="All",$D2778=RatingFilter),OR(TypeFilter="All",$C2778=TypeFilter)),1,0)</f>
        <v/>
      </c>
    </row>
    <row r="2779" ht="15" customHeight="1" s="20">
      <c r="A2779" s="19" t="inlineStr">
        <is>
          <t>s8763</t>
        </is>
      </c>
      <c r="B2779" s="19" t="inlineStr">
        <is>
          <t>Dramas</t>
        </is>
      </c>
      <c r="C2779" s="19">
        <f>IFERROR(INDEX(tblNetflix[type],MATCH($A2779,tblNetflix[show_id],0)),"")</f>
        <v/>
      </c>
      <c r="D2779" s="19">
        <f>IFERROR(INDEX(tblNetflix[rating],MATCH($A2779,tblNetflix[show_id],0)),"")</f>
        <v/>
      </c>
      <c r="E2779" s="19">
        <f>IFERROR(INDEX(tblNetflix[year_added],MATCH($A2779,tblNetflix[show_id],0)),"")</f>
        <v/>
      </c>
      <c r="F2779" s="19">
        <f>IF(AND(OR(YearFilter="All",$E2779=YearFilter),OR(RatingFilter="All",$D2779=RatingFilter),OR(TypeFilter="All",$C2779=TypeFilter)),1,0)</f>
        <v/>
      </c>
    </row>
    <row r="2780" ht="15" customHeight="1" s="20">
      <c r="A2780" s="19" t="inlineStr">
        <is>
          <t>s8763</t>
        </is>
      </c>
      <c r="B2780" s="19" t="inlineStr">
        <is>
          <t>International Movies</t>
        </is>
      </c>
      <c r="C2780" s="19">
        <f>IFERROR(INDEX(tblNetflix[type],MATCH($A2780,tblNetflix[show_id],0)),"")</f>
        <v/>
      </c>
      <c r="D2780" s="19">
        <f>IFERROR(INDEX(tblNetflix[rating],MATCH($A2780,tblNetflix[show_id],0)),"")</f>
        <v/>
      </c>
      <c r="E2780" s="19">
        <f>IFERROR(INDEX(tblNetflix[year_added],MATCH($A2780,tblNetflix[show_id],0)),"")</f>
        <v/>
      </c>
      <c r="F2780" s="19">
        <f>IF(AND(OR(YearFilter="All",$E2780=YearFilter),OR(RatingFilter="All",$D2780=RatingFilter),OR(TypeFilter="All",$C2780=TypeFilter)),1,0)</f>
        <v/>
      </c>
    </row>
    <row r="2781" ht="15" customHeight="1" s="20">
      <c r="A2781" s="19" t="inlineStr">
        <is>
          <t>s8770</t>
        </is>
      </c>
      <c r="B2781" s="19" t="inlineStr">
        <is>
          <t>Dramas</t>
        </is>
      </c>
      <c r="C2781" s="19">
        <f>IFERROR(INDEX(tblNetflix[type],MATCH($A2781,tblNetflix[show_id],0)),"")</f>
        <v/>
      </c>
      <c r="D2781" s="19">
        <f>IFERROR(INDEX(tblNetflix[rating],MATCH($A2781,tblNetflix[show_id],0)),"")</f>
        <v/>
      </c>
      <c r="E2781" s="19">
        <f>IFERROR(INDEX(tblNetflix[year_added],MATCH($A2781,tblNetflix[show_id],0)),"")</f>
        <v/>
      </c>
      <c r="F2781" s="19">
        <f>IF(AND(OR(YearFilter="All",$E2781=YearFilter),OR(RatingFilter="All",$D2781=RatingFilter),OR(TypeFilter="All",$C2781=TypeFilter)),1,0)</f>
        <v/>
      </c>
    </row>
    <row r="2782" ht="15" customHeight="1" s="20">
      <c r="A2782" s="19" t="inlineStr">
        <is>
          <t>s8770</t>
        </is>
      </c>
      <c r="B2782" s="19" t="inlineStr">
        <is>
          <t>Independent Movies</t>
        </is>
      </c>
      <c r="C2782" s="19">
        <f>IFERROR(INDEX(tblNetflix[type],MATCH($A2782,tblNetflix[show_id],0)),"")</f>
        <v/>
      </c>
      <c r="D2782" s="19">
        <f>IFERROR(INDEX(tblNetflix[rating],MATCH($A2782,tblNetflix[show_id],0)),"")</f>
        <v/>
      </c>
      <c r="E2782" s="19">
        <f>IFERROR(INDEX(tblNetflix[year_added],MATCH($A2782,tblNetflix[show_id],0)),"")</f>
        <v/>
      </c>
      <c r="F2782" s="19">
        <f>IF(AND(OR(YearFilter="All",$E2782=YearFilter),OR(RatingFilter="All",$D2782=RatingFilter),OR(TypeFilter="All",$C2782=TypeFilter)),1,0)</f>
        <v/>
      </c>
    </row>
    <row r="2783" ht="15" customHeight="1" s="20">
      <c r="A2783" s="19" t="inlineStr">
        <is>
          <t>s8770</t>
        </is>
      </c>
      <c r="B2783" s="19" t="inlineStr">
        <is>
          <t>International Movies</t>
        </is>
      </c>
      <c r="C2783" s="19">
        <f>IFERROR(INDEX(tblNetflix[type],MATCH($A2783,tblNetflix[show_id],0)),"")</f>
        <v/>
      </c>
      <c r="D2783" s="19">
        <f>IFERROR(INDEX(tblNetflix[rating],MATCH($A2783,tblNetflix[show_id],0)),"")</f>
        <v/>
      </c>
      <c r="E2783" s="19">
        <f>IFERROR(INDEX(tblNetflix[year_added],MATCH($A2783,tblNetflix[show_id],0)),"")</f>
        <v/>
      </c>
      <c r="F2783" s="19">
        <f>IF(AND(OR(YearFilter="All",$E2783=YearFilter),OR(RatingFilter="All",$D2783=RatingFilter),OR(TypeFilter="All",$C2783=TypeFilter)),1,0)</f>
        <v/>
      </c>
    </row>
    <row r="2784" ht="15" customHeight="1" s="20">
      <c r="A2784" s="19" t="inlineStr">
        <is>
          <t>s8771</t>
        </is>
      </c>
      <c r="B2784" s="19" t="inlineStr">
        <is>
          <t>Dramas</t>
        </is>
      </c>
      <c r="C2784" s="19">
        <f>IFERROR(INDEX(tblNetflix[type],MATCH($A2784,tblNetflix[show_id],0)),"")</f>
        <v/>
      </c>
      <c r="D2784" s="19">
        <f>IFERROR(INDEX(tblNetflix[rating],MATCH($A2784,tblNetflix[show_id],0)),"")</f>
        <v/>
      </c>
      <c r="E2784" s="19">
        <f>IFERROR(INDEX(tblNetflix[year_added],MATCH($A2784,tblNetflix[show_id],0)),"")</f>
        <v/>
      </c>
      <c r="F2784" s="19">
        <f>IF(AND(OR(YearFilter="All",$E2784=YearFilter),OR(RatingFilter="All",$D2784=RatingFilter),OR(TypeFilter="All",$C2784=TypeFilter)),1,0)</f>
        <v/>
      </c>
    </row>
    <row r="2785" ht="15" customHeight="1" s="20">
      <c r="A2785" s="19" t="inlineStr">
        <is>
          <t>s8771</t>
        </is>
      </c>
      <c r="B2785" s="19" t="inlineStr">
        <is>
          <t>International Movies</t>
        </is>
      </c>
      <c r="C2785" s="19">
        <f>IFERROR(INDEX(tblNetflix[type],MATCH($A2785,tblNetflix[show_id],0)),"")</f>
        <v/>
      </c>
      <c r="D2785" s="19">
        <f>IFERROR(INDEX(tblNetflix[rating],MATCH($A2785,tblNetflix[show_id],0)),"")</f>
        <v/>
      </c>
      <c r="E2785" s="19">
        <f>IFERROR(INDEX(tblNetflix[year_added],MATCH($A2785,tblNetflix[show_id],0)),"")</f>
        <v/>
      </c>
      <c r="F2785" s="19">
        <f>IF(AND(OR(YearFilter="All",$E2785=YearFilter),OR(RatingFilter="All",$D2785=RatingFilter),OR(TypeFilter="All",$C2785=TypeFilter)),1,0)</f>
        <v/>
      </c>
    </row>
    <row r="2786" ht="15" customHeight="1" s="20">
      <c r="A2786" s="19" t="inlineStr">
        <is>
          <t>s8771</t>
        </is>
      </c>
      <c r="B2786" s="19" t="inlineStr">
        <is>
          <t>Romantic Movies</t>
        </is>
      </c>
      <c r="C2786" s="19">
        <f>IFERROR(INDEX(tblNetflix[type],MATCH($A2786,tblNetflix[show_id],0)),"")</f>
        <v/>
      </c>
      <c r="D2786" s="19">
        <f>IFERROR(INDEX(tblNetflix[rating],MATCH($A2786,tblNetflix[show_id],0)),"")</f>
        <v/>
      </c>
      <c r="E2786" s="19">
        <f>IFERROR(INDEX(tblNetflix[year_added],MATCH($A2786,tblNetflix[show_id],0)),"")</f>
        <v/>
      </c>
      <c r="F2786" s="19">
        <f>IF(AND(OR(YearFilter="All",$E2786=YearFilter),OR(RatingFilter="All",$D2786=RatingFilter),OR(TypeFilter="All",$C2786=TypeFilter)),1,0)</f>
        <v/>
      </c>
    </row>
    <row r="2787" ht="15" customHeight="1" s="20">
      <c r="A2787" s="19" t="inlineStr">
        <is>
          <t>s8772</t>
        </is>
      </c>
      <c r="B2787" s="19" t="inlineStr">
        <is>
          <t>Dramas</t>
        </is>
      </c>
      <c r="C2787" s="19">
        <f>IFERROR(INDEX(tblNetflix[type],MATCH($A2787,tblNetflix[show_id],0)),"")</f>
        <v/>
      </c>
      <c r="D2787" s="19">
        <f>IFERROR(INDEX(tblNetflix[rating],MATCH($A2787,tblNetflix[show_id],0)),"")</f>
        <v/>
      </c>
      <c r="E2787" s="19">
        <f>IFERROR(INDEX(tblNetflix[year_added],MATCH($A2787,tblNetflix[show_id],0)),"")</f>
        <v/>
      </c>
      <c r="F2787" s="19">
        <f>IF(AND(OR(YearFilter="All",$E2787=YearFilter),OR(RatingFilter="All",$D2787=RatingFilter),OR(TypeFilter="All",$C2787=TypeFilter)),1,0)</f>
        <v/>
      </c>
    </row>
    <row r="2788" ht="15" customHeight="1" s="20">
      <c r="A2788" s="19" t="inlineStr">
        <is>
          <t>s8772</t>
        </is>
      </c>
      <c r="B2788" s="19" t="inlineStr">
        <is>
          <t>International Movies</t>
        </is>
      </c>
      <c r="C2788" s="19">
        <f>IFERROR(INDEX(tblNetflix[type],MATCH($A2788,tblNetflix[show_id],0)),"")</f>
        <v/>
      </c>
      <c r="D2788" s="19">
        <f>IFERROR(INDEX(tblNetflix[rating],MATCH($A2788,tblNetflix[show_id],0)),"")</f>
        <v/>
      </c>
      <c r="E2788" s="19">
        <f>IFERROR(INDEX(tblNetflix[year_added],MATCH($A2788,tblNetflix[show_id],0)),"")</f>
        <v/>
      </c>
      <c r="F2788" s="19">
        <f>IF(AND(OR(YearFilter="All",$E2788=YearFilter),OR(RatingFilter="All",$D2788=RatingFilter),OR(TypeFilter="All",$C2788=TypeFilter)),1,0)</f>
        <v/>
      </c>
    </row>
    <row r="2789" ht="15" customHeight="1" s="20">
      <c r="A2789" s="19" t="inlineStr">
        <is>
          <t>s8772</t>
        </is>
      </c>
      <c r="B2789" s="19" t="inlineStr">
        <is>
          <t>Music &amp; Musicals</t>
        </is>
      </c>
      <c r="C2789" s="19">
        <f>IFERROR(INDEX(tblNetflix[type],MATCH($A2789,tblNetflix[show_id],0)),"")</f>
        <v/>
      </c>
      <c r="D2789" s="19">
        <f>IFERROR(INDEX(tblNetflix[rating],MATCH($A2789,tblNetflix[show_id],0)),"")</f>
        <v/>
      </c>
      <c r="E2789" s="19">
        <f>IFERROR(INDEX(tblNetflix[year_added],MATCH($A2789,tblNetflix[show_id],0)),"")</f>
        <v/>
      </c>
      <c r="F2789" s="19">
        <f>IF(AND(OR(YearFilter="All",$E2789=YearFilter),OR(RatingFilter="All",$D2789=RatingFilter),OR(TypeFilter="All",$C2789=TypeFilter)),1,0)</f>
        <v/>
      </c>
    </row>
    <row r="2790" ht="15" customHeight="1" s="20">
      <c r="A2790" s="19" t="inlineStr">
        <is>
          <t>s8773</t>
        </is>
      </c>
      <c r="B2790" s="19" t="inlineStr">
        <is>
          <t>Action &amp; Adventure</t>
        </is>
      </c>
      <c r="C2790" s="19">
        <f>IFERROR(INDEX(tblNetflix[type],MATCH($A2790,tblNetflix[show_id],0)),"")</f>
        <v/>
      </c>
      <c r="D2790" s="19">
        <f>IFERROR(INDEX(tblNetflix[rating],MATCH($A2790,tblNetflix[show_id],0)),"")</f>
        <v/>
      </c>
      <c r="E2790" s="19">
        <f>IFERROR(INDEX(tblNetflix[year_added],MATCH($A2790,tblNetflix[show_id],0)),"")</f>
        <v/>
      </c>
      <c r="F2790" s="19">
        <f>IF(AND(OR(YearFilter="All",$E2790=YearFilter),OR(RatingFilter="All",$D2790=RatingFilter),OR(TypeFilter="All",$C2790=TypeFilter)),1,0)</f>
        <v/>
      </c>
    </row>
    <row r="2791" ht="15" customHeight="1" s="20">
      <c r="A2791" s="19" t="inlineStr">
        <is>
          <t>s8773</t>
        </is>
      </c>
      <c r="B2791" s="19" t="inlineStr">
        <is>
          <t>Comedies</t>
        </is>
      </c>
      <c r="C2791" s="19">
        <f>IFERROR(INDEX(tblNetflix[type],MATCH($A2791,tblNetflix[show_id],0)),"")</f>
        <v/>
      </c>
      <c r="D2791" s="19">
        <f>IFERROR(INDEX(tblNetflix[rating],MATCH($A2791,tblNetflix[show_id],0)),"")</f>
        <v/>
      </c>
      <c r="E2791" s="19">
        <f>IFERROR(INDEX(tblNetflix[year_added],MATCH($A2791,tblNetflix[show_id],0)),"")</f>
        <v/>
      </c>
      <c r="F2791" s="19">
        <f>IF(AND(OR(YearFilter="All",$E2791=YearFilter),OR(RatingFilter="All",$D2791=RatingFilter),OR(TypeFilter="All",$C2791=TypeFilter)),1,0)</f>
        <v/>
      </c>
    </row>
    <row r="2792" ht="15" customHeight="1" s="20">
      <c r="A2792" s="19" t="inlineStr">
        <is>
          <t>s8773</t>
        </is>
      </c>
      <c r="B2792" s="19" t="inlineStr">
        <is>
          <t>International Movies</t>
        </is>
      </c>
      <c r="C2792" s="19">
        <f>IFERROR(INDEX(tblNetflix[type],MATCH($A2792,tblNetflix[show_id],0)),"")</f>
        <v/>
      </c>
      <c r="D2792" s="19">
        <f>IFERROR(INDEX(tblNetflix[rating],MATCH($A2792,tblNetflix[show_id],0)),"")</f>
        <v/>
      </c>
      <c r="E2792" s="19">
        <f>IFERROR(INDEX(tblNetflix[year_added],MATCH($A2792,tblNetflix[show_id],0)),"")</f>
        <v/>
      </c>
      <c r="F2792" s="19">
        <f>IF(AND(OR(YearFilter="All",$E2792=YearFilter),OR(RatingFilter="All",$D2792=RatingFilter),OR(TypeFilter="All",$C2792=TypeFilter)),1,0)</f>
        <v/>
      </c>
    </row>
    <row r="2793" ht="15" customHeight="1" s="20">
      <c r="A2793" s="19" t="inlineStr">
        <is>
          <t>s8774</t>
        </is>
      </c>
      <c r="B2793" s="19" t="inlineStr">
        <is>
          <t>Comedies</t>
        </is>
      </c>
      <c r="C2793" s="19">
        <f>IFERROR(INDEX(tblNetflix[type],MATCH($A2793,tblNetflix[show_id],0)),"")</f>
        <v/>
      </c>
      <c r="D2793" s="19">
        <f>IFERROR(INDEX(tblNetflix[rating],MATCH($A2793,tblNetflix[show_id],0)),"")</f>
        <v/>
      </c>
      <c r="E2793" s="19">
        <f>IFERROR(INDEX(tblNetflix[year_added],MATCH($A2793,tblNetflix[show_id],0)),"")</f>
        <v/>
      </c>
      <c r="F2793" s="19">
        <f>IF(AND(OR(YearFilter="All",$E2793=YearFilter),OR(RatingFilter="All",$D2793=RatingFilter),OR(TypeFilter="All",$C2793=TypeFilter)),1,0)</f>
        <v/>
      </c>
    </row>
    <row r="2794" ht="15" customHeight="1" s="20">
      <c r="A2794" s="19" t="inlineStr">
        <is>
          <t>s8774</t>
        </is>
      </c>
      <c r="B2794" s="19" t="inlineStr">
        <is>
          <t>Dramas</t>
        </is>
      </c>
      <c r="C2794" s="19">
        <f>IFERROR(INDEX(tblNetflix[type],MATCH($A2794,tblNetflix[show_id],0)),"")</f>
        <v/>
      </c>
      <c r="D2794" s="19">
        <f>IFERROR(INDEX(tblNetflix[rating],MATCH($A2794,tblNetflix[show_id],0)),"")</f>
        <v/>
      </c>
      <c r="E2794" s="19">
        <f>IFERROR(INDEX(tblNetflix[year_added],MATCH($A2794,tblNetflix[show_id],0)),"")</f>
        <v/>
      </c>
      <c r="F2794" s="19">
        <f>IF(AND(OR(YearFilter="All",$E2794=YearFilter),OR(RatingFilter="All",$D2794=RatingFilter),OR(TypeFilter="All",$C2794=TypeFilter)),1,0)</f>
        <v/>
      </c>
    </row>
    <row r="2795" ht="15" customHeight="1" s="20">
      <c r="A2795" s="19" t="inlineStr">
        <is>
          <t>s8774</t>
        </is>
      </c>
      <c r="B2795" s="19" t="inlineStr">
        <is>
          <t>International Movies</t>
        </is>
      </c>
      <c r="C2795" s="19">
        <f>IFERROR(INDEX(tblNetflix[type],MATCH($A2795,tblNetflix[show_id],0)),"")</f>
        <v/>
      </c>
      <c r="D2795" s="19">
        <f>IFERROR(INDEX(tblNetflix[rating],MATCH($A2795,tblNetflix[show_id],0)),"")</f>
        <v/>
      </c>
      <c r="E2795" s="19">
        <f>IFERROR(INDEX(tblNetflix[year_added],MATCH($A2795,tblNetflix[show_id],0)),"")</f>
        <v/>
      </c>
      <c r="F2795" s="19">
        <f>IF(AND(OR(YearFilter="All",$E2795=YearFilter),OR(RatingFilter="All",$D2795=RatingFilter),OR(TypeFilter="All",$C2795=TypeFilter)),1,0)</f>
        <v/>
      </c>
    </row>
    <row r="2796" ht="15" customHeight="1" s="20">
      <c r="A2796" s="19" t="inlineStr">
        <is>
          <t>s8776</t>
        </is>
      </c>
      <c r="B2796" s="19" t="inlineStr">
        <is>
          <t>International TV Shows</t>
        </is>
      </c>
      <c r="C2796" s="19">
        <f>IFERROR(INDEX(tblNetflix[type],MATCH($A2796,tblNetflix[show_id],0)),"")</f>
        <v/>
      </c>
      <c r="D2796" s="19">
        <f>IFERROR(INDEX(tblNetflix[rating],MATCH($A2796,tblNetflix[show_id],0)),"")</f>
        <v/>
      </c>
      <c r="E2796" s="19">
        <f>IFERROR(INDEX(tblNetflix[year_added],MATCH($A2796,tblNetflix[show_id],0)),"")</f>
        <v/>
      </c>
      <c r="F2796" s="19">
        <f>IF(AND(OR(YearFilter="All",$E2796=YearFilter),OR(RatingFilter="All",$D2796=RatingFilter),OR(TypeFilter="All",$C2796=TypeFilter)),1,0)</f>
        <v/>
      </c>
    </row>
    <row r="2797" ht="15" customHeight="1" s="20">
      <c r="A2797" s="19" t="inlineStr">
        <is>
          <t>s8776</t>
        </is>
      </c>
      <c r="B2797" s="19" t="inlineStr">
        <is>
          <t>TV Comedies</t>
        </is>
      </c>
      <c r="C2797" s="19">
        <f>IFERROR(INDEX(tblNetflix[type],MATCH($A2797,tblNetflix[show_id],0)),"")</f>
        <v/>
      </c>
      <c r="D2797" s="19">
        <f>IFERROR(INDEX(tblNetflix[rating],MATCH($A2797,tblNetflix[show_id],0)),"")</f>
        <v/>
      </c>
      <c r="E2797" s="19">
        <f>IFERROR(INDEX(tblNetflix[year_added],MATCH($A2797,tblNetflix[show_id],0)),"")</f>
        <v/>
      </c>
      <c r="F2797" s="19">
        <f>IF(AND(OR(YearFilter="All",$E2797=YearFilter),OR(RatingFilter="All",$D2797=RatingFilter),OR(TypeFilter="All",$C2797=TypeFilter)),1,0)</f>
        <v/>
      </c>
    </row>
    <row r="2798" ht="15" customHeight="1" s="20">
      <c r="A2798" s="19" t="inlineStr">
        <is>
          <t>s8799</t>
        </is>
      </c>
      <c r="B2798" s="19" t="inlineStr">
        <is>
          <t>Comedies</t>
        </is>
      </c>
      <c r="C2798" s="19">
        <f>IFERROR(INDEX(tblNetflix[type],MATCH($A2798,tblNetflix[show_id],0)),"")</f>
        <v/>
      </c>
      <c r="D2798" s="19">
        <f>IFERROR(INDEX(tblNetflix[rating],MATCH($A2798,tblNetflix[show_id],0)),"")</f>
        <v/>
      </c>
      <c r="E2798" s="19">
        <f>IFERROR(INDEX(tblNetflix[year_added],MATCH($A2798,tblNetflix[show_id],0)),"")</f>
        <v/>
      </c>
      <c r="F2798" s="19">
        <f>IF(AND(OR(YearFilter="All",$E2798=YearFilter),OR(RatingFilter="All",$D2798=RatingFilter),OR(TypeFilter="All",$C2798=TypeFilter)),1,0)</f>
        <v/>
      </c>
    </row>
    <row r="2799" ht="15" customHeight="1" s="20">
      <c r="A2799" s="19" t="inlineStr">
        <is>
          <t>s8799</t>
        </is>
      </c>
      <c r="B2799" s="19" t="inlineStr">
        <is>
          <t>Dramas</t>
        </is>
      </c>
      <c r="C2799" s="19">
        <f>IFERROR(INDEX(tblNetflix[type],MATCH($A2799,tblNetflix[show_id],0)),"")</f>
        <v/>
      </c>
      <c r="D2799" s="19">
        <f>IFERROR(INDEX(tblNetflix[rating],MATCH($A2799,tblNetflix[show_id],0)),"")</f>
        <v/>
      </c>
      <c r="E2799" s="19">
        <f>IFERROR(INDEX(tblNetflix[year_added],MATCH($A2799,tblNetflix[show_id],0)),"")</f>
        <v/>
      </c>
      <c r="F2799" s="19">
        <f>IF(AND(OR(YearFilter="All",$E2799=YearFilter),OR(RatingFilter="All",$D2799=RatingFilter),OR(TypeFilter="All",$C2799=TypeFilter)),1,0)</f>
        <v/>
      </c>
    </row>
    <row r="2800" ht="15" customHeight="1" s="20">
      <c r="A2800" s="19" t="inlineStr">
        <is>
          <t>s8799</t>
        </is>
      </c>
      <c r="B2800" s="19" t="inlineStr">
        <is>
          <t>International Movies</t>
        </is>
      </c>
      <c r="C2800" s="19">
        <f>IFERROR(INDEX(tblNetflix[type],MATCH($A2800,tblNetflix[show_id],0)),"")</f>
        <v/>
      </c>
      <c r="D2800" s="19">
        <f>IFERROR(INDEX(tblNetflix[rating],MATCH($A2800,tblNetflix[show_id],0)),"")</f>
        <v/>
      </c>
      <c r="E2800" s="19">
        <f>IFERROR(INDEX(tblNetflix[year_added],MATCH($A2800,tblNetflix[show_id],0)),"")</f>
        <v/>
      </c>
      <c r="F2800" s="19">
        <f>IF(AND(OR(YearFilter="All",$E2800=YearFilter),OR(RatingFilter="All",$D2800=RatingFilter),OR(TypeFilter="All",$C2800=TypeFilter)),1,0)</f>
        <v/>
      </c>
    </row>
    <row r="2801" ht="15" customHeight="1" s="20">
      <c r="A2801" s="19" t="inlineStr">
        <is>
          <t>s8800</t>
        </is>
      </c>
      <c r="B2801" s="19" t="inlineStr">
        <is>
          <t>Dramas</t>
        </is>
      </c>
      <c r="C2801" s="19">
        <f>IFERROR(INDEX(tblNetflix[type],MATCH($A2801,tblNetflix[show_id],0)),"")</f>
        <v/>
      </c>
      <c r="D2801" s="19">
        <f>IFERROR(INDEX(tblNetflix[rating],MATCH($A2801,tblNetflix[show_id],0)),"")</f>
        <v/>
      </c>
      <c r="E2801" s="19">
        <f>IFERROR(INDEX(tblNetflix[year_added],MATCH($A2801,tblNetflix[show_id],0)),"")</f>
        <v/>
      </c>
      <c r="F2801" s="19">
        <f>IF(AND(OR(YearFilter="All",$E2801=YearFilter),OR(RatingFilter="All",$D2801=RatingFilter),OR(TypeFilter="All",$C2801=TypeFilter)),1,0)</f>
        <v/>
      </c>
    </row>
    <row r="2802" ht="15" customHeight="1" s="20">
      <c r="A2802" s="19" t="inlineStr">
        <is>
          <t>s8800</t>
        </is>
      </c>
      <c r="B2802" s="19" t="inlineStr">
        <is>
          <t>International Movies</t>
        </is>
      </c>
      <c r="C2802" s="19">
        <f>IFERROR(INDEX(tblNetflix[type],MATCH($A2802,tblNetflix[show_id],0)),"")</f>
        <v/>
      </c>
      <c r="D2802" s="19">
        <f>IFERROR(INDEX(tblNetflix[rating],MATCH($A2802,tblNetflix[show_id],0)),"")</f>
        <v/>
      </c>
      <c r="E2802" s="19">
        <f>IFERROR(INDEX(tblNetflix[year_added],MATCH($A2802,tblNetflix[show_id],0)),"")</f>
        <v/>
      </c>
      <c r="F2802" s="19">
        <f>IF(AND(OR(YearFilter="All",$E2802=YearFilter),OR(RatingFilter="All",$D2802=RatingFilter),OR(TypeFilter="All",$C2802=TypeFilter)),1,0)</f>
        <v/>
      </c>
    </row>
    <row r="2803" ht="15" customHeight="1" s="20">
      <c r="A2803" s="19" t="inlineStr">
        <is>
          <t>s8807</t>
        </is>
      </c>
      <c r="B2803" s="19" t="inlineStr">
        <is>
          <t>Dramas</t>
        </is>
      </c>
      <c r="C2803" s="19">
        <f>IFERROR(INDEX(tblNetflix[type],MATCH($A2803,tblNetflix[show_id],0)),"")</f>
        <v/>
      </c>
      <c r="D2803" s="19">
        <f>IFERROR(INDEX(tblNetflix[rating],MATCH($A2803,tblNetflix[show_id],0)),"")</f>
        <v/>
      </c>
      <c r="E2803" s="19">
        <f>IFERROR(INDEX(tblNetflix[year_added],MATCH($A2803,tblNetflix[show_id],0)),"")</f>
        <v/>
      </c>
      <c r="F2803" s="19">
        <f>IF(AND(OR(YearFilter="All",$E2803=YearFilter),OR(RatingFilter="All",$D2803=RatingFilter),OR(TypeFilter="All",$C2803=TypeFilter)),1,0)</f>
        <v/>
      </c>
    </row>
    <row r="2804" ht="15" customHeight="1" s="20">
      <c r="A2804" s="19" t="inlineStr">
        <is>
          <t>s8807</t>
        </is>
      </c>
      <c r="B2804" s="19" t="inlineStr">
        <is>
          <t>International Movies</t>
        </is>
      </c>
      <c r="C2804" s="19">
        <f>IFERROR(INDEX(tblNetflix[type],MATCH($A2804,tblNetflix[show_id],0)),"")</f>
        <v/>
      </c>
      <c r="D2804" s="19">
        <f>IFERROR(INDEX(tblNetflix[rating],MATCH($A2804,tblNetflix[show_id],0)),"")</f>
        <v/>
      </c>
      <c r="E2804" s="19">
        <f>IFERROR(INDEX(tblNetflix[year_added],MATCH($A2804,tblNetflix[show_id],0)),"")</f>
        <v/>
      </c>
      <c r="F2804" s="19">
        <f>IF(AND(OR(YearFilter="All",$E2804=YearFilter),OR(RatingFilter="All",$D2804=RatingFilter),OR(TypeFilter="All",$C2804=TypeFilter)),1,0)</f>
        <v/>
      </c>
    </row>
    <row r="2805" ht="15" customHeight="1" s="20">
      <c r="A2805" s="19" t="inlineStr">
        <is>
          <t>s8807</t>
        </is>
      </c>
      <c r="B2805" s="19" t="inlineStr">
        <is>
          <t>Music &amp; Musicals</t>
        </is>
      </c>
      <c r="C2805" s="19">
        <f>IFERROR(INDEX(tblNetflix[type],MATCH($A2805,tblNetflix[show_id],0)),"")</f>
        <v/>
      </c>
      <c r="D2805" s="19">
        <f>IFERROR(INDEX(tblNetflix[rating],MATCH($A2805,tblNetflix[show_id],0)),"")</f>
        <v/>
      </c>
      <c r="E2805" s="19">
        <f>IFERROR(INDEX(tblNetflix[year_added],MATCH($A2805,tblNetflix[show_id],0)),"")</f>
        <v/>
      </c>
      <c r="F2805" s="19">
        <f>IF(AND(OR(YearFilter="All",$E2805=YearFilter),OR(RatingFilter="All",$D2805=RatingFilter),OR(TypeFilter="All",$C2805=TypeFilter)),1,0)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9" min="1" max="1"/>
    <col width="50" customWidth="1" style="19" min="2" max="2"/>
    <col width="20" customWidth="1" style="19" min="3" max="3"/>
    <col width="12" customWidth="1" style="19" min="4" max="5"/>
    <col width="16" customWidth="1" style="19" min="6" max="6"/>
    <col width="10" customWidth="1" style="19" min="7" max="7"/>
  </cols>
  <sheetData>
    <row r="1" ht="15" customHeight="1" s="20">
      <c r="A1" s="21" t="inlineStr">
        <is>
          <t>title</t>
        </is>
      </c>
      <c r="B1" s="21" t="inlineStr">
        <is>
          <t>description</t>
        </is>
      </c>
      <c r="C1" s="21" t="inlineStr">
        <is>
          <t>Theme</t>
        </is>
      </c>
      <c r="D1" s="21" t="inlineStr">
        <is>
          <t>Type_lookup</t>
        </is>
      </c>
      <c r="E1" s="21" t="inlineStr">
        <is>
          <t>Rating_lookup</t>
        </is>
      </c>
      <c r="F1" s="21" t="inlineStr">
        <is>
          <t>YearAdded_lookup</t>
        </is>
      </c>
      <c r="G1" s="21" t="inlineStr">
        <is>
          <t>IncludeRow</t>
        </is>
      </c>
    </row>
    <row r="2" ht="15" customHeight="1" s="20">
      <c r="A2" s="19" t="inlineStr">
        <is>
          <t>Kota Factory</t>
        </is>
      </c>
      <c r="B2" s="19" t="inlineStr">
        <is>
          <t>In a city of coaching centers known to train India’s finest collegiate minds, an earnest but unexceptional student and his friends navigate campus life.</t>
        </is>
      </c>
      <c r="C2" s="19" t="inlineStr">
        <is>
          <t>Education &amp; Youth</t>
        </is>
      </c>
      <c r="D2" s="19">
        <f>IFERROR(INDEX(tblNetflix[type],MATCH($A2,tblNetflix[title],0)),"")</f>
        <v/>
      </c>
      <c r="E2" s="19">
        <f>IFERROR(INDEX(tblNetflix[rating],MATCH($A2,tblNetflix[title],0)),"")</f>
        <v/>
      </c>
      <c r="F2" s="19">
        <f>IFERROR(INDEX(tblNetflix[year_added],MATCH($A2,tblNetflix[title],0)),"")</f>
        <v/>
      </c>
      <c r="G2" s="19">
        <f>IF(AND(OR(YearFilter="All",$F2=YearFilter),OR(RatingFilter="All",$E2=RatingFilter),OR(TypeFilter="All",$D2=TypeFilter)),1,0)</f>
        <v/>
      </c>
    </row>
    <row r="3" ht="15" customHeight="1" s="20">
      <c r="A3" s="19" t="inlineStr">
        <is>
          <t>Jeans</t>
        </is>
      </c>
      <c r="B3" s="19" t="inlineStr">
        <is>
          <t>When the father of the man she loves insists that his twin sons marry twin sisters, a woman creates an alter ego that might be a bit too convincing.</t>
        </is>
      </c>
      <c r="C3" s="19" t="inlineStr">
        <is>
          <t>Romance</t>
        </is>
      </c>
      <c r="D3" s="19">
        <f>IFERROR(INDEX(tblNetflix[type],MATCH($A3,tblNetflix[title],0)),"")</f>
        <v/>
      </c>
      <c r="E3" s="19">
        <f>IFERROR(INDEX(tblNetflix[rating],MATCH($A3,tblNetflix[title],0)),"")</f>
        <v/>
      </c>
      <c r="F3" s="19">
        <f>IFERROR(INDEX(tblNetflix[year_added],MATCH($A3,tblNetflix[title],0)),"")</f>
        <v/>
      </c>
      <c r="G3" s="19">
        <f>IF(AND(OR(YearFilter="All",$F3=YearFilter),OR(RatingFilter="All",$E3=RatingFilter),OR(TypeFilter="All",$D3=TypeFilter)),1,0)</f>
        <v/>
      </c>
    </row>
    <row r="4" ht="15" customHeight="1" s="20">
      <c r="A4" s="19" t="inlineStr">
        <is>
          <t>Paranoia</t>
        </is>
      </c>
      <c r="B4" s="19" t="inlineStr">
        <is>
          <t>Blackmailed by his company's CEO, a low-level employee finds himself forced to spy on the boss's rival and former mentor.</t>
        </is>
      </c>
      <c r="C4" s="19" t="inlineStr">
        <is>
          <t>Crime &amp; Thriller</t>
        </is>
      </c>
      <c r="D4" s="19">
        <f>IFERROR(INDEX(tblNetflix[type],MATCH($A4,tblNetflix[title],0)),"")</f>
        <v/>
      </c>
      <c r="E4" s="19">
        <f>IFERROR(INDEX(tblNetflix[rating],MATCH($A4,tblNetflix[title],0)),"")</f>
        <v/>
      </c>
      <c r="F4" s="19">
        <f>IFERROR(INDEX(tblNetflix[year_added],MATCH($A4,tblNetflix[title],0)),"")</f>
        <v/>
      </c>
      <c r="G4" s="19">
        <f>IF(AND(OR(YearFilter="All",$F4=YearFilter),OR(RatingFilter="All",$E4=RatingFilter),OR(TypeFilter="All",$D4=TypeFilter)),1,0)</f>
        <v/>
      </c>
    </row>
    <row r="5" ht="15" customHeight="1" s="20">
      <c r="A5" s="19" t="inlineStr">
        <is>
          <t>Chhota Bheem</t>
        </is>
      </c>
      <c r="B5" s="19" t="inlineStr">
        <is>
          <t>A brave, energetic little boy with superhuman powers leads his friends on exciting adventures to guard their fellow Dholakpur villagers from evil.</t>
        </is>
      </c>
      <c r="C5" s="19" t="inlineStr">
        <is>
          <t>Family &amp; Children</t>
        </is>
      </c>
      <c r="D5" s="19">
        <f>IFERROR(INDEX(tblNetflix[type],MATCH($A5,tblNetflix[title],0)),"")</f>
        <v/>
      </c>
      <c r="E5" s="19">
        <f>IFERROR(INDEX(tblNetflix[rating],MATCH($A5,tblNetflix[title],0)),"")</f>
        <v/>
      </c>
      <c r="F5" s="19">
        <f>IFERROR(INDEX(tblNetflix[year_added],MATCH($A5,tblNetflix[title],0)),"")</f>
        <v/>
      </c>
      <c r="G5" s="19">
        <f>IF(AND(OR(YearFilter="All",$F5=YearFilter),OR(RatingFilter="All",$E5=RatingFilter),OR(TypeFilter="All",$D5=TypeFilter)),1,0)</f>
        <v/>
      </c>
    </row>
    <row r="6" ht="15" customHeight="1" s="20">
      <c r="A6" s="19" t="inlineStr">
        <is>
          <t>Dharmakshetra</t>
        </is>
      </c>
      <c r="B6" s="19" t="inlineStr">
        <is>
          <t>After the ancient Great War, the god Chitragupta oversees a trial to determine who were the battle's true heroes and villains.</t>
        </is>
      </c>
      <c r="C6" s="19" t="inlineStr">
        <is>
          <t>Historical &amp; Cultural</t>
        </is>
      </c>
      <c r="D6" s="19">
        <f>IFERROR(INDEX(tblNetflix[type],MATCH($A6,tblNetflix[title],0)),"")</f>
        <v/>
      </c>
      <c r="E6" s="19">
        <f>IFERROR(INDEX(tblNetflix[rating],MATCH($A6,tblNetflix[title],0)),"")</f>
        <v/>
      </c>
      <c r="F6" s="19">
        <f>IFERROR(INDEX(tblNetflix[year_added],MATCH($A6,tblNetflix[title],0)),"")</f>
        <v/>
      </c>
      <c r="G6" s="19">
        <f>IF(AND(OR(YearFilter="All",$F6=YearFilter),OR(RatingFilter="All",$E6=RatingFilter),OR(TypeFilter="All",$D6=TypeFilter)),1,0)</f>
        <v/>
      </c>
    </row>
    <row r="7" ht="15" customHeight="1" s="20">
      <c r="A7" s="19" t="inlineStr">
        <is>
          <t>Raja Rasoi Aur Anya Kahaniyan</t>
        </is>
      </c>
      <c r="B7" s="19" t="inlineStr">
        <is>
          <t>Explore the history and flavors of regional Indian cuisine, from traditional Kashmiri feasts to the vegetarian dishes of Gujarat.</t>
        </is>
      </c>
      <c r="C7" s="19" t="inlineStr">
        <is>
          <t>Historical &amp; Cultural</t>
        </is>
      </c>
      <c r="D7" s="19">
        <f>IFERROR(INDEX(tblNetflix[type],MATCH($A7,tblNetflix[title],0)),"")</f>
        <v/>
      </c>
      <c r="E7" s="19">
        <f>IFERROR(INDEX(tblNetflix[rating],MATCH($A7,tblNetflix[title],0)),"")</f>
        <v/>
      </c>
      <c r="F7" s="19">
        <f>IFERROR(INDEX(tblNetflix[year_added],MATCH($A7,tblNetflix[title],0)),"")</f>
        <v/>
      </c>
      <c r="G7" s="19">
        <f>IF(AND(OR(YearFilter="All",$F7=YearFilter),OR(RatingFilter="All",$E7=RatingFilter),OR(TypeFilter="All",$D7=TypeFilter)),1,0)</f>
        <v/>
      </c>
    </row>
    <row r="8" ht="15" customHeight="1" s="20">
      <c r="A8" s="19" t="inlineStr">
        <is>
          <t>Stories by Rabindranath Tagore</t>
        </is>
      </c>
      <c r="B8" s="19" t="inlineStr">
        <is>
          <t>The writings of Nobel Prize winner Rabindranath Tagore come to life in this collection of tales set in early-20th-century Bengal.</t>
        </is>
      </c>
      <c r="C8" s="19" t="inlineStr">
        <is>
          <t>Historical &amp; Cultural</t>
        </is>
      </c>
      <c r="D8" s="19">
        <f>IFERROR(INDEX(tblNetflix[type],MATCH($A8,tblNetflix[title],0)),"")</f>
        <v/>
      </c>
      <c r="E8" s="19">
        <f>IFERROR(INDEX(tblNetflix[rating],MATCH($A8,tblNetflix[title],0)),"")</f>
        <v/>
      </c>
      <c r="F8" s="19">
        <f>IFERROR(INDEX(tblNetflix[year_added],MATCH($A8,tblNetflix[title],0)),"")</f>
        <v/>
      </c>
      <c r="G8" s="19">
        <f>IF(AND(OR(YearFilter="All",$F8=YearFilter),OR(RatingFilter="All",$E8=RatingFilter),OR(TypeFilter="All",$D8=TypeFilter)),1,0)</f>
        <v/>
      </c>
    </row>
    <row r="9" ht="15" customHeight="1" s="20">
      <c r="A9" s="19" t="inlineStr">
        <is>
          <t>Angamaly Diaries</t>
        </is>
      </c>
      <c r="B9" s="19" t="inlineStr">
        <is>
          <t>After growing up amidst the gang wars of his hometown, Vincent forms an entrepreneurial squad of his own and ends up on the wrong side of the law.</t>
        </is>
      </c>
      <c r="C9" s="19" t="inlineStr">
        <is>
          <t>Crime &amp; Thriller</t>
        </is>
      </c>
      <c r="D9" s="19">
        <f>IFERROR(INDEX(tblNetflix[type],MATCH($A9,tblNetflix[title],0)),"")</f>
        <v/>
      </c>
      <c r="E9" s="19">
        <f>IFERROR(INDEX(tblNetflix[rating],MATCH($A9,tblNetflix[title],0)),"")</f>
        <v/>
      </c>
      <c r="F9" s="19">
        <f>IFERROR(INDEX(tblNetflix[year_added],MATCH($A9,tblNetflix[title],0)),"")</f>
        <v/>
      </c>
      <c r="G9" s="19">
        <f>IF(AND(OR(YearFilter="All",$F9=YearFilter),OR(RatingFilter="All",$E9=RatingFilter),OR(TypeFilter="All",$D9=TypeFilter)),1,0)</f>
        <v/>
      </c>
    </row>
    <row r="10" ht="15" customHeight="1" s="20">
      <c r="A10" s="19" t="inlineStr">
        <is>
          <t>Anjaam</t>
        </is>
      </c>
      <c r="B10" s="19" t="inlineStr">
        <is>
          <t>A wealthy industrialist’s dangerous obsession with a flight attendant destroys her world, until she takes matters into her own hands to exact revenge.</t>
        </is>
      </c>
      <c r="C10" s="19" t="inlineStr">
        <is>
          <t>Crime &amp; Thriller</t>
        </is>
      </c>
      <c r="D10" s="19">
        <f>IFERROR(INDEX(tblNetflix[type],MATCH($A10,tblNetflix[title],0)),"")</f>
        <v/>
      </c>
      <c r="E10" s="19">
        <f>IFERROR(INDEX(tblNetflix[rating],MATCH($A10,tblNetflix[title],0)),"")</f>
        <v/>
      </c>
      <c r="F10" s="19">
        <f>IFERROR(INDEX(tblNetflix[year_added],MATCH($A10,tblNetflix[title],0)),"")</f>
        <v/>
      </c>
      <c r="G10" s="19">
        <f>IF(AND(OR(YearFilter="All",$F10=YearFilter),OR(RatingFilter="All",$E10=RatingFilter),OR(TypeFilter="All",$D10=TypeFilter)),1,0)</f>
        <v/>
      </c>
    </row>
    <row r="11" ht="15" customHeight="1" s="20">
      <c r="A11" s="19" t="inlineStr">
        <is>
          <t>Dhanak</t>
        </is>
      </c>
      <c r="B11" s="19" t="inlineStr">
        <is>
          <t>A movie-loving 10-year-old and her blind little brother trek to meet Indian superstar Shah Rukh Khan for help in getting the boy an eye operation.</t>
        </is>
      </c>
      <c r="C11" s="19" t="inlineStr">
        <is>
          <t>Family &amp; Children</t>
        </is>
      </c>
      <c r="D11" s="19">
        <f>IFERROR(INDEX(tblNetflix[type],MATCH($A11,tblNetflix[title],0)),"")</f>
        <v/>
      </c>
      <c r="E11" s="19">
        <f>IFERROR(INDEX(tblNetflix[rating],MATCH($A11,tblNetflix[title],0)),"")</f>
        <v/>
      </c>
      <c r="F11" s="19">
        <f>IFERROR(INDEX(tblNetflix[year_added],MATCH($A11,tblNetflix[title],0)),"")</f>
        <v/>
      </c>
      <c r="G11" s="19">
        <f>IF(AND(OR(YearFilter="All",$F11=YearFilter),OR(RatingFilter="All",$E11=RatingFilter),OR(TypeFilter="All",$D11=TypeFilter)),1,0)</f>
        <v/>
      </c>
    </row>
    <row r="12" ht="15" customHeight="1" s="20">
      <c r="A12" s="19" t="inlineStr">
        <is>
          <t>Gurgaon</t>
        </is>
      </c>
      <c r="B12" s="19" t="inlineStr">
        <is>
          <t>When the daughter of a wealthy family returns from college, she gets a frosty welcome from her brother, who has problems – and plans – of his own.</t>
        </is>
      </c>
      <c r="C12" s="19" t="inlineStr">
        <is>
          <t>Family &amp; Children</t>
        </is>
      </c>
      <c r="D12" s="19">
        <f>IFERROR(INDEX(tblNetflix[type],MATCH($A12,tblNetflix[title],0)),"")</f>
        <v/>
      </c>
      <c r="E12" s="19">
        <f>IFERROR(INDEX(tblNetflix[rating],MATCH($A12,tblNetflix[title],0)),"")</f>
        <v/>
      </c>
      <c r="F12" s="19">
        <f>IFERROR(INDEX(tblNetflix[year_added],MATCH($A12,tblNetflix[title],0)),"")</f>
        <v/>
      </c>
      <c r="G12" s="19">
        <f>IF(AND(OR(YearFilter="All",$F12=YearFilter),OR(RatingFilter="All",$E12=RatingFilter),OR(TypeFilter="All",$D12=TypeFilter)),1,0)</f>
        <v/>
      </c>
    </row>
    <row r="13" ht="15" customHeight="1" s="20">
      <c r="A13" s="19" t="inlineStr">
        <is>
          <t>Shikara</t>
        </is>
      </c>
      <c r="B13" s="19" t="inlineStr">
        <is>
          <t>A couple must strive to remain resilient after regional hostilities drive them from their beloved home into a refugee camp.</t>
        </is>
      </c>
      <c r="C13" s="19" t="inlineStr">
        <is>
          <t>Romance</t>
        </is>
      </c>
      <c r="D13" s="19">
        <f>IFERROR(INDEX(tblNetflix[type],MATCH($A13,tblNetflix[title],0)),"")</f>
        <v/>
      </c>
      <c r="E13" s="19">
        <f>IFERROR(INDEX(tblNetflix[rating],MATCH($A13,tblNetflix[title],0)),"")</f>
        <v/>
      </c>
      <c r="F13" s="19">
        <f>IFERROR(INDEX(tblNetflix[year_added],MATCH($A13,tblNetflix[title],0)),"")</f>
        <v/>
      </c>
      <c r="G13" s="19">
        <f>IF(AND(OR(YearFilter="All",$F13=YearFilter),OR(RatingFilter="All",$E13=RatingFilter),OR(TypeFilter="All",$D13=TypeFilter)),1,0)</f>
        <v/>
      </c>
    </row>
    <row r="14" ht="15" customHeight="1" s="20">
      <c r="A14" s="19" t="inlineStr">
        <is>
          <t>Thimmarusu</t>
        </is>
      </c>
      <c r="B14" s="19" t="inlineStr">
        <is>
          <t>Eight years after a young man is framed for murder, an up-and-coming lawyer re-opens the case, beginning a tricky mission to find the real culprit.</t>
        </is>
      </c>
      <c r="C14" s="19" t="inlineStr">
        <is>
          <t>Crime &amp; Thriller</t>
        </is>
      </c>
      <c r="D14" s="19">
        <f>IFERROR(INDEX(tblNetflix[type],MATCH($A14,tblNetflix[title],0)),"")</f>
        <v/>
      </c>
      <c r="E14" s="19">
        <f>IFERROR(INDEX(tblNetflix[rating],MATCH($A14,tblNetflix[title],0)),"")</f>
        <v/>
      </c>
      <c r="F14" s="19">
        <f>IFERROR(INDEX(tblNetflix[year_added],MATCH($A14,tblNetflix[title],0)),"")</f>
        <v/>
      </c>
      <c r="G14" s="19">
        <f>IF(AND(OR(YearFilter="All",$F14=YearFilter),OR(RatingFilter="All",$E14=RatingFilter),OR(TypeFilter="All",$D14=TypeFilter)),1,0)</f>
        <v/>
      </c>
    </row>
    <row r="15" ht="15" customHeight="1" s="20">
      <c r="A15" s="19" t="inlineStr">
        <is>
          <t>C Kkompany</t>
        </is>
      </c>
      <c r="B15" s="19" t="inlineStr">
        <is>
          <t>Three broke friends pose as an underworld gang for extortion, but their plan takes on a life of its own when their phony company becomes famous.</t>
        </is>
      </c>
      <c r="C15" s="19" t="inlineStr">
        <is>
          <t>Crime &amp; Thriller</t>
        </is>
      </c>
      <c r="D15" s="19">
        <f>IFERROR(INDEX(tblNetflix[type],MATCH($A15,tblNetflix[title],0)),"")</f>
        <v/>
      </c>
      <c r="E15" s="19">
        <f>IFERROR(INDEX(tblNetflix[rating],MATCH($A15,tblNetflix[title],0)),"")</f>
        <v/>
      </c>
      <c r="F15" s="19">
        <f>IFERROR(INDEX(tblNetflix[year_added],MATCH($A15,tblNetflix[title],0)),"")</f>
        <v/>
      </c>
      <c r="G15" s="19">
        <f>IF(AND(OR(YearFilter="All",$F15=YearFilter),OR(RatingFilter="All",$E15=RatingFilter),OR(TypeFilter="All",$D15=TypeFilter)),1,0)</f>
        <v/>
      </c>
    </row>
    <row r="16" ht="15" customHeight="1" s="20">
      <c r="A16" s="19" t="inlineStr">
        <is>
          <t>EMI: Liya Hai To Chukana Padega</t>
        </is>
      </c>
      <c r="B16" s="19" t="inlineStr">
        <is>
          <t>A bank hires an enigmatic and unorthodox debt collector to recover money from four borrowers who are unable to pay their loans.</t>
        </is>
      </c>
      <c r="C16" s="19" t="inlineStr">
        <is>
          <t>Other</t>
        </is>
      </c>
      <c r="D16" s="19">
        <f>IFERROR(INDEX(tblNetflix[type],MATCH($A16,tblNetflix[title],0)),"")</f>
        <v/>
      </c>
      <c r="E16" s="19">
        <f>IFERROR(INDEX(tblNetflix[rating],MATCH($A16,tblNetflix[title],0)),"")</f>
        <v/>
      </c>
      <c r="F16" s="19">
        <f>IFERROR(INDEX(tblNetflix[year_added],MATCH($A16,tblNetflix[title],0)),"")</f>
        <v/>
      </c>
      <c r="G16" s="19">
        <f>IF(AND(OR(YearFilter="All",$F16=YearFilter),OR(RatingFilter="All",$E16=RatingFilter),OR(TypeFilter="All",$D16=TypeFilter)),1,0)</f>
        <v/>
      </c>
    </row>
    <row r="17" ht="15" customHeight="1" s="20">
      <c r="A17" s="19" t="inlineStr">
        <is>
          <t>Koi Aap Sa</t>
        </is>
      </c>
      <c r="B17" s="19" t="inlineStr">
        <is>
          <t>Star athlete Rohan has his eye on a beautiful art student. But when his best friend Simran experiences a crisis, he drops everything to help her.</t>
        </is>
      </c>
      <c r="C17" s="19" t="inlineStr">
        <is>
          <t>Education &amp; Youth</t>
        </is>
      </c>
      <c r="D17" s="19">
        <f>IFERROR(INDEX(tblNetflix[type],MATCH($A17,tblNetflix[title],0)),"")</f>
        <v/>
      </c>
      <c r="E17" s="19">
        <f>IFERROR(INDEX(tblNetflix[rating],MATCH($A17,tblNetflix[title],0)),"")</f>
        <v/>
      </c>
      <c r="F17" s="19">
        <f>IFERROR(INDEX(tblNetflix[year_added],MATCH($A17,tblNetflix[title],0)),"")</f>
        <v/>
      </c>
      <c r="G17" s="19">
        <f>IF(AND(OR(YearFilter="All",$F17=YearFilter),OR(RatingFilter="All",$E17=RatingFilter),OR(TypeFilter="All",$D17=TypeFilter)),1,0)</f>
        <v/>
      </c>
    </row>
    <row r="18" ht="15" customHeight="1" s="20">
      <c r="A18" s="19" t="inlineStr">
        <is>
          <t>Krishna Cottage</t>
        </is>
      </c>
      <c r="B18" s="19" t="inlineStr">
        <is>
          <t>True love is put to the test when another woman comes between a pair of star-crossed young lovers in this thriller.</t>
        </is>
      </c>
      <c r="C18" s="19" t="inlineStr">
        <is>
          <t>Romance</t>
        </is>
      </c>
      <c r="D18" s="19">
        <f>IFERROR(INDEX(tblNetflix[type],MATCH($A18,tblNetflix[title],0)),"")</f>
        <v/>
      </c>
      <c r="E18" s="19">
        <f>IFERROR(INDEX(tblNetflix[rating],MATCH($A18,tblNetflix[title],0)),"")</f>
        <v/>
      </c>
      <c r="F18" s="19">
        <f>IFERROR(INDEX(tblNetflix[year_added],MATCH($A18,tblNetflix[title],0)),"")</f>
        <v/>
      </c>
      <c r="G18" s="19">
        <f>IF(AND(OR(YearFilter="All",$F18=YearFilter),OR(RatingFilter="All",$E18=RatingFilter),OR(TypeFilter="All",$D18=TypeFilter)),1,0)</f>
        <v/>
      </c>
    </row>
    <row r="19" ht="15" customHeight="1" s="20">
      <c r="A19" s="19" t="inlineStr">
        <is>
          <t>Kucch To Hai</t>
        </is>
      </c>
      <c r="B19" s="19" t="inlineStr">
        <is>
          <t>A student tries to steal a test from a teacher's home, leaving him for dead after an accident. A string of murders may be the professor's revenge.</t>
        </is>
      </c>
      <c r="C19" s="19" t="inlineStr">
        <is>
          <t>Crime &amp; Thriller</t>
        </is>
      </c>
      <c r="D19" s="19">
        <f>IFERROR(INDEX(tblNetflix[type],MATCH($A19,tblNetflix[title],0)),"")</f>
        <v/>
      </c>
      <c r="E19" s="19">
        <f>IFERROR(INDEX(tblNetflix[rating],MATCH($A19,tblNetflix[title],0)),"")</f>
        <v/>
      </c>
      <c r="F19" s="19">
        <f>IFERROR(INDEX(tblNetflix[year_added],MATCH($A19,tblNetflix[title],0)),"")</f>
        <v/>
      </c>
      <c r="G19" s="19">
        <f>IF(AND(OR(YearFilter="All",$F19=YearFilter),OR(RatingFilter="All",$E19=RatingFilter),OR(TypeFilter="All",$D19=TypeFilter)),1,0)</f>
        <v/>
      </c>
    </row>
    <row r="20" ht="15" customHeight="1" s="20">
      <c r="A20" s="19" t="inlineStr">
        <is>
          <t>Kyaa Kool Hai Hum</t>
        </is>
      </c>
      <c r="B20" s="19" t="inlineStr">
        <is>
          <t>Longtime friends Rahul and Karan head to Mumbai intent on making their dreams come true, but both men are suddenly saddled with bad luck.</t>
        </is>
      </c>
      <c r="C20" s="19" t="inlineStr">
        <is>
          <t>Comedy</t>
        </is>
      </c>
      <c r="D20" s="19">
        <f>IFERROR(INDEX(tblNetflix[type],MATCH($A20,tblNetflix[title],0)),"")</f>
        <v/>
      </c>
      <c r="E20" s="19">
        <f>IFERROR(INDEX(tblNetflix[rating],MATCH($A20,tblNetflix[title],0)),"")</f>
        <v/>
      </c>
      <c r="F20" s="19">
        <f>IFERROR(INDEX(tblNetflix[year_added],MATCH($A20,tblNetflix[title],0)),"")</f>
        <v/>
      </c>
      <c r="G20" s="19">
        <f>IF(AND(OR(YearFilter="All",$F20=YearFilter),OR(RatingFilter="All",$E20=RatingFilter),OR(TypeFilter="All",$D20=TypeFilter)),1,0)</f>
        <v/>
      </c>
    </row>
    <row r="21" ht="15" customHeight="1" s="20">
      <c r="A21" s="19" t="inlineStr">
        <is>
          <t>Kyaa Kool Hain Hum 3</t>
        </is>
      </c>
      <c r="B21" s="19" t="inlineStr">
        <is>
          <t>When an unlikely porn actor falls for a woman outside the industry, he employs his co-stars as a stand-in traditional family to impress her father.</t>
        </is>
      </c>
      <c r="C21" s="19" t="inlineStr">
        <is>
          <t>Family &amp; Children</t>
        </is>
      </c>
      <c r="D21" s="19">
        <f>IFERROR(INDEX(tblNetflix[type],MATCH($A21,tblNetflix[title],0)),"")</f>
        <v/>
      </c>
      <c r="E21" s="19">
        <f>IFERROR(INDEX(tblNetflix[rating],MATCH($A21,tblNetflix[title],0)),"")</f>
        <v/>
      </c>
      <c r="F21" s="19">
        <f>IFERROR(INDEX(tblNetflix[year_added],MATCH($A21,tblNetflix[title],0)),"")</f>
        <v/>
      </c>
      <c r="G21" s="19">
        <f>IF(AND(OR(YearFilter="All",$F21=YearFilter),OR(RatingFilter="All",$E21=RatingFilter),OR(TypeFilter="All",$D21=TypeFilter)),1,0)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1"/>
  </sheetPr>
  <dimension ref="A1:H3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9" min="1" max="1"/>
    <col width="14" customWidth="1" style="19" min="2" max="2"/>
    <col width="3" customWidth="1" style="19" min="3" max="5"/>
    <col width="26" customWidth="1" style="19" min="6" max="6"/>
    <col width="14" customWidth="1" style="19" min="7" max="8"/>
  </cols>
  <sheetData>
    <row r="1" ht="15" customHeight="1" s="20">
      <c r="A1" s="22" t="inlineStr">
        <is>
          <t>Total Titles</t>
        </is>
      </c>
      <c r="F1" s="22" t="inlineStr">
        <is>
          <t>Genre Distribution (Top 12)</t>
        </is>
      </c>
    </row>
    <row r="2" ht="15" customHeight="1" s="20">
      <c r="A2" s="23" t="inlineStr">
        <is>
          <t>Metric</t>
        </is>
      </c>
      <c r="B2" s="23" t="inlineStr">
        <is>
          <t>Count</t>
        </is>
      </c>
      <c r="F2" s="23" t="inlineStr">
        <is>
          <t>Genre</t>
        </is>
      </c>
      <c r="G2" s="23" t="inlineStr">
        <is>
          <t>Titles</t>
        </is>
      </c>
    </row>
    <row r="3" ht="15" customHeight="1" s="20">
      <c r="A3" s="24" t="inlineStr">
        <is>
          <t>Total Indian Titles</t>
        </is>
      </c>
      <c r="B3" s="24">
        <f>ROWS(tblNetflix)</f>
        <v/>
      </c>
      <c r="F3" s="24" t="inlineStr">
        <is>
          <t>International Movies</t>
        </is>
      </c>
      <c r="G3" s="24">
        <f>COUNTIF(tblGenre[Genre],F3)</f>
        <v/>
      </c>
    </row>
    <row r="4" ht="15" customHeight="1" s="20">
      <c r="F4" s="24" t="inlineStr">
        <is>
          <t>Dramas</t>
        </is>
      </c>
      <c r="G4" s="24">
        <f>COUNTIF(tblGenre[Genre],F4)</f>
        <v/>
      </c>
    </row>
    <row r="5" ht="15" customHeight="1" s="20">
      <c r="A5" s="22" t="inlineStr">
        <is>
          <t>Movies vs TV Shows</t>
        </is>
      </c>
      <c r="F5" s="24" t="inlineStr">
        <is>
          <t>Comedies</t>
        </is>
      </c>
      <c r="G5" s="24">
        <f>COUNTIF(tblGenre[Genre],F5)</f>
        <v/>
      </c>
    </row>
    <row r="6" ht="15" customHeight="1" s="20">
      <c r="A6" s="23" t="inlineStr">
        <is>
          <t>Type</t>
        </is>
      </c>
      <c r="B6" s="23" t="inlineStr">
        <is>
          <t>Count</t>
        </is>
      </c>
      <c r="F6" s="24" t="inlineStr">
        <is>
          <t>Independent Movies</t>
        </is>
      </c>
      <c r="G6" s="24">
        <f>COUNTIF(tblGenre[Genre],F6)</f>
        <v/>
      </c>
    </row>
    <row r="7" ht="15" customHeight="1" s="20">
      <c r="A7" s="24" t="inlineStr">
        <is>
          <t>Movie</t>
        </is>
      </c>
      <c r="B7" s="24">
        <f>COUNTIF(tblNetflix[type],"Movie")</f>
        <v/>
      </c>
      <c r="F7" s="24" t="inlineStr">
        <is>
          <t>Action &amp; Adventure</t>
        </is>
      </c>
      <c r="G7" s="24">
        <f>COUNTIF(tblGenre[Genre],F7)</f>
        <v/>
      </c>
    </row>
    <row r="8" ht="15" customHeight="1" s="20">
      <c r="A8" s="24" t="inlineStr">
        <is>
          <t>TV Show</t>
        </is>
      </c>
      <c r="B8" s="24">
        <f>COUNTIF(tblNetflix[type],"TV Show")</f>
        <v/>
      </c>
      <c r="F8" s="24" t="inlineStr">
        <is>
          <t>Romantic Movies</t>
        </is>
      </c>
      <c r="G8" s="24">
        <f>COUNTIF(tblGenre[Genre],F8)</f>
        <v/>
      </c>
    </row>
    <row r="9" ht="15" customHeight="1" s="20">
      <c r="F9" s="24" t="inlineStr">
        <is>
          <t>Music &amp; Musicals</t>
        </is>
      </c>
      <c r="G9" s="24">
        <f>COUNTIF(tblGenre[Genre],F9)</f>
        <v/>
      </c>
    </row>
    <row r="10" ht="15" customHeight="1" s="20">
      <c r="A10" s="22" t="inlineStr">
        <is>
          <t>Year-wise Content Added</t>
        </is>
      </c>
      <c r="F10" s="24" t="inlineStr">
        <is>
          <t>Thrillers</t>
        </is>
      </c>
      <c r="G10" s="24">
        <f>COUNTIF(tblGenre[Genre],F10)</f>
        <v/>
      </c>
    </row>
    <row r="11" ht="15" customHeight="1" s="20">
      <c r="A11" s="23" t="inlineStr">
        <is>
          <t>Year</t>
        </is>
      </c>
      <c r="B11" s="23" t="inlineStr">
        <is>
          <t>Titles Added</t>
        </is>
      </c>
      <c r="F11" s="24" t="inlineStr">
        <is>
          <t>International TV Shows</t>
        </is>
      </c>
      <c r="G11" s="24">
        <f>COUNTIF(tblGenre[Genre],F11)</f>
        <v/>
      </c>
    </row>
    <row r="12" ht="15" customHeight="1" s="20">
      <c r="A12" s="24" t="n">
        <v>2016</v>
      </c>
      <c r="B12" s="24">
        <f>COUNTIF(tblNetflix[year_added],A12)</f>
        <v/>
      </c>
      <c r="F12" s="24" t="inlineStr">
        <is>
          <t>Horror Movies</t>
        </is>
      </c>
      <c r="G12" s="24">
        <f>COUNTIF(tblGenre[Genre],F12)</f>
        <v/>
      </c>
    </row>
    <row r="13" ht="15" customHeight="1" s="20">
      <c r="A13" s="24" t="n">
        <v>2017</v>
      </c>
      <c r="B13" s="24">
        <f>COUNTIF(tblNetflix[year_added],A13)</f>
        <v/>
      </c>
      <c r="F13" s="24" t="inlineStr">
        <is>
          <t>TV Dramas</t>
        </is>
      </c>
      <c r="G13" s="24">
        <f>COUNTIF(tblGenre[Genre],F13)</f>
        <v/>
      </c>
    </row>
    <row r="14" ht="15" customHeight="1" s="20">
      <c r="A14" s="24" t="n">
        <v>2018</v>
      </c>
      <c r="B14" s="24">
        <f>COUNTIF(tblNetflix[year_added],A14)</f>
        <v/>
      </c>
      <c r="F14" s="24" t="inlineStr">
        <is>
          <t>Documentaries</t>
        </is>
      </c>
      <c r="G14" s="24">
        <f>COUNTIF(tblGenre[Genre],F14)</f>
        <v/>
      </c>
    </row>
    <row r="15" ht="15" customHeight="1" s="20">
      <c r="A15" s="24" t="n">
        <v>2019</v>
      </c>
      <c r="B15" s="24">
        <f>COUNTIF(tblNetflix[year_added],A15)</f>
        <v/>
      </c>
    </row>
    <row r="16" ht="15" customHeight="1" s="20">
      <c r="A16" s="24" t="n">
        <v>2020</v>
      </c>
      <c r="B16" s="24">
        <f>COUNTIF(tblNetflix[year_added],A16)</f>
        <v/>
      </c>
      <c r="F16" s="22" t="inlineStr">
        <is>
          <t>Rating Distribution</t>
        </is>
      </c>
    </row>
    <row r="17" ht="15" customHeight="1" s="20">
      <c r="A17" s="24" t="n">
        <v>2021</v>
      </c>
      <c r="B17" s="24">
        <f>COUNTIF(tblNetflix[year_added],A17)</f>
        <v/>
      </c>
      <c r="F17" s="23" t="inlineStr">
        <is>
          <t>Rating</t>
        </is>
      </c>
      <c r="G17" s="23" t="inlineStr">
        <is>
          <t>Titles</t>
        </is>
      </c>
    </row>
    <row r="18" ht="15" customHeight="1" s="20">
      <c r="F18" s="24" t="inlineStr">
        <is>
          <t>TV-14</t>
        </is>
      </c>
      <c r="G18" s="24">
        <f>COUNTIF(tblNetflix[rating],F18)</f>
        <v/>
      </c>
    </row>
    <row r="19" ht="15" customHeight="1" s="20">
      <c r="A19" s="22" t="inlineStr">
        <is>
          <t>Top 10 Directors</t>
        </is>
      </c>
      <c r="F19" s="24" t="inlineStr">
        <is>
          <t>TV-MA</t>
        </is>
      </c>
      <c r="G19" s="24">
        <f>COUNTIF(tblNetflix[rating],F19)</f>
        <v/>
      </c>
    </row>
    <row r="20" ht="15" customHeight="1" s="20">
      <c r="A20" s="23" t="inlineStr">
        <is>
          <t>Director</t>
        </is>
      </c>
      <c r="B20" s="23" t="inlineStr">
        <is>
          <t>Titles</t>
        </is>
      </c>
      <c r="F20" s="24" t="inlineStr">
        <is>
          <t>TV-PG</t>
        </is>
      </c>
      <c r="G20" s="24">
        <f>COUNTIF(tblNetflix[rating],F20)</f>
        <v/>
      </c>
    </row>
    <row r="21" ht="15" customHeight="1" s="20">
      <c r="A21" s="24" t="inlineStr">
        <is>
          <t>David Dhawan</t>
        </is>
      </c>
      <c r="B21" s="24">
        <f>COUNTIF(tblNetflix[director],A21)</f>
        <v/>
      </c>
      <c r="F21" s="24" t="inlineStr">
        <is>
          <t>TV-Y7</t>
        </is>
      </c>
      <c r="G21" s="24">
        <f>COUNTIF(tblNetflix[rating],F21)</f>
        <v/>
      </c>
    </row>
    <row r="22" ht="15" customHeight="1" s="20">
      <c r="A22" s="24" t="inlineStr">
        <is>
          <t>Ram Gopal Varma</t>
        </is>
      </c>
      <c r="B22" s="24">
        <f>COUNTIF(tblNetflix[director],A22)</f>
        <v/>
      </c>
      <c r="F22" s="24" t="inlineStr">
        <is>
          <t>PG-13</t>
        </is>
      </c>
      <c r="G22" s="24">
        <f>COUNTIF(tblNetflix[rating],F22)</f>
        <v/>
      </c>
    </row>
    <row r="23" ht="15" customHeight="1" s="20">
      <c r="A23" s="24" t="inlineStr">
        <is>
          <t>Ashutosh Gowariker</t>
        </is>
      </c>
      <c r="B23" s="24">
        <f>COUNTIF(tblNetflix[director],A23)</f>
        <v/>
      </c>
      <c r="F23" s="24" t="inlineStr">
        <is>
          <t>TV-G</t>
        </is>
      </c>
      <c r="G23" s="24">
        <f>COUNTIF(tblNetflix[rating],F23)</f>
        <v/>
      </c>
    </row>
    <row r="24" ht="15" customHeight="1" s="20">
      <c r="A24" s="24" t="inlineStr">
        <is>
          <t>Rajkumar Santoshi</t>
        </is>
      </c>
      <c r="B24" s="24">
        <f>COUNTIF(tblNetflix[director],A24)</f>
        <v/>
      </c>
      <c r="F24" s="24" t="inlineStr">
        <is>
          <t>PG</t>
        </is>
      </c>
      <c r="G24" s="24">
        <f>COUNTIF(tblNetflix[rating],F24)</f>
        <v/>
      </c>
    </row>
    <row r="25" ht="15" customHeight="1" s="20">
      <c r="A25" s="24" t="inlineStr">
        <is>
          <t>Imtiaz Ali</t>
        </is>
      </c>
      <c r="B25" s="24">
        <f>COUNTIF(tblNetflix[director],A25)</f>
        <v/>
      </c>
      <c r="F25" s="24" t="inlineStr">
        <is>
          <t>NR</t>
        </is>
      </c>
      <c r="G25" s="24">
        <f>COUNTIF(tblNetflix[rating],F25)</f>
        <v/>
      </c>
    </row>
    <row r="26" ht="15" customHeight="1" s="20">
      <c r="A26" s="24" t="inlineStr">
        <is>
          <t>Anees Bazmee</t>
        </is>
      </c>
      <c r="B26" s="24">
        <f>COUNTIF(tblNetflix[director],A26)</f>
        <v/>
      </c>
      <c r="F26" s="24" t="inlineStr">
        <is>
          <t>TV-Y</t>
        </is>
      </c>
      <c r="G26" s="24">
        <f>COUNTIF(tblNetflix[rating],F26)</f>
        <v/>
      </c>
    </row>
    <row r="27" ht="15" customHeight="1" s="20">
      <c r="A27" s="24" t="inlineStr">
        <is>
          <t>Sooraj R. Barjatya</t>
        </is>
      </c>
      <c r="B27" s="24">
        <f>COUNTIF(tblNetflix[director],A27)</f>
        <v/>
      </c>
      <c r="F27" s="24" t="inlineStr">
        <is>
          <t>R</t>
        </is>
      </c>
      <c r="G27" s="24">
        <f>COUNTIF(tblNetflix[rating],F27)</f>
        <v/>
      </c>
    </row>
    <row r="28" ht="15" customHeight="1" s="20">
      <c r="A28" s="24" t="inlineStr">
        <is>
          <t>Milan Luthria</t>
        </is>
      </c>
      <c r="B28" s="24">
        <f>COUNTIF(tblNetflix[director],A28)</f>
        <v/>
      </c>
      <c r="F28" s="24" t="inlineStr">
        <is>
          <t>TV-Y7-FV</t>
        </is>
      </c>
      <c r="G28" s="24">
        <f>COUNTIF(tblNetflix[rating],F28)</f>
        <v/>
      </c>
    </row>
    <row r="29" ht="15" customHeight="1" s="20">
      <c r="A29" s="24" t="inlineStr">
        <is>
          <t>Rohit Shetty</t>
        </is>
      </c>
      <c r="B29" s="24">
        <f>COUNTIF(tblNetflix[director],A29)</f>
        <v/>
      </c>
    </row>
    <row r="30" ht="15" customHeight="1" s="20">
      <c r="A30" s="24" t="inlineStr">
        <is>
          <t>Prakash Jha</t>
        </is>
      </c>
      <c r="B30" s="24">
        <f>COUNTIF(tblNetflix[director],A30)</f>
        <v/>
      </c>
      <c r="F30" s="22" t="inlineStr">
        <is>
          <t>AI Theme Distribution (Top 20 sample)</t>
        </is>
      </c>
    </row>
    <row r="31" ht="15" customHeight="1" s="20">
      <c r="F31" s="23" t="inlineStr">
        <is>
          <t>Theme</t>
        </is>
      </c>
      <c r="G31" s="23" t="inlineStr">
        <is>
          <t>Titles</t>
        </is>
      </c>
    </row>
    <row r="32" ht="15" customHeight="1" s="20">
      <c r="F32" s="24" t="inlineStr">
        <is>
          <t>Crime &amp; Thriller</t>
        </is>
      </c>
      <c r="G32" s="24">
        <f>COUNTIF(tblTheme[Theme],F32)</f>
        <v/>
      </c>
    </row>
    <row r="33" ht="15" customHeight="1" s="20">
      <c r="F33" s="24" t="inlineStr">
        <is>
          <t>Family &amp; Children</t>
        </is>
      </c>
      <c r="G33" s="24">
        <f>COUNTIF(tblTheme[Theme],F33)</f>
        <v/>
      </c>
    </row>
    <row r="34" ht="15" customHeight="1" s="20">
      <c r="F34" s="24" t="inlineStr">
        <is>
          <t>Romance</t>
        </is>
      </c>
      <c r="G34" s="24">
        <f>COUNTIF(tblTheme[Theme],F34)</f>
        <v/>
      </c>
    </row>
    <row r="35" ht="15" customHeight="1" s="20">
      <c r="F35" s="24" t="inlineStr">
        <is>
          <t>Historical &amp; Cultural</t>
        </is>
      </c>
      <c r="G35" s="24">
        <f>COUNTIF(tblTheme[Theme],F35)</f>
        <v/>
      </c>
    </row>
    <row r="36" ht="15" customHeight="1" s="20">
      <c r="F36" s="24" t="inlineStr">
        <is>
          <t>Education &amp; Youth</t>
        </is>
      </c>
      <c r="G36" s="24">
        <f>COUNTIF(tblTheme[Theme],F36)</f>
        <v/>
      </c>
    </row>
    <row r="37" ht="15" customHeight="1" s="20">
      <c r="F37" s="24" t="inlineStr">
        <is>
          <t>Other</t>
        </is>
      </c>
      <c r="G37" s="24">
        <f>COUNTIF(tblTheme[Theme],F37)</f>
        <v/>
      </c>
    </row>
    <row r="38" ht="15" customHeight="1" s="20">
      <c r="F38" s="24" t="inlineStr">
        <is>
          <t>Comedy</t>
        </is>
      </c>
      <c r="G38" s="24">
        <f>COUNTIF(tblTheme[Theme],F38)</f>
        <v/>
      </c>
    </row>
    <row r="39" ht="15" customHeight="1" s="20">
      <c r="F39" s="25" t="inlineStr">
        <is>
          <t>Note: theme tagging covers a 20-title AI-categorized sample, not the full catalogue.</t>
        </is>
      </c>
    </row>
  </sheetData>
  <mergeCells count="8">
    <mergeCell ref="F30:G30"/>
    <mergeCell ref="F16:G16"/>
    <mergeCell ref="A19:B19"/>
    <mergeCell ref="A10:B10"/>
    <mergeCell ref="A5:B5"/>
    <mergeCell ref="F1:G1"/>
    <mergeCell ref="A1:B1"/>
    <mergeCell ref="F39:H39"/>
  </mergeCells>
  <conditionalFormatting sqref="B3">
    <cfRule type="dataBar" priority="2">
      <dataBar minLength="10" maxLength="90" showValue="1">
        <cfvo type="min" val="0"/>
        <cfvo type="max" val="1046"/>
        <color rgb="FFE50914"/>
      </dataBar>
    </cfRule>
  </conditionalFormatting>
  <conditionalFormatting sqref="B7:B8">
    <cfRule type="dataBar" priority="3">
      <dataBar minLength="10" maxLength="90" showValue="1">
        <cfvo type="min" val="0"/>
        <cfvo type="max" val="1046"/>
        <color rgb="FFE50914"/>
      </dataBar>
    </cfRule>
  </conditionalFormatting>
  <conditionalFormatting sqref="B12:B17">
    <cfRule type="dataBar" priority="4">
      <dataBar minLength="10" maxLength="90" showValue="1">
        <cfvo type="min" val="0"/>
        <cfvo type="max" val="349"/>
        <color rgb="FFE50914"/>
      </dataBar>
    </cfRule>
  </conditionalFormatting>
  <conditionalFormatting sqref="B21:B30">
    <cfRule type="dataBar" priority="5">
      <dataBar minLength="10" maxLength="90" showValue="1">
        <cfvo type="min" val="0"/>
        <cfvo type="max" val="9"/>
        <color rgb="FFE50914"/>
      </dataBar>
    </cfRule>
  </conditionalFormatting>
  <conditionalFormatting sqref="G3:G14">
    <cfRule type="dataBar" priority="6">
      <dataBar minLength="10" maxLength="90" showValue="1">
        <cfvo type="min" val="0"/>
        <cfvo type="max" val="864"/>
        <color rgb="FFE50914"/>
      </dataBar>
    </cfRule>
  </conditionalFormatting>
  <conditionalFormatting sqref="G18:G28">
    <cfRule type="dataBar" priority="7">
      <dataBar minLength="10" maxLength="90" showValue="1">
        <cfvo type="min" val="0"/>
        <cfvo type="max" val="572"/>
        <color rgb="FFE50914"/>
      </dataBar>
    </cfRule>
  </conditionalFormatting>
  <conditionalFormatting sqref="G32:G38">
    <cfRule type="dataBar" priority="8">
      <dataBar minLength="10" maxLength="90" showValue="1">
        <cfvo type="min" val="0"/>
        <cfvo type="max" val="6"/>
        <color rgb="FFE50914"/>
      </dataBar>
    </cfRule>
  </conditionalFormatting>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V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0">
      <c r="A1" s="19" t="inlineStr">
        <is>
          <t>TYPE</t>
        </is>
      </c>
      <c r="B1" s="19" t="inlineStr">
        <is>
          <t>Count</t>
        </is>
      </c>
      <c r="D1" s="19" t="inlineStr">
        <is>
          <t>YEAR</t>
        </is>
      </c>
      <c r="E1" s="19" t="inlineStr">
        <is>
          <t>Count</t>
        </is>
      </c>
      <c r="G1" s="19" t="inlineStr">
        <is>
          <t>DIRECTOR (COMEDIES)</t>
        </is>
      </c>
      <c r="H1" s="19" t="inlineStr">
        <is>
          <t>COMEDY TITLE COUNT</t>
        </is>
      </c>
      <c r="J1" s="19" t="inlineStr">
        <is>
          <t>GENRE</t>
        </is>
      </c>
      <c r="K1" s="19" t="inlineStr">
        <is>
          <t>Count</t>
        </is>
      </c>
      <c r="M1" s="19" t="inlineStr">
        <is>
          <t>RATING</t>
        </is>
      </c>
      <c r="N1" s="19" t="inlineStr">
        <is>
          <t>Count</t>
        </is>
      </c>
      <c r="P1" s="19" t="inlineStr">
        <is>
          <t>THEME</t>
        </is>
      </c>
      <c r="Q1" s="19" t="inlineStr">
        <is>
          <t>Count</t>
        </is>
      </c>
      <c r="S1" s="19" t="inlineStr">
        <is>
          <t>YearList</t>
        </is>
      </c>
      <c r="T1" s="19" t="inlineStr">
        <is>
          <t>GenreList</t>
        </is>
      </c>
      <c r="U1" s="19" t="inlineStr">
        <is>
          <t>RatingList</t>
        </is>
      </c>
      <c r="V1" s="19" t="inlineStr">
        <is>
          <t>TypeList</t>
        </is>
      </c>
    </row>
    <row r="2" ht="15" customHeight="1" s="20">
      <c r="A2" s="19" t="inlineStr">
        <is>
          <t>Movie</t>
        </is>
      </c>
      <c r="B2" s="19">
        <f>SUMIFS(tblNetflix[IncludeRow],tblNetflix[type],A2)</f>
        <v/>
      </c>
      <c r="D2" s="19" t="n">
        <v>2016</v>
      </c>
      <c r="E2" s="19">
        <f>SUMIFS(tblNetflix[IncludeRow],tblNetflix[year_added],D2)</f>
        <v/>
      </c>
      <c r="G2" s="19">
        <f>LET(d,tblNetflix[director],inc,tblNetflix[IncludeRow],valid,(d&lt;&gt;"")*(inc=1),dirs,FILTER(d,valid,""),u,UNIQUE(dirs),c,MAP(u,LAMBDA(x,SUMIFS(tblNetflix[IncludeRow],tblNetflix[director],x))),data,FILTER(HSTACK(u,c),u&lt;&gt;""),TAKE(SORTBY(data,CHOOSECOLS(data,2),-1,CHOOSECOLS(data,1),1),10))</f>
        <v/>
      </c>
      <c r="H2" s="19" t="n"/>
      <c r="J2" s="19" t="inlineStr">
        <is>
          <t>International Movies</t>
        </is>
      </c>
      <c r="K2" s="19">
        <f>SUMIFS(tblGenre[IncludeRow_NoGenre],tblGenre[Genre],J2)</f>
        <v/>
      </c>
      <c r="M2" s="19" t="inlineStr">
        <is>
          <t>TV-14</t>
        </is>
      </c>
      <c r="N2" s="19">
        <f>SUMIFS(tblNetflix[IncludeRow],tblNetflix[rating],M2)</f>
        <v/>
      </c>
      <c r="P2" s="19" t="inlineStr">
        <is>
          <t>Crime &amp; Thriller</t>
        </is>
      </c>
      <c r="Q2" s="19">
        <f>SUMIFS(tblTheme[IncludeRow],tblTheme[Theme],P2)</f>
        <v/>
      </c>
      <c r="S2" s="19" t="inlineStr">
        <is>
          <t>All</t>
        </is>
      </c>
      <c r="T2" s="19" t="inlineStr">
        <is>
          <t>All</t>
        </is>
      </c>
      <c r="U2" s="19" t="inlineStr">
        <is>
          <t>All</t>
        </is>
      </c>
      <c r="V2" s="19" t="inlineStr">
        <is>
          <t>All</t>
        </is>
      </c>
    </row>
    <row r="3" ht="15" customHeight="1" s="20">
      <c r="A3" s="19" t="inlineStr">
        <is>
          <t>TV Show</t>
        </is>
      </c>
      <c r="B3" s="19">
        <f>SUMIFS(tblNetflix[IncludeRow],tblNetflix[type],A3)</f>
        <v/>
      </c>
      <c r="D3" s="19" t="n">
        <v>2017</v>
      </c>
      <c r="E3" s="19">
        <f>SUMIFS(tblNetflix[IncludeRow],tblNetflix[year_added],D3)</f>
        <v/>
      </c>
      <c r="G3" s="19" t="n"/>
      <c r="H3" s="19" t="n"/>
      <c r="J3" s="19" t="inlineStr">
        <is>
          <t>Dramas</t>
        </is>
      </c>
      <c r="K3" s="19">
        <f>SUMIFS(tblGenre[IncludeRow_NoGenre],tblGenre[Genre],J3)</f>
        <v/>
      </c>
      <c r="M3" s="19" t="inlineStr">
        <is>
          <t>TV-MA</t>
        </is>
      </c>
      <c r="N3" s="19">
        <f>SUMIFS(tblNetflix[IncludeRow],tblNetflix[rating],M3)</f>
        <v/>
      </c>
      <c r="P3" s="19" t="inlineStr">
        <is>
          <t>Family &amp; Children</t>
        </is>
      </c>
      <c r="Q3" s="19">
        <f>SUMIFS(tblTheme[IncludeRow],tblTheme[Theme],P3)</f>
        <v/>
      </c>
      <c r="S3" s="19" t="n">
        <v>2016</v>
      </c>
      <c r="T3" s="19" t="inlineStr">
        <is>
          <t>International Movies</t>
        </is>
      </c>
      <c r="U3" s="19" t="inlineStr">
        <is>
          <t>TV-14</t>
        </is>
      </c>
      <c r="V3" s="19" t="inlineStr">
        <is>
          <t>Movie</t>
        </is>
      </c>
    </row>
    <row r="4" ht="15" customHeight="1" s="20">
      <c r="D4" s="19" t="n">
        <v>2018</v>
      </c>
      <c r="E4" s="19">
        <f>SUMIFS(tblNetflix[IncludeRow],tblNetflix[year_added],D4)</f>
        <v/>
      </c>
      <c r="G4" s="19" t="n"/>
      <c r="H4" s="19" t="n"/>
      <c r="J4" s="19" t="inlineStr">
        <is>
          <t>Comedies</t>
        </is>
      </c>
      <c r="K4" s="19">
        <f>SUMIFS(tblGenre[IncludeRow_NoGenre],tblGenre[Genre],J4)</f>
        <v/>
      </c>
      <c r="M4" s="19" t="inlineStr">
        <is>
          <t>TV-PG</t>
        </is>
      </c>
      <c r="N4" s="19">
        <f>SUMIFS(tblNetflix[IncludeRow],tblNetflix[rating],M4)</f>
        <v/>
      </c>
      <c r="P4" s="19" t="inlineStr">
        <is>
          <t>Romance</t>
        </is>
      </c>
      <c r="Q4" s="19">
        <f>SUMIFS(tblTheme[IncludeRow],tblTheme[Theme],P4)</f>
        <v/>
      </c>
      <c r="S4" s="19" t="n">
        <v>2017</v>
      </c>
      <c r="T4" s="19" t="inlineStr">
        <is>
          <t>Dramas</t>
        </is>
      </c>
      <c r="U4" s="19" t="inlineStr">
        <is>
          <t>TV-MA</t>
        </is>
      </c>
      <c r="V4" s="19" t="inlineStr">
        <is>
          <t>TV Show</t>
        </is>
      </c>
    </row>
    <row r="5" ht="15" customHeight="1" s="20">
      <c r="D5" s="19" t="n">
        <v>2019</v>
      </c>
      <c r="E5" s="19">
        <f>SUMIFS(tblNetflix[IncludeRow],tblNetflix[year_added],D5)</f>
        <v/>
      </c>
      <c r="G5" s="19" t="n"/>
      <c r="H5" s="19" t="n"/>
      <c r="J5" s="19" t="inlineStr">
        <is>
          <t>Independent Movies</t>
        </is>
      </c>
      <c r="K5" s="19">
        <f>SUMIFS(tblGenre[IncludeRow_NoGenre],tblGenre[Genre],J5)</f>
        <v/>
      </c>
      <c r="M5" s="19" t="inlineStr">
        <is>
          <t>TV-Y7</t>
        </is>
      </c>
      <c r="N5" s="19">
        <f>SUMIFS(tblNetflix[IncludeRow],tblNetflix[rating],M5)</f>
        <v/>
      </c>
      <c r="P5" s="19" t="inlineStr">
        <is>
          <t>Historical &amp; Cultural</t>
        </is>
      </c>
      <c r="Q5" s="19">
        <f>SUMIFS(tblTheme[IncludeRow],tblTheme[Theme],P5)</f>
        <v/>
      </c>
      <c r="S5" s="19" t="n">
        <v>2018</v>
      </c>
      <c r="T5" s="19" t="inlineStr">
        <is>
          <t>Comedies</t>
        </is>
      </c>
      <c r="U5" s="19" t="inlineStr">
        <is>
          <t>TV-PG</t>
        </is>
      </c>
    </row>
    <row r="6" ht="15" customHeight="1" s="20">
      <c r="D6" s="19" t="n">
        <v>2020</v>
      </c>
      <c r="E6" s="19">
        <f>SUMIFS(tblNetflix[IncludeRow],tblNetflix[year_added],D6)</f>
        <v/>
      </c>
      <c r="G6" s="19" t="n"/>
      <c r="H6" s="19" t="n"/>
      <c r="J6" s="19" t="inlineStr">
        <is>
          <t>Action &amp; Adventure</t>
        </is>
      </c>
      <c r="K6" s="19">
        <f>SUMIFS(tblGenre[IncludeRow_NoGenre],tblGenre[Genre],J6)</f>
        <v/>
      </c>
      <c r="M6" s="19" t="inlineStr">
        <is>
          <t>PG-13</t>
        </is>
      </c>
      <c r="N6" s="19">
        <f>SUMIFS(tblNetflix[IncludeRow],tblNetflix[rating],M6)</f>
        <v/>
      </c>
      <c r="P6" s="19" t="inlineStr">
        <is>
          <t>Education &amp; Youth</t>
        </is>
      </c>
      <c r="Q6" s="19">
        <f>SUMIFS(tblTheme[IncludeRow],tblTheme[Theme],P6)</f>
        <v/>
      </c>
      <c r="S6" s="19" t="n">
        <v>2019</v>
      </c>
      <c r="T6" s="19" t="inlineStr">
        <is>
          <t>Independent Movies</t>
        </is>
      </c>
      <c r="U6" s="19" t="inlineStr">
        <is>
          <t>TV-Y7</t>
        </is>
      </c>
    </row>
    <row r="7" ht="15" customHeight="1" s="20">
      <c r="D7" s="19" t="n">
        <v>2021</v>
      </c>
      <c r="E7" s="19">
        <f>SUMIFS(tblNetflix[IncludeRow],tblNetflix[year_added],D7)</f>
        <v/>
      </c>
      <c r="G7" s="19" t="n"/>
      <c r="H7" s="19" t="n"/>
      <c r="J7" s="19" t="inlineStr">
        <is>
          <t>Romantic Movies</t>
        </is>
      </c>
      <c r="K7" s="19">
        <f>SUMIFS(tblGenre[IncludeRow_NoGenre],tblGenre[Genre],J7)</f>
        <v/>
      </c>
      <c r="M7" s="19" t="inlineStr">
        <is>
          <t>TV-G</t>
        </is>
      </c>
      <c r="N7" s="19">
        <f>SUMIFS(tblNetflix[IncludeRow],tblNetflix[rating],M7)</f>
        <v/>
      </c>
      <c r="P7" s="19" t="inlineStr">
        <is>
          <t>Other</t>
        </is>
      </c>
      <c r="Q7" s="19">
        <f>SUMIFS(tblTheme[IncludeRow],tblTheme[Theme],P7)</f>
        <v/>
      </c>
      <c r="S7" s="19" t="n">
        <v>2020</v>
      </c>
      <c r="T7" s="19" t="inlineStr">
        <is>
          <t>Action &amp; Adventure</t>
        </is>
      </c>
      <c r="U7" s="19" t="inlineStr">
        <is>
          <t>PG-13</t>
        </is>
      </c>
    </row>
    <row r="8" ht="15" customHeight="1" s="20">
      <c r="G8" s="19" t="n"/>
      <c r="H8" s="19" t="n"/>
      <c r="J8" s="19" t="inlineStr">
        <is>
          <t>Music &amp; Musicals</t>
        </is>
      </c>
      <c r="K8" s="19">
        <f>SUMIFS(tblGenre[IncludeRow_NoGenre],tblGenre[Genre],J8)</f>
        <v/>
      </c>
      <c r="M8" s="19" t="inlineStr">
        <is>
          <t>PG</t>
        </is>
      </c>
      <c r="N8" s="19">
        <f>SUMIFS(tblNetflix[IncludeRow],tblNetflix[rating],M8)</f>
        <v/>
      </c>
      <c r="P8" s="19" t="inlineStr">
        <is>
          <t>Comedy</t>
        </is>
      </c>
      <c r="Q8" s="19">
        <f>SUMIFS(tblTheme[IncludeRow],tblTheme[Theme],P8)</f>
        <v/>
      </c>
      <c r="S8" s="19" t="n">
        <v>2021</v>
      </c>
      <c r="T8" s="19" t="inlineStr">
        <is>
          <t>Romantic Movies</t>
        </is>
      </c>
      <c r="U8" s="19" t="inlineStr">
        <is>
          <t>TV-G</t>
        </is>
      </c>
    </row>
    <row r="9" ht="15" customHeight="1" s="20">
      <c r="G9" s="19" t="n"/>
      <c r="H9" s="19" t="n"/>
      <c r="J9" s="19" t="inlineStr">
        <is>
          <t>Thrillers</t>
        </is>
      </c>
      <c r="K9" s="19">
        <f>SUMIFS(tblGenre[IncludeRow_NoGenre],tblGenre[Genre],J9)</f>
        <v/>
      </c>
      <c r="M9" s="19" t="inlineStr">
        <is>
          <t>NR</t>
        </is>
      </c>
      <c r="N9" s="19">
        <f>SUMIFS(tblNetflix[IncludeRow],tblNetflix[rating],M9)</f>
        <v/>
      </c>
      <c r="T9" s="19" t="inlineStr">
        <is>
          <t>Music &amp; Musicals</t>
        </is>
      </c>
      <c r="U9" s="19" t="inlineStr">
        <is>
          <t>PG</t>
        </is>
      </c>
    </row>
    <row r="10" ht="15" customHeight="1" s="20">
      <c r="G10" s="19" t="n"/>
      <c r="H10" s="19" t="n"/>
      <c r="J10" s="19" t="inlineStr">
        <is>
          <t>International TV Shows</t>
        </is>
      </c>
      <c r="K10" s="19">
        <f>SUMIFS(tblGenre[IncludeRow_NoGenre],tblGenre[Genre],J10)</f>
        <v/>
      </c>
      <c r="M10" s="19" t="inlineStr">
        <is>
          <t>TV-Y</t>
        </is>
      </c>
      <c r="N10" s="19">
        <f>SUMIFS(tblNetflix[IncludeRow],tblNetflix[rating],M10)</f>
        <v/>
      </c>
      <c r="T10" s="19" t="inlineStr">
        <is>
          <t>Thrillers</t>
        </is>
      </c>
      <c r="U10" s="19" t="inlineStr">
        <is>
          <t>NR</t>
        </is>
      </c>
    </row>
    <row r="11" ht="15" customHeight="1" s="20">
      <c r="G11" s="19" t="n"/>
      <c r="H11" s="19" t="n"/>
      <c r="J11" s="19" t="inlineStr">
        <is>
          <t>Horror Movies</t>
        </is>
      </c>
      <c r="K11" s="19">
        <f>SUMIFS(tblGenre[IncludeRow_NoGenre],tblGenre[Genre],J11)</f>
        <v/>
      </c>
      <c r="M11" s="19" t="inlineStr">
        <is>
          <t>R</t>
        </is>
      </c>
      <c r="N11" s="19">
        <f>SUMIFS(tblNetflix[IncludeRow],tblNetflix[rating],M11)</f>
        <v/>
      </c>
      <c r="T11" s="19" t="inlineStr">
        <is>
          <t>International TV Shows</t>
        </is>
      </c>
      <c r="U11" s="19" t="inlineStr">
        <is>
          <t>TV-Y</t>
        </is>
      </c>
    </row>
    <row r="12" ht="15" customHeight="1" s="20">
      <c r="J12" s="19" t="inlineStr">
        <is>
          <t>TV Dramas</t>
        </is>
      </c>
      <c r="K12" s="19">
        <f>SUMIFS(tblGenre[IncludeRow_NoGenre],tblGenre[Genre],J12)</f>
        <v/>
      </c>
      <c r="M12" s="19" t="inlineStr">
        <is>
          <t>TV-Y7-FV</t>
        </is>
      </c>
      <c r="N12" s="19">
        <f>SUMIFS(tblNetflix[IncludeRow],tblNetflix[rating],M12)</f>
        <v/>
      </c>
      <c r="T12" s="19" t="inlineStr">
        <is>
          <t>Horror Movies</t>
        </is>
      </c>
      <c r="U12" s="19" t="inlineStr">
        <is>
          <t>R</t>
        </is>
      </c>
    </row>
    <row r="13" ht="15" customHeight="1" s="20">
      <c r="G13" s="19" t="inlineStr">
        <is>
          <t>Top 10 Directors update automatically from the selected Genre + Year + Rating + Type filters.</t>
        </is>
      </c>
      <c r="J13" s="19" t="inlineStr">
        <is>
          <t>Documentaries</t>
        </is>
      </c>
      <c r="K13" s="19">
        <f>SUMIFS(tblGenre[IncludeRow_NoGenre],tblGenre[Genre],J13)</f>
        <v/>
      </c>
      <c r="T13" s="19" t="inlineStr">
        <is>
          <t>TV Dramas</t>
        </is>
      </c>
      <c r="U13" s="19" t="inlineStr">
        <is>
          <t>TV-Y7-FV</t>
        </is>
      </c>
    </row>
    <row r="14" ht="15" customHeight="1" s="20">
      <c r="T14" s="19" t="inlineStr">
        <is>
          <t>Documentaries</t>
        </is>
      </c>
    </row>
    <row r="15" ht="15" customHeight="1" s="20">
      <c r="T15" s="19" t="inlineStr">
        <is>
          <t>TV Comedies</t>
        </is>
      </c>
    </row>
    <row r="16" ht="15" customHeight="1" s="20">
      <c r="T16" s="19" t="inlineStr">
        <is>
          <t>Children &amp; Family Movies</t>
        </is>
      </c>
    </row>
    <row r="17" ht="15" customHeight="1" s="20">
      <c r="T17" s="19" t="inlineStr">
        <is>
          <t>Sports Movies</t>
        </is>
      </c>
    </row>
    <row r="18" ht="15" customHeight="1" s="20">
      <c r="T18" s="19" t="inlineStr">
        <is>
          <t>Romantic TV Shows</t>
        </is>
      </c>
    </row>
    <row r="19" ht="15" customHeight="1" s="20">
      <c r="T19" s="19" t="inlineStr">
        <is>
          <t>Kids' TV</t>
        </is>
      </c>
    </row>
    <row r="20" ht="15" customHeight="1" s="20">
      <c r="T20" s="19" t="inlineStr">
        <is>
          <t>Sci-Fi &amp; Fantasy</t>
        </is>
      </c>
    </row>
    <row r="21" ht="15" customHeight="1" s="20">
      <c r="T21" s="19" t="inlineStr">
        <is>
          <t>Classic Movies</t>
        </is>
      </c>
    </row>
    <row r="22" ht="15" customHeight="1" s="20">
      <c r="T22" s="19" t="inlineStr">
        <is>
          <t>Docuseries</t>
        </is>
      </c>
    </row>
    <row r="23" ht="15" customHeight="1" s="20">
      <c r="T23" s="19" t="inlineStr">
        <is>
          <t>Crime TV Shows</t>
        </is>
      </c>
    </row>
    <row r="24" ht="15" customHeight="1" s="20">
      <c r="T24" s="19" t="inlineStr">
        <is>
          <t>TV Horror</t>
        </is>
      </c>
    </row>
    <row r="25" ht="15" customHeight="1" s="20">
      <c r="T25" s="19" t="inlineStr">
        <is>
          <t>Reality TV</t>
        </is>
      </c>
    </row>
    <row r="26" ht="15" customHeight="1" s="20">
      <c r="T26" s="19" t="inlineStr">
        <is>
          <t>Stand-Up Comedy</t>
        </is>
      </c>
    </row>
    <row r="27" ht="15" customHeight="1" s="20">
      <c r="T27" s="19" t="inlineStr">
        <is>
          <t>Cult Movies</t>
        </is>
      </c>
    </row>
    <row r="28" ht="15" customHeight="1" s="20">
      <c r="T28" s="19" t="inlineStr">
        <is>
          <t>TV Action &amp; Adventure</t>
        </is>
      </c>
    </row>
    <row r="29" ht="15" customHeight="1" s="20">
      <c r="T29" s="19" t="inlineStr">
        <is>
          <t>Faith &amp; Spirituality</t>
        </is>
      </c>
    </row>
    <row r="30" ht="15" customHeight="1" s="20">
      <c r="T30" s="19" t="inlineStr">
        <is>
          <t>TV Sci-Fi &amp; Fantasy</t>
        </is>
      </c>
    </row>
    <row r="31" ht="15" customHeight="1" s="20">
      <c r="T31" s="19" t="inlineStr">
        <is>
          <t>TV Shows</t>
        </is>
      </c>
    </row>
    <row r="32" ht="15" customHeight="1" s="20">
      <c r="T32" s="19" t="inlineStr">
        <is>
          <t>British TV Shows</t>
        </is>
      </c>
    </row>
    <row r="33" ht="15" customHeight="1" s="20">
      <c r="T33" s="19" t="inlineStr">
        <is>
          <t>Stand-Up Comedy &amp; Talk Shows</t>
        </is>
      </c>
    </row>
    <row r="34" ht="15" customHeight="1" s="20">
      <c r="T34" s="19" t="inlineStr">
        <is>
          <t>TV Thrillers</t>
        </is>
      </c>
    </row>
    <row r="35" ht="15" customHeight="1" s="20">
      <c r="T35" s="19" t="inlineStr">
        <is>
          <t>TV Mysteries</t>
        </is>
      </c>
    </row>
    <row r="36" ht="15" customHeight="1" s="20">
      <c r="T36" s="19" t="inlineStr">
        <is>
          <t>LGBTQ Movies</t>
        </is>
      </c>
    </row>
    <row r="37" ht="15" customHeight="1" s="20">
      <c r="T37" s="19" t="inlineStr">
        <is>
          <t>Teen TV Shows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E50914"/>
    <outlinePr summaryBelow="1" summaryRight="1"/>
    <pageSetUpPr fitToPage="1"/>
  </sheetPr>
  <dimension ref="A1:L80"/>
  <sheetViews>
    <sheetView showFormulas="0" showGridLines="0" showRowColHeaders="1" showZeros="1" rightToLeft="0" tabSelected="1"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9.51" customWidth="1" style="19" min="1" max="12"/>
  </cols>
  <sheetData>
    <row r="1" ht="25.5" customHeight="1" s="20">
      <c r="A1" s="26" t="inlineStr">
        <is>
          <t>NETFLIX INDIA CONTENT DEEP DIVE</t>
        </is>
      </c>
    </row>
    <row r="2" ht="25.5" customHeight="1" s="20"/>
    <row r="3" ht="21.75" customHeight="1" s="20"/>
    <row r="4" ht="19.5" customHeight="1" s="20">
      <c r="A4" s="27" t="inlineStr">
        <is>
          <t>Interactive Microsoft Excel Dashboard</t>
        </is>
      </c>
      <c r="G4" s="28">
        <f>"Prepared: "&amp;TEXT(TODAY(),"dd-mmm-yyyy")&amp;"   |   Prepared By: Data Analytics Team"</f>
        <v/>
      </c>
    </row>
    <row r="6" ht="18" customHeight="1" s="20">
      <c r="A6" s="29" t="inlineStr">
        <is>
          <t>FILTERS</t>
        </is>
      </c>
    </row>
    <row r="7" ht="19.5" customHeight="1" s="20">
      <c r="A7" s="30" t="inlineStr">
        <is>
          <t>Year</t>
        </is>
      </c>
      <c r="B7" s="31" t="inlineStr">
        <is>
          <t>All</t>
        </is>
      </c>
      <c r="D7" s="30" t="inlineStr">
        <is>
          <t>Genre</t>
        </is>
      </c>
      <c r="E7" s="31" t="inlineStr">
        <is>
          <t>All</t>
        </is>
      </c>
      <c r="G7" s="30" t="inlineStr">
        <is>
          <t>Rating</t>
        </is>
      </c>
      <c r="H7" s="31" t="inlineStr">
        <is>
          <t>All</t>
        </is>
      </c>
      <c r="J7" s="30" t="inlineStr">
        <is>
          <t>Type</t>
        </is>
      </c>
      <c r="K7" s="31" t="inlineStr">
        <is>
          <t>All</t>
        </is>
      </c>
    </row>
    <row r="8">
      <c r="D8" s="30" t="inlineStr">
        <is>
          <t>Genre selector controls Top 10 Directors</t>
        </is>
      </c>
    </row>
    <row r="9" ht="19.5" customHeight="1" s="20">
      <c r="A9" s="32" t="inlineStr">
        <is>
          <t>🎬</t>
        </is>
      </c>
      <c r="B9" s="33" t="n"/>
      <c r="C9" s="33" t="n"/>
      <c r="D9" s="34" t="n"/>
      <c r="E9" s="32" t="inlineStr">
        <is>
          <t>🎥</t>
        </is>
      </c>
      <c r="F9" s="33" t="n"/>
      <c r="G9" s="33" t="n"/>
      <c r="H9" s="34" t="n"/>
      <c r="I9" s="32" t="inlineStr">
        <is>
          <t>📺</t>
        </is>
      </c>
      <c r="J9" s="33" t="n"/>
      <c r="K9" s="33" t="n"/>
      <c r="L9" s="34" t="n"/>
    </row>
    <row r="10" ht="15" customHeight="1" s="20">
      <c r="A10" s="35" t="n"/>
      <c r="B10" s="36" t="n"/>
      <c r="C10" s="36" t="n"/>
      <c r="D10" s="37" t="n"/>
      <c r="E10" s="35" t="n"/>
      <c r="F10" s="36" t="n"/>
      <c r="G10" s="36" t="n"/>
      <c r="H10" s="37" t="n"/>
      <c r="I10" s="35" t="n"/>
      <c r="J10" s="36" t="n"/>
      <c r="K10" s="36" t="n"/>
      <c r="L10" s="37" t="n"/>
    </row>
    <row r="11" ht="15" customHeight="1" s="20">
      <c r="A11" s="38">
        <f>SUM(tblNetflix[IncludeRow])</f>
        <v/>
      </c>
      <c r="B11" s="33" t="n"/>
      <c r="C11" s="33" t="n"/>
      <c r="D11" s="34" t="n"/>
      <c r="E11" s="38">
        <f>Chart_Source!$B$2</f>
        <v/>
      </c>
      <c r="F11" s="33" t="n"/>
      <c r="G11" s="33" t="n"/>
      <c r="H11" s="34" t="n"/>
      <c r="I11" s="38">
        <f>Chart_Source!$B$3</f>
        <v/>
      </c>
      <c r="J11" s="33" t="n"/>
      <c r="K11" s="33" t="n"/>
      <c r="L11" s="34" t="n"/>
    </row>
    <row r="12" ht="15" customHeight="1" s="20">
      <c r="A12" s="39" t="n"/>
      <c r="D12" s="40" t="n"/>
      <c r="E12" s="39" t="n"/>
      <c r="H12" s="40" t="n"/>
      <c r="I12" s="39" t="n"/>
      <c r="L12" s="40" t="n"/>
    </row>
    <row r="13" ht="15" customHeight="1" s="20">
      <c r="A13" s="35" t="n"/>
      <c r="B13" s="36" t="n"/>
      <c r="C13" s="36" t="n"/>
      <c r="D13" s="37" t="n"/>
      <c r="E13" s="35" t="n"/>
      <c r="F13" s="36" t="n"/>
      <c r="G13" s="36" t="n"/>
      <c r="H13" s="37" t="n"/>
      <c r="I13" s="35" t="n"/>
      <c r="J13" s="36" t="n"/>
      <c r="K13" s="36" t="n"/>
      <c r="L13" s="37" t="n"/>
    </row>
    <row r="14" ht="15" customHeight="1" s="20">
      <c r="A14" s="41" t="inlineStr">
        <is>
          <t>TOTAL INDIAN TITLES</t>
        </is>
      </c>
      <c r="B14" s="42" t="n"/>
      <c r="C14" s="42" t="n"/>
      <c r="D14" s="43" t="n"/>
      <c r="E14" s="41" t="inlineStr">
        <is>
          <t>MOVIES</t>
        </is>
      </c>
      <c r="F14" s="42" t="n"/>
      <c r="G14" s="42" t="n"/>
      <c r="H14" s="43" t="n"/>
      <c r="I14" s="41" t="inlineStr">
        <is>
          <t>TV SHOWS</t>
        </is>
      </c>
      <c r="J14" s="42" t="n"/>
      <c r="K14" s="42" t="n"/>
      <c r="L14" s="43" t="n"/>
    </row>
    <row r="16" ht="19.5" customHeight="1" s="20">
      <c r="A16" s="32" t="inlineStr">
        <is>
          <t>🏷️</t>
        </is>
      </c>
      <c r="B16" s="33" t="n"/>
      <c r="C16" s="33" t="n"/>
      <c r="D16" s="34" t="n"/>
      <c r="E16" s="32" t="inlineStr">
        <is>
          <t>🎭</t>
        </is>
      </c>
      <c r="F16" s="33" t="n"/>
      <c r="G16" s="33" t="n"/>
      <c r="H16" s="34" t="n"/>
      <c r="I16" s="32" t="inlineStr">
        <is>
          <t>⭐</t>
        </is>
      </c>
      <c r="J16" s="33" t="n"/>
      <c r="K16" s="33" t="n"/>
      <c r="L16" s="34" t="n"/>
    </row>
    <row r="17" ht="15" customHeight="1" s="20">
      <c r="A17" s="35" t="n"/>
      <c r="B17" s="36" t="n"/>
      <c r="C17" s="36" t="n"/>
      <c r="D17" s="37" t="n"/>
      <c r="E17" s="35" t="n"/>
      <c r="F17" s="36" t="n"/>
      <c r="G17" s="36" t="n"/>
      <c r="H17" s="37" t="n"/>
      <c r="I17" s="35" t="n"/>
      <c r="J17" s="36" t="n"/>
      <c r="K17" s="36" t="n"/>
      <c r="L17" s="37" t="n"/>
    </row>
    <row r="18" ht="15" customHeight="1" s="20">
      <c r="A18" s="38">
        <f>INDEX(Chart_Source!$J$2:$J$13,MATCH(MAX(Chart_Source!$K$2:$K$13),Chart_Source!$K$2:$K$13,0))</f>
        <v/>
      </c>
      <c r="B18" s="33" t="n"/>
      <c r="C18" s="33" t="n"/>
      <c r="D18" s="34" t="n"/>
      <c r="E18" s="38">
        <f>INDEX(Chart_Source!$G$2:$G$11,MATCH(MAX(Chart_Source!$H$2:$H$11),Chart_Source!$H$2:$H$11,0))</f>
        <v/>
      </c>
      <c r="F18" s="33" t="n"/>
      <c r="G18" s="33" t="n"/>
      <c r="H18" s="34" t="n"/>
      <c r="I18" s="38">
        <f>INDEX(Chart_Source!$M$2:$M$12,MATCH(MAX(Chart_Source!$N$2:$N$12),Chart_Source!$N$2:$N$12,0))</f>
        <v/>
      </c>
      <c r="J18" s="33" t="n"/>
      <c r="K18" s="33" t="n"/>
      <c r="L18" s="34" t="n"/>
    </row>
    <row r="19" ht="15" customHeight="1" s="20">
      <c r="A19" s="39" t="n"/>
      <c r="D19" s="40" t="n"/>
      <c r="E19" s="39" t="n"/>
      <c r="H19" s="40" t="n"/>
      <c r="I19" s="39" t="n"/>
      <c r="L19" s="40" t="n"/>
    </row>
    <row r="20" ht="15" customHeight="1" s="20">
      <c r="A20" s="35" t="n"/>
      <c r="B20" s="36" t="n"/>
      <c r="C20" s="36" t="n"/>
      <c r="D20" s="37" t="n"/>
      <c r="E20" s="35" t="n"/>
      <c r="F20" s="36" t="n"/>
      <c r="G20" s="36" t="n"/>
      <c r="H20" s="37" t="n"/>
      <c r="I20" s="35" t="n"/>
      <c r="J20" s="36" t="n"/>
      <c r="K20" s="36" t="n"/>
      <c r="L20" s="37" t="n"/>
    </row>
    <row r="21" ht="15" customHeight="1" s="20">
      <c r="A21" s="41" t="inlineStr">
        <is>
          <t>TOP GENRE</t>
        </is>
      </c>
      <c r="B21" s="42" t="n"/>
      <c r="C21" s="42" t="n"/>
      <c r="D21" s="43" t="n"/>
      <c r="E21" s="41" t="inlineStr">
        <is>
          <t>TOP DIRECTOR</t>
        </is>
      </c>
      <c r="F21" s="42" t="n"/>
      <c r="G21" s="42" t="n"/>
      <c r="H21" s="43" t="n"/>
      <c r="I21" s="41" t="inlineStr">
        <is>
          <t>MOST COMMON RATING</t>
        </is>
      </c>
      <c r="J21" s="42" t="n"/>
      <c r="K21" s="42" t="n"/>
      <c r="L21" s="43" t="n"/>
    </row>
    <row r="38">
      <c r="G38" t="inlineStr">
        <is>
          <t>Top 10 Directors (Selected Genre)</t>
        </is>
      </c>
    </row>
    <row r="39"/>
    <row r="74" ht="21.75" customHeight="1" s="20">
      <c r="A74" s="44" t="inlineStr">
        <is>
          <t>KEY INSIGHTS</t>
        </is>
      </c>
      <c r="B74" s="45" t="n"/>
      <c r="C74" s="45" t="n"/>
      <c r="D74" s="45" t="n"/>
      <c r="E74" s="45" t="n"/>
      <c r="F74" s="46" t="n"/>
      <c r="G74" s="47" t="inlineStr">
        <is>
          <t>BUSINESS RECOMMENDATIONS</t>
        </is>
      </c>
      <c r="H74" s="45" t="n"/>
      <c r="I74" s="45" t="n"/>
      <c r="J74" s="45" t="n"/>
      <c r="K74" s="45" t="n"/>
      <c r="L74" s="46" t="n"/>
    </row>
    <row r="75" ht="25.5" customHeight="1" s="20">
      <c r="A75" s="48" t="inlineStr">
        <is>
          <t>•  Movies dominate Indian Netflix content, outnumbering TV Shows roughly 11 to 1 (962 vs 84 titles).</t>
        </is>
      </c>
      <c r="B75" s="45" t="n"/>
      <c r="C75" s="45" t="n"/>
      <c r="D75" s="45" t="n"/>
      <c r="E75" s="45" t="n"/>
      <c r="F75" s="46" t="n"/>
      <c r="G75" s="48" t="inlineStr">
        <is>
          <t>•  Increase investment in regional-language and non-Hindi Indian content to diversify beyond the current catalogue mix.</t>
        </is>
      </c>
      <c r="H75" s="45" t="n"/>
      <c r="I75" s="45" t="n"/>
      <c r="J75" s="45" t="n"/>
      <c r="K75" s="45" t="n"/>
      <c r="L75" s="46" t="n"/>
    </row>
    <row r="76" ht="25.5" customHeight="1" s="20">
      <c r="A76" s="48" t="inlineStr">
        <is>
          <t>•  International Movies is the single largest genre tag (864 tag-instances), ahead of Dramas (662) and Comedies (323).</t>
        </is>
      </c>
      <c r="B76" s="45" t="n"/>
      <c r="C76" s="45" t="n"/>
      <c r="D76" s="45" t="n"/>
      <c r="E76" s="45" t="n"/>
      <c r="F76" s="46" t="n"/>
      <c r="G76" s="48" t="inlineStr">
        <is>
          <t>•  Expand high-performing genres such as International Movies, Dramas and Comedies, which already drive the bulk of engagement.</t>
        </is>
      </c>
      <c r="H76" s="45" t="n"/>
      <c r="I76" s="45" t="n"/>
      <c r="J76" s="45" t="n"/>
      <c r="K76" s="45" t="n"/>
      <c r="L76" s="46" t="n"/>
    </row>
    <row r="77" ht="25.5" customHeight="1" s="20">
      <c r="A77" s="48" t="inlineStr">
        <is>
          <t>•  Indian content additions accelerated sharply after 2017 -- titles added jumped from 162 in 2017 to a peak of 349 in 2018.</t>
        </is>
      </c>
      <c r="B77" s="45" t="n"/>
      <c r="C77" s="45" t="n"/>
      <c r="D77" s="45" t="n"/>
      <c r="E77" s="45" t="n"/>
      <c r="F77" s="46" t="n"/>
      <c r="G77" s="48" t="inlineStr">
        <is>
          <t>•  Develop more family-oriented and youth/education-themed titles to balance the current Crime &amp; Thriller-heavy content skew.</t>
        </is>
      </c>
      <c r="H77" s="45" t="n"/>
      <c r="I77" s="45" t="n"/>
      <c r="J77" s="45" t="n"/>
      <c r="K77" s="45" t="n"/>
      <c r="L77" s="46" t="n"/>
    </row>
    <row r="78" ht="25.5" customHeight="1" s="20">
      <c r="A78" s="48" t="inlineStr">
        <is>
          <t>•  TV-14 is the most common content rating (572 titles, ~55% of the catalogue), followed by TV-MA (266).</t>
        </is>
      </c>
      <c r="B78" s="45" t="n"/>
      <c r="C78" s="45" t="n"/>
      <c r="D78" s="45" t="n"/>
      <c r="E78" s="45" t="n"/>
      <c r="F78" s="46" t="n"/>
      <c r="G78" s="48" t="inlineStr">
        <is>
          <t>•  Strengthen long-term partnerships with consistently prolific directors to secure a steady content pipeline.</t>
        </is>
      </c>
      <c r="H78" s="45" t="n"/>
      <c r="I78" s="45" t="n"/>
      <c r="J78" s="45" t="n"/>
      <c r="K78" s="45" t="n"/>
      <c r="L78" s="46" t="n"/>
    </row>
    <row r="79" ht="25.5" customHeight="1" s="20">
      <c r="A79" s="48" t="inlineStr">
        <is>
          <t>•  A small group of veteran Bollywood directors -- led by David Dhawan (9 titles) -- account for a disproportionate share of repeat contributions.</t>
        </is>
      </c>
      <c r="B79" s="45" t="n"/>
      <c r="C79" s="45" t="n"/>
      <c r="D79" s="45" t="n"/>
      <c r="E79" s="45" t="n"/>
      <c r="F79" s="46" t="n"/>
      <c r="G79" s="48" t="inlineStr">
        <is>
          <t>•  Prioritize TV-14 and TV-MA rated content, which together cover over 80% of the current library and the broadest addressable audience.</t>
        </is>
      </c>
      <c r="H79" s="45" t="n"/>
      <c r="I79" s="45" t="n"/>
      <c r="J79" s="45" t="n"/>
      <c r="K79" s="45" t="n"/>
      <c r="L79" s="46" t="n"/>
    </row>
    <row r="80" ht="25.5" customHeight="1" s="20">
      <c r="A80" s="48" t="inlineStr">
        <is>
          <t>•  AI theme tagging on a 20-title sample shows Crime &amp; Thriller and Family &amp; Children as the most recurring narrative themes.</t>
        </is>
      </c>
      <c r="B80" s="45" t="n"/>
      <c r="C80" s="45" t="n"/>
      <c r="D80" s="45" t="n"/>
      <c r="E80" s="45" t="n"/>
      <c r="F80" s="46" t="n"/>
      <c r="G80" s="48" t="inlineStr">
        <is>
          <t>•  Continue scaling year-on-year content additions, building on the growth trajectory established since 2017.</t>
        </is>
      </c>
      <c r="H80" s="45" t="n"/>
      <c r="I80" s="45" t="n"/>
      <c r="J80" s="45" t="n"/>
      <c r="K80" s="45" t="n"/>
      <c r="L80" s="46" t="n"/>
    </row>
  </sheetData>
  <mergeCells count="40">
    <mergeCell ref="A18:D20"/>
    <mergeCell ref="I14:L14"/>
    <mergeCell ref="B7:C7"/>
    <mergeCell ref="A80:F80"/>
    <mergeCell ref="A75:F75"/>
    <mergeCell ref="E11:H13"/>
    <mergeCell ref="A16:D17"/>
    <mergeCell ref="A74:F74"/>
    <mergeCell ref="G78:L78"/>
    <mergeCell ref="A14:D14"/>
    <mergeCell ref="I16:L17"/>
    <mergeCell ref="G74:L74"/>
    <mergeCell ref="G80:L80"/>
    <mergeCell ref="A76:F76"/>
    <mergeCell ref="E9:H10"/>
    <mergeCell ref="E21:H21"/>
    <mergeCell ref="G79:L79"/>
    <mergeCell ref="A4:F4"/>
    <mergeCell ref="G4:L4"/>
    <mergeCell ref="E18:H20"/>
    <mergeCell ref="E14:H14"/>
    <mergeCell ref="G76:L76"/>
    <mergeCell ref="H7:I7"/>
    <mergeCell ref="A11:D13"/>
    <mergeCell ref="I11:L13"/>
    <mergeCell ref="G75:L75"/>
    <mergeCell ref="E16:H17"/>
    <mergeCell ref="A77:F77"/>
    <mergeCell ref="G77:L77"/>
    <mergeCell ref="K7:L7"/>
    <mergeCell ref="A9:D10"/>
    <mergeCell ref="E7:F7"/>
    <mergeCell ref="I9:L10"/>
    <mergeCell ref="I21:L21"/>
    <mergeCell ref="A21:D21"/>
    <mergeCell ref="A79:F79"/>
    <mergeCell ref="A1:L3"/>
    <mergeCell ref="A6:L6"/>
    <mergeCell ref="A78:F78"/>
    <mergeCell ref="I18:L20"/>
  </mergeCells>
  <dataValidations count="4">
    <dataValidation sqref="B7" showDropDown="0" showInputMessage="0" showErrorMessage="0" allowBlank="0" type="list" errorStyle="stop" operator="between">
      <formula1>Chart_Source!$S$2:$S$8</formula1>
      <formula2>0</formula2>
    </dataValidation>
    <dataValidation sqref="E7" showDropDown="0" showInputMessage="0" showErrorMessage="0" allowBlank="0" type="list" errorStyle="stop" operator="between">
      <formula1>Chart_Source!$T$2:$T$37</formula1>
      <formula2>0</formula2>
    </dataValidation>
    <dataValidation sqref="H7" showDropDown="0" showInputMessage="0" showErrorMessage="0" allowBlank="0" type="list" errorStyle="stop" operator="between">
      <formula1>Chart_Source!$U$2:$U$13</formula1>
      <formula2>0</formula2>
    </dataValidation>
    <dataValidation sqref="K7" showDropDown="0" showInputMessage="0" showErrorMessage="0" allowBlank="0" type="list" errorStyle="stop" operator="between">
      <formula1>Chart_Source!$V$2:$V$4</formula1>
      <formula2>0</formula2>
    </dataValidation>
  </dataValidation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2026-07-19T11:33:18Z</dcterms:created>
  <dcterms:modified xmlns:dcterms="http://purl.org/dc/terms/" xmlns:xsi="http://www.w3.org/2001/XMLSchema-instance" xsi:type="dcterms:W3CDTF">2026-09-26T08:48:59Z</dcterms:modified>
  <cp:revision>1</cp:revision>
</cp:coreProperties>
</file>